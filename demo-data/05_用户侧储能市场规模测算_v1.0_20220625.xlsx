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D:\桌面\M2_WM\P12_SE_电池储能SI调研_202205\06_Methodology\"/>
    </mc:Choice>
  </mc:AlternateContent>
  <xr:revisionPtr revIDLastSave="0" documentId="13_ncr:1_{BCAAEFDE-AF57-42EB-B12B-CC7B46398CD6}" xr6:coauthVersionLast="47" xr6:coauthVersionMax="47" xr10:uidLastSave="{00000000-0000-0000-0000-000000000000}"/>
  <bookViews>
    <workbookView xWindow="-23343" yWindow="1137" windowWidth="23452" windowHeight="12682" firstSheet="1" activeTab="6" xr2:uid="{A5F93BD7-C420-4245-90DD-F07D4F719108}"/>
  </bookViews>
  <sheets>
    <sheet name="理论市场规模（供参考）" sheetId="2" state="hidden" r:id="rId1"/>
    <sheet name="全国装机" sheetId="4" r:id="rId2"/>
    <sheet name="Bottom-Up分行业_Min" sheetId="3" state="hidden" r:id="rId3"/>
    <sheet name="01 Bottom-Up旧版本" sheetId="5" state="hidden" r:id="rId4"/>
    <sheet name="用电量-各行业汇总" sheetId="6" r:id="rId5"/>
    <sheet name="用电量-工业" sheetId="7" state="hidden" r:id="rId6"/>
    <sheet name="01Bottom-Up" sheetId="11" r:id="rId7"/>
    <sheet name="02Top-Down" sheetId="9" state="hidden" r:id="rId8"/>
    <sheet name="03分布式配储" sheetId="10" state="hidden" r:id="rId9"/>
    <sheet name="03 Cross-Check 现货电量" sheetId="1" state="hidden" r:id="rId10"/>
  </sheets>
  <externalReferences>
    <externalReference r:id="rId11"/>
    <externalReference r:id="rId12"/>
    <externalReference r:id="rId13"/>
  </externalReferences>
  <definedNames>
    <definedName name="_xlnm._FilterDatabase" localSheetId="7" hidden="1">'02Top-Down'!$B$7:$J$18</definedName>
    <definedName name="_xlnm._FilterDatabase" localSheetId="8" hidden="1">'03分布式配储'!$B$5:$N$12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L106" i="11" l="1"/>
  <c r="L105" i="11"/>
  <c r="L7" i="11"/>
  <c r="L104" i="11"/>
  <c r="L85" i="11"/>
  <c r="L103" i="11"/>
  <c r="L101" i="11"/>
  <c r="L99" i="11"/>
  <c r="L98" i="11"/>
  <c r="L96" i="11"/>
  <c r="H18" i="11"/>
  <c r="C8" i="11"/>
  <c r="G93" i="11"/>
  <c r="G96" i="11" s="1"/>
  <c r="G98" i="11" s="1"/>
  <c r="G99" i="11" s="1"/>
  <c r="G101" i="11" s="1"/>
  <c r="H90" i="11"/>
  <c r="G75" i="11"/>
  <c r="H72" i="11"/>
  <c r="F60" i="11"/>
  <c r="F62" i="11" s="1"/>
  <c r="F63" i="11" s="1"/>
  <c r="F65" i="11" s="1"/>
  <c r="E60" i="11"/>
  <c r="E62" i="11" s="1"/>
  <c r="E63" i="11" s="1"/>
  <c r="E65" i="11" s="1"/>
  <c r="D60" i="11"/>
  <c r="D62" i="11" s="1"/>
  <c r="D63" i="11" s="1"/>
  <c r="D65" i="11" s="1"/>
  <c r="C60" i="11"/>
  <c r="C62" i="11" s="1"/>
  <c r="C63" i="11" s="1"/>
  <c r="C65" i="11" s="1"/>
  <c r="C67" i="11" s="1"/>
  <c r="G57" i="11"/>
  <c r="G60" i="11" s="1"/>
  <c r="G62" i="11" s="1"/>
  <c r="G63" i="11" s="1"/>
  <c r="G65" i="11" s="1"/>
  <c r="H11" i="11"/>
  <c r="H12" i="11" s="1"/>
  <c r="G11" i="11"/>
  <c r="G12" i="11" s="1"/>
  <c r="F11" i="11"/>
  <c r="F12" i="11" s="1"/>
  <c r="E11" i="11"/>
  <c r="E12" i="11" s="1"/>
  <c r="D11" i="11"/>
  <c r="D12" i="11" s="1"/>
  <c r="C11" i="11"/>
  <c r="C12" i="11" s="1"/>
  <c r="L9" i="11"/>
  <c r="K9" i="11"/>
  <c r="J9" i="11"/>
  <c r="I9" i="11"/>
  <c r="H5" i="11"/>
  <c r="I5" i="11" s="1"/>
  <c r="H75" i="11" l="1"/>
  <c r="H78" i="11" s="1"/>
  <c r="H80" i="11" s="1"/>
  <c r="H81" i="11" s="1"/>
  <c r="H83" i="11" s="1"/>
  <c r="G5" i="11"/>
  <c r="F5" i="11" s="1"/>
  <c r="E5" i="11" s="1"/>
  <c r="D5" i="11" s="1"/>
  <c r="C5" i="11" s="1"/>
  <c r="F75" i="11"/>
  <c r="E75" i="11" s="1"/>
  <c r="D75" i="11" s="1"/>
  <c r="G78" i="11"/>
  <c r="G80" i="11" s="1"/>
  <c r="G81" i="11" s="1"/>
  <c r="G83" i="11" s="1"/>
  <c r="G67" i="11"/>
  <c r="G69" i="11" s="1"/>
  <c r="E67" i="11"/>
  <c r="D67" i="11"/>
  <c r="D69" i="11" s="1"/>
  <c r="F67" i="11"/>
  <c r="G103" i="11"/>
  <c r="I6" i="11"/>
  <c r="I11" i="11" s="1"/>
  <c r="I12" i="11" s="1"/>
  <c r="J5" i="11"/>
  <c r="L15" i="11"/>
  <c r="F93" i="11"/>
  <c r="H93" i="11"/>
  <c r="E69" i="11" l="1"/>
  <c r="F69" i="11"/>
  <c r="I75" i="11"/>
  <c r="I78" i="11" s="1"/>
  <c r="I80" i="11" s="1"/>
  <c r="I81" i="11" s="1"/>
  <c r="I83" i="11" s="1"/>
  <c r="G85" i="11"/>
  <c r="E78" i="11"/>
  <c r="E80" i="11" s="1"/>
  <c r="E81" i="11" s="1"/>
  <c r="E83" i="11" s="1"/>
  <c r="E85" i="11" s="1"/>
  <c r="F78" i="11"/>
  <c r="F80" i="11" s="1"/>
  <c r="F81" i="11" s="1"/>
  <c r="F83" i="11" s="1"/>
  <c r="F85" i="11" s="1"/>
  <c r="H85" i="11"/>
  <c r="H87" i="11" s="1"/>
  <c r="F96" i="11"/>
  <c r="F98" i="11" s="1"/>
  <c r="F99" i="11" s="1"/>
  <c r="F101" i="11" s="1"/>
  <c r="E93" i="11"/>
  <c r="J6" i="11"/>
  <c r="J11" i="11" s="1"/>
  <c r="J12" i="11" s="1"/>
  <c r="K5" i="11"/>
  <c r="C75" i="11"/>
  <c r="C78" i="11" s="1"/>
  <c r="C80" i="11" s="1"/>
  <c r="C81" i="11" s="1"/>
  <c r="C83" i="11" s="1"/>
  <c r="C85" i="11" s="1"/>
  <c r="D78" i="11"/>
  <c r="D80" i="11" s="1"/>
  <c r="D81" i="11" s="1"/>
  <c r="D83" i="11" s="1"/>
  <c r="H96" i="11"/>
  <c r="H98" i="11" s="1"/>
  <c r="H99" i="11" s="1"/>
  <c r="H101" i="11" s="1"/>
  <c r="I93" i="11"/>
  <c r="G87" i="11" l="1"/>
  <c r="E87" i="11"/>
  <c r="F87" i="11"/>
  <c r="J75" i="11"/>
  <c r="K75" i="11" s="1"/>
  <c r="I96" i="11"/>
  <c r="I98" i="11" s="1"/>
  <c r="I99" i="11" s="1"/>
  <c r="I101" i="11" s="1"/>
  <c r="J93" i="11"/>
  <c r="D85" i="11"/>
  <c r="D87" i="11" s="1"/>
  <c r="E96" i="11"/>
  <c r="E98" i="11" s="1"/>
  <c r="E99" i="11" s="1"/>
  <c r="E101" i="11" s="1"/>
  <c r="D93" i="11"/>
  <c r="H103" i="11"/>
  <c r="H105" i="11" s="1"/>
  <c r="K6" i="11"/>
  <c r="K11" i="11" s="1"/>
  <c r="K12" i="11" s="1"/>
  <c r="L6" i="11"/>
  <c r="L11" i="11" s="1"/>
  <c r="L12" i="11" s="1"/>
  <c r="I85" i="11"/>
  <c r="I87" i="11" s="1"/>
  <c r="F103" i="11"/>
  <c r="F105" i="11" l="1"/>
  <c r="G105" i="11"/>
  <c r="J78" i="11"/>
  <c r="J80" i="11" s="1"/>
  <c r="J81" i="11" s="1"/>
  <c r="J83" i="11" s="1"/>
  <c r="J85" i="11" s="1"/>
  <c r="J87" i="11" s="1"/>
  <c r="K78" i="11"/>
  <c r="K80" i="11" s="1"/>
  <c r="K81" i="11" s="1"/>
  <c r="K83" i="11" s="1"/>
  <c r="L75" i="11"/>
  <c r="C93" i="11"/>
  <c r="C96" i="11" s="1"/>
  <c r="C98" i="11" s="1"/>
  <c r="C99" i="11" s="1"/>
  <c r="C101" i="11" s="1"/>
  <c r="C103" i="11" s="1"/>
  <c r="D96" i="11"/>
  <c r="D98" i="11" s="1"/>
  <c r="D99" i="11" s="1"/>
  <c r="D101" i="11" s="1"/>
  <c r="K93" i="11"/>
  <c r="J96" i="11"/>
  <c r="J98" i="11" s="1"/>
  <c r="J99" i="11" s="1"/>
  <c r="J101" i="11" s="1"/>
  <c r="I103" i="11"/>
  <c r="I105" i="11" s="1"/>
  <c r="E103" i="11"/>
  <c r="E105" i="11" l="1"/>
  <c r="D103" i="11"/>
  <c r="D105" i="11" s="1"/>
  <c r="L78" i="11"/>
  <c r="L80" i="11" s="1"/>
  <c r="L81" i="11" s="1"/>
  <c r="L83" i="11" s="1"/>
  <c r="L93" i="11"/>
  <c r="K96" i="11"/>
  <c r="K98" i="11" s="1"/>
  <c r="K99" i="11" s="1"/>
  <c r="K101" i="11" s="1"/>
  <c r="K85" i="11"/>
  <c r="K87" i="11" s="1"/>
  <c r="J103" i="11"/>
  <c r="J105" i="11" s="1"/>
  <c r="C18" i="4"/>
  <c r="D18" i="4"/>
  <c r="E18" i="4"/>
  <c r="F18" i="4"/>
  <c r="G18" i="4"/>
  <c r="H19" i="4"/>
  <c r="H23" i="4" s="1"/>
  <c r="I19" i="4" l="1"/>
  <c r="K103" i="11"/>
  <c r="K105" i="11" s="1"/>
  <c r="L87" i="11"/>
  <c r="B6" i="10"/>
  <c r="B7" i="10"/>
  <c r="B8" i="10"/>
  <c r="B9" i="10"/>
  <c r="B12" i="10"/>
  <c r="B11" i="10"/>
  <c r="B10" i="10"/>
  <c r="K5" i="4"/>
  <c r="I5" i="4"/>
  <c r="H85" i="5"/>
  <c r="G85" i="5"/>
  <c r="F34" i="9"/>
  <c r="E34" i="9"/>
  <c r="F33" i="9"/>
  <c r="E33" i="9"/>
  <c r="F31" i="9"/>
  <c r="E31" i="9"/>
  <c r="F30" i="9"/>
  <c r="E30" i="9"/>
  <c r="F29" i="9"/>
  <c r="E29" i="9"/>
  <c r="F28" i="9"/>
  <c r="E28" i="9"/>
  <c r="F27" i="9"/>
  <c r="E27" i="9"/>
  <c r="F26" i="9"/>
  <c r="E26" i="9"/>
  <c r="F25" i="9"/>
  <c r="E25" i="9"/>
  <c r="F24" i="9"/>
  <c r="E24" i="9"/>
  <c r="F18" i="9"/>
  <c r="F17" i="9"/>
  <c r="F15" i="9"/>
  <c r="F14" i="9"/>
  <c r="F13" i="9"/>
  <c r="F12" i="9"/>
  <c r="F11" i="9"/>
  <c r="F10" i="9"/>
  <c r="F9" i="9"/>
  <c r="F8" i="9"/>
  <c r="C12" i="4"/>
  <c r="K9" i="5"/>
  <c r="J9" i="5"/>
  <c r="I9" i="5"/>
  <c r="L9" i="5"/>
  <c r="C13" i="5"/>
  <c r="C11" i="5"/>
  <c r="J19" i="4" l="1"/>
  <c r="I23" i="4"/>
  <c r="C12" i="5"/>
  <c r="C8" i="5"/>
  <c r="H18" i="5"/>
  <c r="H72" i="5"/>
  <c r="H90" i="5"/>
  <c r="G75" i="5"/>
  <c r="D37" i="7"/>
  <c r="D3" i="7"/>
  <c r="C60" i="5"/>
  <c r="K19" i="4" l="1"/>
  <c r="J23" i="4"/>
  <c r="C32" i="5"/>
  <c r="C50" i="5"/>
  <c r="C68" i="5"/>
  <c r="C86" i="5"/>
  <c r="C104" i="5"/>
  <c r="F75" i="5"/>
  <c r="E75" i="5" s="1"/>
  <c r="D75" i="5" s="1"/>
  <c r="C75" i="5" s="1"/>
  <c r="H75" i="5"/>
  <c r="I75" i="5" s="1"/>
  <c r="J75" i="5" s="1"/>
  <c r="K75" i="5" s="1"/>
  <c r="L75" i="5" s="1"/>
  <c r="K23" i="4" l="1"/>
  <c r="L19" i="4"/>
  <c r="L23" i="4" s="1"/>
  <c r="G57" i="5"/>
  <c r="G93" i="5"/>
  <c r="D27" i="6"/>
  <c r="D22" i="6"/>
  <c r="L14" i="6"/>
  <c r="K14" i="6"/>
  <c r="J14" i="6"/>
  <c r="I14" i="6"/>
  <c r="F14" i="6"/>
  <c r="H57" i="11" s="1"/>
  <c r="E14" i="6"/>
  <c r="E27" i="6" s="1"/>
  <c r="L13" i="6"/>
  <c r="G13" i="6"/>
  <c r="H13" i="6" s="1"/>
  <c r="E13" i="6"/>
  <c r="E26" i="6" s="1"/>
  <c r="L12" i="6"/>
  <c r="D12" i="6"/>
  <c r="G39" i="11" s="1"/>
  <c r="L11" i="6"/>
  <c r="D11" i="6"/>
  <c r="E11" i="6" s="1"/>
  <c r="D10" i="6"/>
  <c r="D24" i="6" s="1"/>
  <c r="D9" i="6"/>
  <c r="G21" i="11" s="1"/>
  <c r="J7" i="6"/>
  <c r="F7" i="6"/>
  <c r="F20" i="6" s="1"/>
  <c r="D7" i="6"/>
  <c r="E7" i="6" s="1"/>
  <c r="I7" i="6" s="1"/>
  <c r="H21" i="11" l="1"/>
  <c r="G24" i="11"/>
  <c r="G26" i="11" s="1"/>
  <c r="G27" i="11" s="1"/>
  <c r="G29" i="11" s="1"/>
  <c r="F21" i="11"/>
  <c r="H60" i="11"/>
  <c r="H62" i="11" s="1"/>
  <c r="H63" i="11" s="1"/>
  <c r="H65" i="11" s="1"/>
  <c r="H67" i="11" s="1"/>
  <c r="H69" i="11" s="1"/>
  <c r="G42" i="11"/>
  <c r="G44" i="11" s="1"/>
  <c r="G45" i="11" s="1"/>
  <c r="G47" i="11" s="1"/>
  <c r="G49" i="11" s="1"/>
  <c r="H54" i="5"/>
  <c r="H54" i="11"/>
  <c r="I57" i="11" s="1"/>
  <c r="G14" i="6"/>
  <c r="G27" i="6" s="1"/>
  <c r="E9" i="6"/>
  <c r="M9" i="6" s="1"/>
  <c r="G21" i="5"/>
  <c r="D26" i="6"/>
  <c r="G39" i="5"/>
  <c r="G42" i="5" s="1"/>
  <c r="G44" i="5" s="1"/>
  <c r="G45" i="5" s="1"/>
  <c r="G47" i="5" s="1"/>
  <c r="G96" i="5"/>
  <c r="G98" i="5" s="1"/>
  <c r="G99" i="5" s="1"/>
  <c r="G101" i="5" s="1"/>
  <c r="G103" i="5" s="1"/>
  <c r="H93" i="5"/>
  <c r="I93" i="5" s="1"/>
  <c r="J93" i="5" s="1"/>
  <c r="K93" i="5" s="1"/>
  <c r="L93" i="5" s="1"/>
  <c r="F93" i="5"/>
  <c r="E93" i="5" s="1"/>
  <c r="D93" i="5" s="1"/>
  <c r="C93" i="5" s="1"/>
  <c r="H57" i="5"/>
  <c r="K7" i="6"/>
  <c r="D8" i="6"/>
  <c r="D21" i="6" s="1"/>
  <c r="D20" i="6"/>
  <c r="D23" i="6"/>
  <c r="F27" i="6"/>
  <c r="E12" i="6"/>
  <c r="G12" i="6" s="1"/>
  <c r="E24" i="6"/>
  <c r="G11" i="6"/>
  <c r="H26" i="6"/>
  <c r="E20" i="6"/>
  <c r="E10" i="6"/>
  <c r="G10" i="6" s="1"/>
  <c r="E5" i="6"/>
  <c r="D25" i="6"/>
  <c r="G26" i="6"/>
  <c r="G16" i="6"/>
  <c r="I60" i="11" l="1"/>
  <c r="I62" i="11" s="1"/>
  <c r="I63" i="11" s="1"/>
  <c r="I65" i="11" s="1"/>
  <c r="I67" i="11" s="1"/>
  <c r="I69" i="11" s="1"/>
  <c r="J57" i="11"/>
  <c r="L57" i="5"/>
  <c r="L57" i="11"/>
  <c r="L60" i="11" s="1"/>
  <c r="L62" i="11" s="1"/>
  <c r="L63" i="11" s="1"/>
  <c r="L65" i="11" s="1"/>
  <c r="L67" i="11" s="1"/>
  <c r="E21" i="11"/>
  <c r="F24" i="11"/>
  <c r="F26" i="11" s="1"/>
  <c r="F27" i="11" s="1"/>
  <c r="F29" i="11" s="1"/>
  <c r="L39" i="11"/>
  <c r="G31" i="11"/>
  <c r="G4" i="11"/>
  <c r="H24" i="11"/>
  <c r="H26" i="11" s="1"/>
  <c r="H27" i="11" s="1"/>
  <c r="H29" i="11" s="1"/>
  <c r="I21" i="11"/>
  <c r="L39" i="5"/>
  <c r="H36" i="5" s="1"/>
  <c r="F39" i="5" s="1"/>
  <c r="G9" i="6"/>
  <c r="E22" i="6"/>
  <c r="I22" i="6" s="1"/>
  <c r="H14" i="6"/>
  <c r="H27" i="6" s="1"/>
  <c r="I57" i="5"/>
  <c r="J57" i="5" s="1"/>
  <c r="K57" i="5" s="1"/>
  <c r="F21" i="5"/>
  <c r="E21" i="5" s="1"/>
  <c r="D21" i="5" s="1"/>
  <c r="C21" i="5" s="1"/>
  <c r="H21" i="5"/>
  <c r="I21" i="5" s="1"/>
  <c r="J21" i="5" s="1"/>
  <c r="K21" i="5" s="1"/>
  <c r="L42" i="5"/>
  <c r="L44" i="5" s="1"/>
  <c r="L45" i="5" s="1"/>
  <c r="L47" i="5" s="1"/>
  <c r="G105" i="5"/>
  <c r="G49" i="5"/>
  <c r="G51" i="5"/>
  <c r="E96" i="5"/>
  <c r="E98" i="5" s="1"/>
  <c r="E99" i="5" s="1"/>
  <c r="E101" i="5" s="1"/>
  <c r="E103" i="5" s="1"/>
  <c r="F96" i="5"/>
  <c r="F98" i="5" s="1"/>
  <c r="F99" i="5" s="1"/>
  <c r="F101" i="5" s="1"/>
  <c r="F105" i="5" s="1"/>
  <c r="E25" i="6"/>
  <c r="F12" i="6"/>
  <c r="F25" i="6" s="1"/>
  <c r="F11" i="6"/>
  <c r="F24" i="6" s="1"/>
  <c r="F13" i="6"/>
  <c r="D96" i="5"/>
  <c r="D98" i="5" s="1"/>
  <c r="D99" i="5" s="1"/>
  <c r="D101" i="5" s="1"/>
  <c r="C96" i="5"/>
  <c r="C98" i="5" s="1"/>
  <c r="C99" i="5" s="1"/>
  <c r="H96" i="5"/>
  <c r="H98" i="5" s="1"/>
  <c r="H99" i="5" s="1"/>
  <c r="H101" i="5" s="1"/>
  <c r="F9" i="6"/>
  <c r="F22" i="6" s="1"/>
  <c r="G25" i="6"/>
  <c r="H12" i="6"/>
  <c r="E23" i="6"/>
  <c r="I23" i="6" s="1"/>
  <c r="M10" i="6"/>
  <c r="F10" i="6"/>
  <c r="G22" i="6"/>
  <c r="G24" i="6"/>
  <c r="H11" i="6"/>
  <c r="E8" i="6"/>
  <c r="F8" i="6" s="1"/>
  <c r="E24" i="11" l="1"/>
  <c r="E26" i="11" s="1"/>
  <c r="E27" i="11" s="1"/>
  <c r="E29" i="11" s="1"/>
  <c r="D21" i="11"/>
  <c r="I24" i="11"/>
  <c r="I26" i="11" s="1"/>
  <c r="I27" i="11" s="1"/>
  <c r="I29" i="11" s="1"/>
  <c r="J21" i="11"/>
  <c r="H31" i="11"/>
  <c r="H4" i="11"/>
  <c r="L21" i="5"/>
  <c r="L21" i="11"/>
  <c r="L24" i="11" s="1"/>
  <c r="L26" i="11" s="1"/>
  <c r="L27" i="11" s="1"/>
  <c r="L29" i="11" s="1"/>
  <c r="F31" i="11"/>
  <c r="G33" i="11" s="1"/>
  <c r="F4" i="11"/>
  <c r="G7" i="11"/>
  <c r="G32" i="11" s="1"/>
  <c r="K57" i="11"/>
  <c r="K60" i="11" s="1"/>
  <c r="K62" i="11" s="1"/>
  <c r="K63" i="11" s="1"/>
  <c r="K65" i="11" s="1"/>
  <c r="K67" i="11" s="1"/>
  <c r="J60" i="11"/>
  <c r="J62" i="11" s="1"/>
  <c r="J63" i="11" s="1"/>
  <c r="J65" i="11" s="1"/>
  <c r="J67" i="11" s="1"/>
  <c r="J69" i="11" s="1"/>
  <c r="L51" i="5"/>
  <c r="L49" i="5"/>
  <c r="H36" i="11"/>
  <c r="L42" i="11"/>
  <c r="L44" i="11" s="1"/>
  <c r="L45" i="11" s="1"/>
  <c r="L47" i="11" s="1"/>
  <c r="L49" i="11" s="1"/>
  <c r="H9" i="6"/>
  <c r="K9" i="6" s="1"/>
  <c r="H39" i="5"/>
  <c r="I39" i="5" s="1"/>
  <c r="J39" i="5" s="1"/>
  <c r="K39" i="5" s="1"/>
  <c r="D105" i="5"/>
  <c r="D103" i="5"/>
  <c r="E39" i="5"/>
  <c r="F42" i="5"/>
  <c r="F44" i="5" s="1"/>
  <c r="F45" i="5" s="1"/>
  <c r="F47" i="5" s="1"/>
  <c r="E105" i="5"/>
  <c r="F103" i="5"/>
  <c r="C101" i="5"/>
  <c r="C105" i="5" s="1"/>
  <c r="I96" i="5"/>
  <c r="I98" i="5" s="1"/>
  <c r="I99" i="5" s="1"/>
  <c r="I101" i="5" s="1"/>
  <c r="I103" i="5" s="1"/>
  <c r="H103" i="5"/>
  <c r="H105" i="5"/>
  <c r="H24" i="6"/>
  <c r="I24" i="6" s="1"/>
  <c r="K11" i="6"/>
  <c r="F23" i="6"/>
  <c r="F15" i="6"/>
  <c r="G15" i="6"/>
  <c r="H10" i="6"/>
  <c r="H8" i="6" s="1"/>
  <c r="G23" i="6"/>
  <c r="G21" i="6" s="1"/>
  <c r="E21" i="6"/>
  <c r="F21" i="6"/>
  <c r="F16" i="6"/>
  <c r="H16" i="6" s="1"/>
  <c r="F26" i="6"/>
  <c r="K13" i="6"/>
  <c r="H25" i="6"/>
  <c r="K12" i="6"/>
  <c r="G8" i="6"/>
  <c r="I8" i="6" s="1"/>
  <c r="K69" i="11" l="1"/>
  <c r="H33" i="11"/>
  <c r="G6" i="4"/>
  <c r="G14" i="11"/>
  <c r="G68" i="11"/>
  <c r="G86" i="11"/>
  <c r="G104" i="11"/>
  <c r="G50" i="11"/>
  <c r="L69" i="11"/>
  <c r="H39" i="11"/>
  <c r="F39" i="11"/>
  <c r="K21" i="11"/>
  <c r="K24" i="11" s="1"/>
  <c r="K26" i="11" s="1"/>
  <c r="K27" i="11" s="1"/>
  <c r="K29" i="11" s="1"/>
  <c r="J24" i="11"/>
  <c r="J26" i="11" s="1"/>
  <c r="J27" i="11" s="1"/>
  <c r="J29" i="11" s="1"/>
  <c r="I31" i="11"/>
  <c r="I4" i="11"/>
  <c r="L31" i="11"/>
  <c r="L4" i="11"/>
  <c r="D24" i="11"/>
  <c r="D26" i="11" s="1"/>
  <c r="D27" i="11" s="1"/>
  <c r="D29" i="11" s="1"/>
  <c r="C21" i="11"/>
  <c r="C24" i="11" s="1"/>
  <c r="C26" i="11" s="1"/>
  <c r="E4" i="11"/>
  <c r="E31" i="11"/>
  <c r="H22" i="6"/>
  <c r="H15" i="6"/>
  <c r="F51" i="5"/>
  <c r="F49" i="5"/>
  <c r="D39" i="5"/>
  <c r="E42" i="5"/>
  <c r="E44" i="5" s="1"/>
  <c r="E45" i="5" s="1"/>
  <c r="E47" i="5" s="1"/>
  <c r="J96" i="5"/>
  <c r="J98" i="5" s="1"/>
  <c r="J99" i="5" s="1"/>
  <c r="J101" i="5" s="1"/>
  <c r="I105" i="5"/>
  <c r="K10" i="6"/>
  <c r="H23" i="6"/>
  <c r="K8" i="6"/>
  <c r="J8" i="6"/>
  <c r="H21" i="6" l="1"/>
  <c r="C27" i="11"/>
  <c r="C29" i="11" s="1"/>
  <c r="L32" i="11"/>
  <c r="H42" i="11"/>
  <c r="H44" i="11" s="1"/>
  <c r="H45" i="11" s="1"/>
  <c r="H47" i="11" s="1"/>
  <c r="H49" i="11" s="1"/>
  <c r="I39" i="11"/>
  <c r="I33" i="11"/>
  <c r="F33" i="11"/>
  <c r="J31" i="11"/>
  <c r="J4" i="11"/>
  <c r="E39" i="11"/>
  <c r="F42" i="11"/>
  <c r="F44" i="11" s="1"/>
  <c r="F45" i="11" s="1"/>
  <c r="F47" i="11" s="1"/>
  <c r="F49" i="11" s="1"/>
  <c r="D31" i="11"/>
  <c r="D4" i="11"/>
  <c r="K4" i="11"/>
  <c r="K31" i="11"/>
  <c r="C39" i="5"/>
  <c r="C42" i="5" s="1"/>
  <c r="C44" i="5" s="1"/>
  <c r="C45" i="5" s="1"/>
  <c r="C47" i="5" s="1"/>
  <c r="C51" i="5" s="1"/>
  <c r="D42" i="5"/>
  <c r="D44" i="5" s="1"/>
  <c r="D45" i="5" s="1"/>
  <c r="D47" i="5" s="1"/>
  <c r="E51" i="5"/>
  <c r="E49" i="5"/>
  <c r="J103" i="5"/>
  <c r="J105" i="5"/>
  <c r="K96" i="5"/>
  <c r="K98" i="5" s="1"/>
  <c r="K99" i="5" s="1"/>
  <c r="K101" i="5" s="1"/>
  <c r="L96" i="5"/>
  <c r="L98" i="5" s="1"/>
  <c r="L99" i="5" s="1"/>
  <c r="L101" i="5" s="1"/>
  <c r="L105" i="5" s="1"/>
  <c r="G78" i="5"/>
  <c r="G80" i="5" s="1"/>
  <c r="G81" i="5" s="1"/>
  <c r="G83" i="5" s="1"/>
  <c r="F78" i="5"/>
  <c r="F80" i="5" s="1"/>
  <c r="F81" i="5" s="1"/>
  <c r="F83" i="5" s="1"/>
  <c r="F85" i="5" s="1"/>
  <c r="E78" i="5"/>
  <c r="E80" i="5" s="1"/>
  <c r="E81" i="5" s="1"/>
  <c r="E83" i="5" s="1"/>
  <c r="D78" i="5"/>
  <c r="D80" i="5" s="1"/>
  <c r="D81" i="5" s="1"/>
  <c r="D83" i="5" s="1"/>
  <c r="C78" i="5"/>
  <c r="C80" i="5" s="1"/>
  <c r="C81" i="5" s="1"/>
  <c r="C83" i="5" s="1"/>
  <c r="C87" i="5" s="1"/>
  <c r="G60" i="5"/>
  <c r="G62" i="5" s="1"/>
  <c r="G63" i="5" s="1"/>
  <c r="G65" i="5" s="1"/>
  <c r="F60" i="5"/>
  <c r="F62" i="5" s="1"/>
  <c r="F63" i="5" s="1"/>
  <c r="F65" i="5" s="1"/>
  <c r="E60" i="5"/>
  <c r="E62" i="5" s="1"/>
  <c r="E63" i="5" s="1"/>
  <c r="E65" i="5" s="1"/>
  <c r="D60" i="5"/>
  <c r="D62" i="5" s="1"/>
  <c r="D63" i="5" s="1"/>
  <c r="D65" i="5" s="1"/>
  <c r="C62" i="5"/>
  <c r="H60" i="5"/>
  <c r="H62" i="5" s="1"/>
  <c r="H63" i="5" s="1"/>
  <c r="H65" i="5" s="1"/>
  <c r="H67" i="5" s="1"/>
  <c r="G24" i="5"/>
  <c r="G26" i="5" s="1"/>
  <c r="G27" i="5" s="1"/>
  <c r="G29" i="5" s="1"/>
  <c r="G31" i="5" s="1"/>
  <c r="G8" i="5" s="1"/>
  <c r="F24" i="5"/>
  <c r="F26" i="5" s="1"/>
  <c r="F27" i="5" s="1"/>
  <c r="F29" i="5" s="1"/>
  <c r="F31" i="5" s="1"/>
  <c r="E24" i="5"/>
  <c r="E26" i="5" s="1"/>
  <c r="E27" i="5" s="1"/>
  <c r="E29" i="5" s="1"/>
  <c r="D24" i="5"/>
  <c r="D26" i="5" s="1"/>
  <c r="D27" i="5" s="1"/>
  <c r="D29" i="5" s="1"/>
  <c r="D31" i="5" s="1"/>
  <c r="C24" i="5"/>
  <c r="C26" i="5" s="1"/>
  <c r="H11" i="5"/>
  <c r="H12" i="5" s="1"/>
  <c r="G11" i="5"/>
  <c r="G12" i="5" s="1"/>
  <c r="F11" i="5"/>
  <c r="F12" i="5" s="1"/>
  <c r="E11" i="5"/>
  <c r="E12" i="5" s="1"/>
  <c r="D11" i="5"/>
  <c r="D12" i="5" s="1"/>
  <c r="H5" i="5"/>
  <c r="L15" i="5" s="1"/>
  <c r="C11" i="4"/>
  <c r="D10" i="4"/>
  <c r="C7" i="3"/>
  <c r="C32" i="3"/>
  <c r="L66" i="3"/>
  <c r="L48" i="3"/>
  <c r="L30" i="3"/>
  <c r="L7" i="3"/>
  <c r="E10" i="4"/>
  <c r="F10" i="4"/>
  <c r="G10" i="4"/>
  <c r="D32" i="3"/>
  <c r="H6" i="3"/>
  <c r="F30" i="3"/>
  <c r="C28" i="3"/>
  <c r="C31" i="11" l="1"/>
  <c r="C4" i="11"/>
  <c r="D33" i="11"/>
  <c r="J33" i="11"/>
  <c r="K33" i="11"/>
  <c r="I42" i="11"/>
  <c r="I44" i="11" s="1"/>
  <c r="I45" i="11" s="1"/>
  <c r="I47" i="11" s="1"/>
  <c r="I49" i="11" s="1"/>
  <c r="J39" i="11"/>
  <c r="H51" i="11"/>
  <c r="H7" i="11"/>
  <c r="H50" i="11" s="1"/>
  <c r="G51" i="11"/>
  <c r="F7" i="11"/>
  <c r="F50" i="11" s="1"/>
  <c r="D39" i="11"/>
  <c r="E42" i="11"/>
  <c r="E44" i="11" s="1"/>
  <c r="E45" i="11" s="1"/>
  <c r="E47" i="11" s="1"/>
  <c r="E49" i="11" s="1"/>
  <c r="E33" i="11"/>
  <c r="L6" i="4"/>
  <c r="L86" i="11"/>
  <c r="L14" i="11"/>
  <c r="L68" i="11"/>
  <c r="L50" i="11"/>
  <c r="L33" i="11"/>
  <c r="D85" i="5"/>
  <c r="D87" i="5"/>
  <c r="D49" i="5"/>
  <c r="D51" i="5"/>
  <c r="C27" i="5"/>
  <c r="C29" i="5" s="1"/>
  <c r="C33" i="5" s="1"/>
  <c r="C63" i="5"/>
  <c r="C65" i="5" s="1"/>
  <c r="E31" i="5"/>
  <c r="E33" i="5"/>
  <c r="I5" i="5"/>
  <c r="I6" i="5" s="1"/>
  <c r="I11" i="5" s="1"/>
  <c r="I12" i="5" s="1"/>
  <c r="E4" i="5"/>
  <c r="D69" i="5"/>
  <c r="D67" i="5"/>
  <c r="L103" i="5"/>
  <c r="K103" i="5"/>
  <c r="K105" i="5"/>
  <c r="D4" i="5"/>
  <c r="D33" i="5"/>
  <c r="F69" i="5"/>
  <c r="F67" i="5"/>
  <c r="F4" i="5"/>
  <c r="F33" i="5"/>
  <c r="G67" i="5"/>
  <c r="G69" i="5"/>
  <c r="F87" i="5"/>
  <c r="E69" i="5"/>
  <c r="E67" i="5"/>
  <c r="G87" i="5"/>
  <c r="H69" i="5"/>
  <c r="G33" i="5"/>
  <c r="G4" i="5"/>
  <c r="E87" i="5"/>
  <c r="E85" i="5"/>
  <c r="G5" i="5"/>
  <c r="F5" i="5" s="1"/>
  <c r="E5" i="5" s="1"/>
  <c r="D5" i="5" s="1"/>
  <c r="C5" i="5" s="1"/>
  <c r="J5" i="4"/>
  <c r="F56" i="3"/>
  <c r="C12" i="3"/>
  <c r="C10" i="3"/>
  <c r="C11" i="3"/>
  <c r="E66" i="3"/>
  <c r="C49" i="3"/>
  <c r="H3" i="2"/>
  <c r="I56" i="3"/>
  <c r="H56" i="3"/>
  <c r="G56" i="3"/>
  <c r="D56" i="3"/>
  <c r="C56" i="3"/>
  <c r="D59" i="3"/>
  <c r="D61" i="3" s="1"/>
  <c r="D62" i="3" s="1"/>
  <c r="D64" i="3" s="1"/>
  <c r="D66" i="3" s="1"/>
  <c r="E56" i="3"/>
  <c r="E59" i="3" s="1"/>
  <c r="E61" i="3" s="1"/>
  <c r="E62" i="3" s="1"/>
  <c r="E64" i="3" s="1"/>
  <c r="F59" i="3"/>
  <c r="F61" i="3" s="1"/>
  <c r="F62" i="3" s="1"/>
  <c r="F64" i="3" s="1"/>
  <c r="F66" i="3" s="1"/>
  <c r="J56" i="3"/>
  <c r="K56" i="3" s="1"/>
  <c r="L56" i="3" s="1"/>
  <c r="H20" i="3"/>
  <c r="I20" i="3" s="1"/>
  <c r="J20" i="3" s="1"/>
  <c r="K20" i="3" s="1"/>
  <c r="L20" i="3" s="1"/>
  <c r="H38" i="3"/>
  <c r="I38" i="3" s="1"/>
  <c r="J38" i="3" s="1"/>
  <c r="K38" i="3" s="1"/>
  <c r="L38" i="3" s="1"/>
  <c r="C59" i="3"/>
  <c r="C61" i="3" s="1"/>
  <c r="C62" i="3" s="1"/>
  <c r="C64" i="3" s="1"/>
  <c r="C68" i="3" s="1"/>
  <c r="C41" i="3"/>
  <c r="C43" i="3" s="1"/>
  <c r="C44" i="3" s="1"/>
  <c r="C46" i="3" s="1"/>
  <c r="C50" i="3" s="1"/>
  <c r="C6" i="3" s="1"/>
  <c r="G41" i="3"/>
  <c r="G43" i="3" s="1"/>
  <c r="G44" i="3" s="1"/>
  <c r="G46" i="3" s="1"/>
  <c r="F41" i="3"/>
  <c r="F43" i="3" s="1"/>
  <c r="F44" i="3" s="1"/>
  <c r="F46" i="3" s="1"/>
  <c r="E41" i="3"/>
  <c r="E43" i="3" s="1"/>
  <c r="E44" i="3" s="1"/>
  <c r="E46" i="3" s="1"/>
  <c r="D41" i="3"/>
  <c r="D43" i="3" s="1"/>
  <c r="D44" i="3" s="1"/>
  <c r="D46" i="3" s="1"/>
  <c r="D48" i="3" s="1"/>
  <c r="C23" i="3"/>
  <c r="C25" i="3" s="1"/>
  <c r="C26" i="3" s="1"/>
  <c r="D23" i="3"/>
  <c r="D25" i="3" s="1"/>
  <c r="D26" i="3" s="1"/>
  <c r="D28" i="3" s="1"/>
  <c r="D30" i="3" s="1"/>
  <c r="E23" i="3"/>
  <c r="E25" i="3" s="1"/>
  <c r="E26" i="3" s="1"/>
  <c r="E28" i="3" s="1"/>
  <c r="E30" i="3" s="1"/>
  <c r="F23" i="3"/>
  <c r="F25" i="3" s="1"/>
  <c r="F26" i="3" s="1"/>
  <c r="F28" i="3" s="1"/>
  <c r="G23" i="3"/>
  <c r="G25" i="3" s="1"/>
  <c r="G26" i="3" s="1"/>
  <c r="G28" i="3" s="1"/>
  <c r="H23" i="3"/>
  <c r="H25" i="3" s="1"/>
  <c r="H4" i="3"/>
  <c r="I4" i="3" s="1"/>
  <c r="L8" i="3"/>
  <c r="I8" i="3" s="1"/>
  <c r="D10" i="3"/>
  <c r="D11" i="3" s="1"/>
  <c r="E10" i="3"/>
  <c r="E11" i="3" s="1"/>
  <c r="F10" i="3"/>
  <c r="F11" i="3" s="1"/>
  <c r="G10" i="3"/>
  <c r="G11" i="3" s="1"/>
  <c r="H10" i="3"/>
  <c r="H11" i="3" s="1"/>
  <c r="F51" i="11" l="1"/>
  <c r="E51" i="11"/>
  <c r="E7" i="11"/>
  <c r="F8" i="11" s="1"/>
  <c r="C39" i="11"/>
  <c r="C42" i="11" s="1"/>
  <c r="C44" i="11" s="1"/>
  <c r="C45" i="11" s="1"/>
  <c r="C47" i="11" s="1"/>
  <c r="C49" i="11" s="1"/>
  <c r="D42" i="11"/>
  <c r="D44" i="11" s="1"/>
  <c r="D45" i="11" s="1"/>
  <c r="D47" i="11" s="1"/>
  <c r="D49" i="11" s="1"/>
  <c r="I51" i="11"/>
  <c r="I7" i="11"/>
  <c r="F6" i="4"/>
  <c r="F104" i="11"/>
  <c r="F14" i="11"/>
  <c r="F86" i="11"/>
  <c r="F68" i="11"/>
  <c r="F32" i="11"/>
  <c r="G8" i="11"/>
  <c r="G52" i="11" s="1"/>
  <c r="J42" i="11"/>
  <c r="J44" i="11" s="1"/>
  <c r="J45" i="11" s="1"/>
  <c r="J47" i="11" s="1"/>
  <c r="J49" i="11" s="1"/>
  <c r="K39" i="11"/>
  <c r="K42" i="11" s="1"/>
  <c r="K44" i="11" s="1"/>
  <c r="K45" i="11" s="1"/>
  <c r="K47" i="11" s="1"/>
  <c r="K49" i="11" s="1"/>
  <c r="H6" i="4"/>
  <c r="H8" i="11"/>
  <c r="H104" i="11"/>
  <c r="H14" i="11"/>
  <c r="H68" i="11"/>
  <c r="H86" i="11"/>
  <c r="H32" i="11"/>
  <c r="D8" i="5"/>
  <c r="D86" i="5" s="1"/>
  <c r="D7" i="5"/>
  <c r="G7" i="5"/>
  <c r="E8" i="5"/>
  <c r="F8" i="5"/>
  <c r="F13" i="5" s="1"/>
  <c r="E7" i="5"/>
  <c r="F7" i="5"/>
  <c r="J5" i="5"/>
  <c r="J6" i="5" s="1"/>
  <c r="J11" i="5" s="1"/>
  <c r="J12" i="5" s="1"/>
  <c r="C69" i="5"/>
  <c r="C7" i="5" s="1"/>
  <c r="C4" i="5"/>
  <c r="I60" i="5"/>
  <c r="I62" i="5" s="1"/>
  <c r="I63" i="5" s="1"/>
  <c r="I65" i="5" s="1"/>
  <c r="I67" i="5" s="1"/>
  <c r="H78" i="5"/>
  <c r="H80" i="5" s="1"/>
  <c r="H81" i="5" s="1"/>
  <c r="H83" i="5" s="1"/>
  <c r="C13" i="3"/>
  <c r="F3" i="3"/>
  <c r="D3" i="3"/>
  <c r="E3" i="3"/>
  <c r="G48" i="3"/>
  <c r="F48" i="3"/>
  <c r="E48" i="3"/>
  <c r="E31" i="3" s="1"/>
  <c r="C3" i="3"/>
  <c r="C31" i="3"/>
  <c r="C67" i="3"/>
  <c r="C51" i="3"/>
  <c r="C69" i="3"/>
  <c r="I59" i="3"/>
  <c r="I61" i="3" s="1"/>
  <c r="I62" i="3" s="1"/>
  <c r="I64" i="3" s="1"/>
  <c r="I66" i="3" s="1"/>
  <c r="H59" i="3"/>
  <c r="H61" i="3" s="1"/>
  <c r="H62" i="3" s="1"/>
  <c r="H64" i="3" s="1"/>
  <c r="G59" i="3"/>
  <c r="G61" i="3" s="1"/>
  <c r="G62" i="3" s="1"/>
  <c r="G64" i="3" s="1"/>
  <c r="D68" i="3"/>
  <c r="F68" i="3"/>
  <c r="E68" i="3"/>
  <c r="H41" i="3"/>
  <c r="H43" i="3" s="1"/>
  <c r="H44" i="3" s="1"/>
  <c r="H46" i="3" s="1"/>
  <c r="I41" i="3"/>
  <c r="I43" i="3" s="1"/>
  <c r="I44" i="3" s="1"/>
  <c r="I46" i="3" s="1"/>
  <c r="F50" i="3"/>
  <c r="D50" i="3"/>
  <c r="E50" i="3"/>
  <c r="G50" i="3"/>
  <c r="L14" i="3"/>
  <c r="F32" i="3"/>
  <c r="E32" i="3"/>
  <c r="G32" i="3"/>
  <c r="G30" i="3"/>
  <c r="J8" i="3"/>
  <c r="K8" i="3" s="1"/>
  <c r="G4" i="3"/>
  <c r="J4" i="3"/>
  <c r="I5" i="3"/>
  <c r="I10" i="3" s="1"/>
  <c r="I11" i="3" s="1"/>
  <c r="F5" i="4" l="1"/>
  <c r="J51" i="11"/>
  <c r="J7" i="11"/>
  <c r="J50" i="11" s="1"/>
  <c r="C7" i="11"/>
  <c r="C50" i="11" s="1"/>
  <c r="E6" i="4"/>
  <c r="E14" i="11"/>
  <c r="E68" i="11"/>
  <c r="E86" i="11"/>
  <c r="E104" i="11"/>
  <c r="E32" i="11"/>
  <c r="G106" i="11"/>
  <c r="G70" i="11"/>
  <c r="G13" i="11"/>
  <c r="G88" i="11"/>
  <c r="G34" i="11"/>
  <c r="I6" i="4"/>
  <c r="I14" i="11"/>
  <c r="I86" i="11"/>
  <c r="I8" i="11"/>
  <c r="I52" i="11" s="1"/>
  <c r="I68" i="11"/>
  <c r="I104" i="11"/>
  <c r="I32" i="11"/>
  <c r="E50" i="11"/>
  <c r="I50" i="11"/>
  <c r="H70" i="11"/>
  <c r="H13" i="11"/>
  <c r="H88" i="11"/>
  <c r="H106" i="11"/>
  <c r="H34" i="11"/>
  <c r="F88" i="11"/>
  <c r="F106" i="11"/>
  <c r="F13" i="11"/>
  <c r="F70" i="11"/>
  <c r="F34" i="11"/>
  <c r="F52" i="11"/>
  <c r="H52" i="11"/>
  <c r="K51" i="11"/>
  <c r="L51" i="11"/>
  <c r="K7" i="11"/>
  <c r="K50" i="11" s="1"/>
  <c r="D51" i="11"/>
  <c r="D7" i="11"/>
  <c r="E8" i="11" s="1"/>
  <c r="E52" i="11" s="1"/>
  <c r="G12" i="4"/>
  <c r="G11" i="4" s="1"/>
  <c r="G5" i="4"/>
  <c r="D104" i="5"/>
  <c r="C34" i="5"/>
  <c r="G86" i="5"/>
  <c r="D32" i="5"/>
  <c r="D14" i="5"/>
  <c r="F68" i="5"/>
  <c r="G14" i="5"/>
  <c r="D13" i="5"/>
  <c r="F14" i="5"/>
  <c r="D50" i="5"/>
  <c r="E14" i="5"/>
  <c r="D68" i="5"/>
  <c r="C88" i="5"/>
  <c r="C106" i="5"/>
  <c r="C70" i="5"/>
  <c r="C52" i="5"/>
  <c r="D70" i="5"/>
  <c r="D34" i="5"/>
  <c r="D106" i="5"/>
  <c r="D52" i="5"/>
  <c r="D88" i="5"/>
  <c r="G34" i="5"/>
  <c r="G52" i="5"/>
  <c r="G106" i="5"/>
  <c r="G70" i="5"/>
  <c r="G88" i="5"/>
  <c r="G68" i="5"/>
  <c r="G32" i="5"/>
  <c r="G50" i="5"/>
  <c r="G104" i="5"/>
  <c r="G13" i="5"/>
  <c r="E52" i="5"/>
  <c r="E88" i="5"/>
  <c r="E34" i="5"/>
  <c r="E106" i="5"/>
  <c r="E70" i="5"/>
  <c r="F104" i="5"/>
  <c r="F50" i="5"/>
  <c r="F32" i="5"/>
  <c r="F86" i="5"/>
  <c r="E104" i="5"/>
  <c r="E86" i="5"/>
  <c r="E50" i="5"/>
  <c r="E32" i="5"/>
  <c r="E13" i="5"/>
  <c r="E68" i="5"/>
  <c r="F88" i="5"/>
  <c r="F70" i="5"/>
  <c r="F52" i="5"/>
  <c r="F106" i="5"/>
  <c r="F34" i="5"/>
  <c r="K5" i="5"/>
  <c r="K6" i="5" s="1"/>
  <c r="K11" i="5" s="1"/>
  <c r="K12" i="5" s="1"/>
  <c r="C14" i="5"/>
  <c r="H87" i="5"/>
  <c r="I78" i="5"/>
  <c r="I80" i="5" s="1"/>
  <c r="I81" i="5" s="1"/>
  <c r="I83" i="5" s="1"/>
  <c r="J60" i="5"/>
  <c r="J62" i="5" s="1"/>
  <c r="J63" i="5" s="1"/>
  <c r="J65" i="5" s="1"/>
  <c r="I69" i="5"/>
  <c r="G66" i="3"/>
  <c r="G68" i="3"/>
  <c r="G69" i="3" s="1"/>
  <c r="G33" i="3" s="1"/>
  <c r="G67" i="3"/>
  <c r="F6" i="3"/>
  <c r="F31" i="3"/>
  <c r="E7" i="3"/>
  <c r="E12" i="3" s="1"/>
  <c r="D6" i="3"/>
  <c r="H68" i="3"/>
  <c r="H66" i="3"/>
  <c r="G7" i="3"/>
  <c r="G12" i="3" s="1"/>
  <c r="G3" i="3"/>
  <c r="F7" i="3"/>
  <c r="F12" i="3" s="1"/>
  <c r="G6" i="3"/>
  <c r="E6" i="3"/>
  <c r="I48" i="3"/>
  <c r="I67" i="3" s="1"/>
  <c r="H48" i="3"/>
  <c r="D7" i="3"/>
  <c r="D12" i="3" s="1"/>
  <c r="D67" i="3"/>
  <c r="E67" i="3"/>
  <c r="F67" i="3"/>
  <c r="G49" i="3"/>
  <c r="D49" i="3"/>
  <c r="E49" i="3"/>
  <c r="F49" i="3"/>
  <c r="D31" i="3"/>
  <c r="G31" i="3"/>
  <c r="F51" i="3"/>
  <c r="F69" i="3"/>
  <c r="F33" i="3" s="1"/>
  <c r="D69" i="3"/>
  <c r="D33" i="3" s="1"/>
  <c r="D51" i="3"/>
  <c r="G51" i="3"/>
  <c r="E51" i="3"/>
  <c r="E69" i="3"/>
  <c r="E33" i="3" s="1"/>
  <c r="I50" i="3"/>
  <c r="H50" i="3"/>
  <c r="J41" i="3"/>
  <c r="J43" i="3" s="1"/>
  <c r="J44" i="3" s="1"/>
  <c r="J46" i="3" s="1"/>
  <c r="I68" i="3"/>
  <c r="J59" i="3"/>
  <c r="J61" i="3" s="1"/>
  <c r="J62" i="3" s="1"/>
  <c r="J64" i="3" s="1"/>
  <c r="J66" i="3" s="1"/>
  <c r="L41" i="3"/>
  <c r="L43" i="3" s="1"/>
  <c r="L44" i="3" s="1"/>
  <c r="L46" i="3" s="1"/>
  <c r="K41" i="3"/>
  <c r="K43" i="3" s="1"/>
  <c r="K44" i="3" s="1"/>
  <c r="K46" i="3" s="1"/>
  <c r="F4" i="3"/>
  <c r="K4" i="3"/>
  <c r="J5" i="3"/>
  <c r="J10" i="3" s="1"/>
  <c r="J11" i="3" s="1"/>
  <c r="D8" i="11" l="1"/>
  <c r="D52" i="11" s="1"/>
  <c r="D6" i="4"/>
  <c r="D14" i="11"/>
  <c r="D86" i="11"/>
  <c r="D104" i="11"/>
  <c r="D68" i="11"/>
  <c r="D32" i="11"/>
  <c r="D50" i="11"/>
  <c r="K6" i="4"/>
  <c r="K14" i="11"/>
  <c r="K8" i="11"/>
  <c r="K68" i="11"/>
  <c r="K86" i="11"/>
  <c r="K104" i="11"/>
  <c r="L8" i="11"/>
  <c r="K32" i="11"/>
  <c r="I106" i="11"/>
  <c r="I70" i="11"/>
  <c r="I88" i="11"/>
  <c r="I13" i="11"/>
  <c r="I34" i="11"/>
  <c r="C6" i="4"/>
  <c r="C5" i="4" s="1"/>
  <c r="C104" i="11"/>
  <c r="C86" i="11"/>
  <c r="C14" i="11"/>
  <c r="C68" i="11"/>
  <c r="C32" i="11"/>
  <c r="E13" i="11"/>
  <c r="E88" i="11"/>
  <c r="E106" i="11"/>
  <c r="E70" i="11"/>
  <c r="E34" i="11"/>
  <c r="J6" i="4"/>
  <c r="J104" i="11"/>
  <c r="J86" i="11"/>
  <c r="J8" i="11"/>
  <c r="J14" i="11"/>
  <c r="J68" i="11"/>
  <c r="J32" i="11"/>
  <c r="L6" i="5"/>
  <c r="L11" i="5" s="1"/>
  <c r="L12" i="5" s="1"/>
  <c r="L60" i="5"/>
  <c r="L62" i="5" s="1"/>
  <c r="L63" i="5" s="1"/>
  <c r="L65" i="5" s="1"/>
  <c r="L67" i="5" s="1"/>
  <c r="K60" i="5"/>
  <c r="K62" i="5" s="1"/>
  <c r="K63" i="5" s="1"/>
  <c r="K65" i="5" s="1"/>
  <c r="I85" i="5"/>
  <c r="I87" i="5"/>
  <c r="J78" i="5"/>
  <c r="J80" i="5" s="1"/>
  <c r="J81" i="5" s="1"/>
  <c r="J83" i="5" s="1"/>
  <c r="J67" i="5"/>
  <c r="J69" i="5"/>
  <c r="E13" i="3"/>
  <c r="D13" i="3"/>
  <c r="D5" i="4"/>
  <c r="J48" i="3"/>
  <c r="H67" i="3"/>
  <c r="K48" i="3"/>
  <c r="K67" i="3" s="1"/>
  <c r="G13" i="3"/>
  <c r="F13" i="3"/>
  <c r="J50" i="3"/>
  <c r="J67" i="3"/>
  <c r="K59" i="3"/>
  <c r="K61" i="3" s="1"/>
  <c r="K62" i="3" s="1"/>
  <c r="K64" i="3" s="1"/>
  <c r="K66" i="3" s="1"/>
  <c r="L59" i="3"/>
  <c r="L61" i="3" s="1"/>
  <c r="L62" i="3" s="1"/>
  <c r="L64" i="3" s="1"/>
  <c r="J68" i="3"/>
  <c r="K50" i="3"/>
  <c r="L50" i="3"/>
  <c r="E4" i="3"/>
  <c r="K5" i="3"/>
  <c r="K10" i="3" s="1"/>
  <c r="K11" i="3" s="1"/>
  <c r="L5" i="3"/>
  <c r="L10" i="3" s="1"/>
  <c r="L11" i="3" s="1"/>
  <c r="L13" i="11" l="1"/>
  <c r="L70" i="11"/>
  <c r="L88" i="11"/>
  <c r="L34" i="11"/>
  <c r="J106" i="11"/>
  <c r="J70" i="11"/>
  <c r="J13" i="11"/>
  <c r="J88" i="11"/>
  <c r="J34" i="11"/>
  <c r="L52" i="11"/>
  <c r="J52" i="11"/>
  <c r="D12" i="4"/>
  <c r="D11" i="4" s="1"/>
  <c r="K88" i="11"/>
  <c r="K106" i="11"/>
  <c r="K70" i="11"/>
  <c r="K13" i="11"/>
  <c r="K34" i="11"/>
  <c r="K52" i="11"/>
  <c r="D70" i="11"/>
  <c r="D106" i="11"/>
  <c r="D88" i="11"/>
  <c r="D13" i="11"/>
  <c r="D34" i="11"/>
  <c r="J85" i="5"/>
  <c r="J87" i="5"/>
  <c r="K78" i="5"/>
  <c r="K80" i="5" s="1"/>
  <c r="K81" i="5" s="1"/>
  <c r="K83" i="5" s="1"/>
  <c r="L78" i="5"/>
  <c r="L80" i="5" s="1"/>
  <c r="L81" i="5" s="1"/>
  <c r="L83" i="5" s="1"/>
  <c r="L85" i="5" s="1"/>
  <c r="K69" i="5"/>
  <c r="K67" i="5"/>
  <c r="L69" i="5"/>
  <c r="E5" i="4"/>
  <c r="E12" i="4"/>
  <c r="E11" i="4" s="1"/>
  <c r="F12" i="4"/>
  <c r="F11" i="4" s="1"/>
  <c r="L67" i="3"/>
  <c r="L68" i="3"/>
  <c r="K68" i="3"/>
  <c r="D4" i="3"/>
  <c r="L87" i="5" l="1"/>
  <c r="K87" i="5"/>
  <c r="K85" i="5"/>
  <c r="C4" i="3"/>
  <c r="H26" i="3" l="1"/>
  <c r="H28" i="3" s="1"/>
  <c r="H3" i="3" s="1"/>
  <c r="L23" i="3"/>
  <c r="L25" i="3" s="1"/>
  <c r="L26" i="3" s="1"/>
  <c r="L28" i="3" s="1"/>
  <c r="L3" i="3" s="1"/>
  <c r="J6" i="2"/>
  <c r="M6" i="2"/>
  <c r="L10" i="2"/>
  <c r="K6" i="2"/>
  <c r="L6" i="2" s="1"/>
  <c r="L8" i="2" s="1"/>
  <c r="L9" i="2" s="1"/>
  <c r="J8" i="2"/>
  <c r="J5" i="2"/>
  <c r="D3" i="2"/>
  <c r="M8" i="2"/>
  <c r="E8" i="2"/>
  <c r="F8" i="2"/>
  <c r="G8" i="2"/>
  <c r="H8" i="2"/>
  <c r="I8" i="2"/>
  <c r="D8" i="2"/>
  <c r="C34" i="2"/>
  <c r="M31" i="2"/>
  <c r="M59" i="2"/>
  <c r="J59" i="2"/>
  <c r="K59" i="2" s="1"/>
  <c r="L59" i="2" s="1"/>
  <c r="M85" i="2"/>
  <c r="J85" i="2"/>
  <c r="K85" i="2" s="1"/>
  <c r="L85" i="2" s="1"/>
  <c r="M112" i="2"/>
  <c r="C99" i="2"/>
  <c r="E3" i="2"/>
  <c r="F3" i="2"/>
  <c r="G3" i="2"/>
  <c r="I96" i="2"/>
  <c r="I99" i="2" s="1"/>
  <c r="I101" i="2" s="1"/>
  <c r="I102" i="2" s="1"/>
  <c r="I104" i="2" s="1"/>
  <c r="I105" i="2" s="1"/>
  <c r="M72" i="2"/>
  <c r="M74" i="2" s="1"/>
  <c r="M75" i="2" s="1"/>
  <c r="M77" i="2" s="1"/>
  <c r="M78" i="2" s="1"/>
  <c r="M80" i="2" s="1"/>
  <c r="I72" i="2"/>
  <c r="I74" i="2" s="1"/>
  <c r="I75" i="2" s="1"/>
  <c r="I77" i="2" s="1"/>
  <c r="I78" i="2" s="1"/>
  <c r="I80" i="2" s="1"/>
  <c r="J69" i="2"/>
  <c r="J72" i="2" s="1"/>
  <c r="J74" i="2" s="1"/>
  <c r="J75" i="2" s="1"/>
  <c r="J77" i="2" s="1"/>
  <c r="J78" i="2" s="1"/>
  <c r="J80" i="2" s="1"/>
  <c r="M46" i="2"/>
  <c r="M48" i="2" s="1"/>
  <c r="M49" i="2" s="1"/>
  <c r="M51" i="2" s="1"/>
  <c r="M52" i="2" s="1"/>
  <c r="M54" i="2" s="1"/>
  <c r="I46" i="2"/>
  <c r="I48" i="2" s="1"/>
  <c r="I49" i="2" s="1"/>
  <c r="I51" i="2" s="1"/>
  <c r="I52" i="2" s="1"/>
  <c r="I54" i="2" s="1"/>
  <c r="J43" i="2"/>
  <c r="K43" i="2" s="1"/>
  <c r="I20" i="2"/>
  <c r="I22" i="2" s="1"/>
  <c r="I23" i="2" s="1"/>
  <c r="I25" i="2" s="1"/>
  <c r="I26" i="2" s="1"/>
  <c r="I28" i="2" s="1"/>
  <c r="I32" i="2" s="1"/>
  <c r="M17" i="2"/>
  <c r="M20" i="2" s="1"/>
  <c r="M22" i="2" s="1"/>
  <c r="M23" i="2" s="1"/>
  <c r="M25" i="2" s="1"/>
  <c r="M26" i="2" s="1"/>
  <c r="M28" i="2" s="1"/>
  <c r="M32" i="2" s="1"/>
  <c r="L32" i="3" l="1"/>
  <c r="L6" i="3" s="1"/>
  <c r="L13" i="3" s="1"/>
  <c r="H30" i="3"/>
  <c r="H32" i="3"/>
  <c r="J23" i="3"/>
  <c r="K23" i="3"/>
  <c r="I23" i="3"/>
  <c r="K112" i="2"/>
  <c r="J31" i="2"/>
  <c r="K31" i="2" s="1"/>
  <c r="L31" i="2" s="1"/>
  <c r="J112" i="2"/>
  <c r="L112" i="2"/>
  <c r="I107" i="2"/>
  <c r="I111" i="2" s="1"/>
  <c r="K69" i="2"/>
  <c r="L69" i="2" s="1"/>
  <c r="L72" i="2" s="1"/>
  <c r="L74" i="2" s="1"/>
  <c r="L75" i="2" s="1"/>
  <c r="L77" i="2" s="1"/>
  <c r="L78" i="2" s="1"/>
  <c r="J17" i="2"/>
  <c r="J20" i="2" s="1"/>
  <c r="J22" i="2" s="1"/>
  <c r="J23" i="2" s="1"/>
  <c r="J25" i="2" s="1"/>
  <c r="J26" i="2" s="1"/>
  <c r="I3" i="2"/>
  <c r="J46" i="2"/>
  <c r="J48" i="2" s="1"/>
  <c r="J49" i="2" s="1"/>
  <c r="J51" i="2" s="1"/>
  <c r="J52" i="2" s="1"/>
  <c r="L43" i="2"/>
  <c r="L46" i="2" s="1"/>
  <c r="L48" i="2" s="1"/>
  <c r="L49" i="2" s="1"/>
  <c r="L51" i="2" s="1"/>
  <c r="L52" i="2" s="1"/>
  <c r="K46" i="2"/>
  <c r="K48" i="2" s="1"/>
  <c r="K49" i="2" s="1"/>
  <c r="K51" i="2" s="1"/>
  <c r="K52" i="2" s="1"/>
  <c r="J84" i="2"/>
  <c r="J86" i="2"/>
  <c r="M84" i="2"/>
  <c r="M86" i="2"/>
  <c r="I86" i="2"/>
  <c r="I84" i="2"/>
  <c r="I60" i="2"/>
  <c r="I58" i="2"/>
  <c r="M58" i="2"/>
  <c r="M60" i="2"/>
  <c r="H49" i="3" l="1"/>
  <c r="H7" i="3"/>
  <c r="H12" i="3" s="1"/>
  <c r="L49" i="3"/>
  <c r="L12" i="3"/>
  <c r="H31" i="3"/>
  <c r="L31" i="3"/>
  <c r="H69" i="3"/>
  <c r="H33" i="3" s="1"/>
  <c r="H51" i="3"/>
  <c r="L51" i="3"/>
  <c r="L69" i="3"/>
  <c r="L33" i="3" s="1"/>
  <c r="H13" i="3"/>
  <c r="I25" i="3"/>
  <c r="I26" i="3" s="1"/>
  <c r="I28" i="3" s="1"/>
  <c r="I3" i="3" s="1"/>
  <c r="K25" i="3"/>
  <c r="K26" i="3" s="1"/>
  <c r="K28" i="3" s="1"/>
  <c r="K3" i="3" s="1"/>
  <c r="J25" i="3"/>
  <c r="J26" i="3" s="1"/>
  <c r="J28" i="3" s="1"/>
  <c r="J3" i="3" s="1"/>
  <c r="K8" i="2"/>
  <c r="I113" i="2"/>
  <c r="I63" i="2"/>
  <c r="I89" i="2"/>
  <c r="I116" i="2"/>
  <c r="L80" i="2"/>
  <c r="L84" i="2" s="1"/>
  <c r="K54" i="2"/>
  <c r="K58" i="2" s="1"/>
  <c r="L54" i="2"/>
  <c r="L58" i="2" s="1"/>
  <c r="J54" i="2"/>
  <c r="J60" i="2" s="1"/>
  <c r="I37" i="2"/>
  <c r="K72" i="2"/>
  <c r="K74" i="2" s="1"/>
  <c r="K75" i="2" s="1"/>
  <c r="K77" i="2" s="1"/>
  <c r="K78" i="2" s="1"/>
  <c r="K17" i="2"/>
  <c r="K20" i="2" s="1"/>
  <c r="K22" i="2" s="1"/>
  <c r="K23" i="2" s="1"/>
  <c r="K25" i="2" s="1"/>
  <c r="K26" i="2" s="1"/>
  <c r="I61" i="2"/>
  <c r="L60" i="2"/>
  <c r="L61" i="2" s="1"/>
  <c r="J28" i="2"/>
  <c r="J32" i="2" s="1"/>
  <c r="M61" i="2"/>
  <c r="M87" i="2"/>
  <c r="J87" i="2"/>
  <c r="I114" i="2"/>
  <c r="I87" i="2"/>
  <c r="K30" i="3" l="1"/>
  <c r="K7" i="3" s="1"/>
  <c r="K12" i="3" s="1"/>
  <c r="J32" i="3"/>
  <c r="J6" i="3" s="1"/>
  <c r="J30" i="3"/>
  <c r="K32" i="3"/>
  <c r="K6" i="3" s="1"/>
  <c r="I32" i="3"/>
  <c r="I6" i="3" s="1"/>
  <c r="I30" i="3"/>
  <c r="L86" i="2"/>
  <c r="L87" i="2" s="1"/>
  <c r="K60" i="2"/>
  <c r="K61" i="2" s="1"/>
  <c r="K80" i="2"/>
  <c r="K84" i="2" s="1"/>
  <c r="J58" i="2"/>
  <c r="J61" i="2" s="1"/>
  <c r="K28" i="2"/>
  <c r="K32" i="2" s="1"/>
  <c r="K86" i="2"/>
  <c r="K87" i="2" s="1"/>
  <c r="L17" i="2"/>
  <c r="L20" i="2" s="1"/>
  <c r="L22" i="2" s="1"/>
  <c r="L23" i="2" s="1"/>
  <c r="L25" i="2" s="1"/>
  <c r="L26" i="2" s="1"/>
  <c r="I49" i="3" l="1"/>
  <c r="I7" i="3"/>
  <c r="I12" i="3" s="1"/>
  <c r="J49" i="3"/>
  <c r="J7" i="3"/>
  <c r="J12" i="3" s="1"/>
  <c r="K31" i="3"/>
  <c r="K49" i="3"/>
  <c r="I31" i="3"/>
  <c r="J31" i="3"/>
  <c r="I69" i="3"/>
  <c r="I33" i="3" s="1"/>
  <c r="I51" i="3"/>
  <c r="J51" i="3"/>
  <c r="J69" i="3"/>
  <c r="J33" i="3" s="1"/>
  <c r="K51" i="3"/>
  <c r="K69" i="3"/>
  <c r="K33" i="3" s="1"/>
  <c r="I13" i="3"/>
  <c r="J13" i="3"/>
  <c r="K13" i="3"/>
  <c r="L28" i="2"/>
  <c r="L32" i="2" s="1"/>
  <c r="I4" i="2" l="1"/>
  <c r="E15" i="1"/>
  <c r="I88" i="2" l="1"/>
  <c r="I115" i="2"/>
  <c r="I36" i="2"/>
  <c r="I62" i="2"/>
  <c r="J4" i="2"/>
  <c r="I10" i="2"/>
  <c r="H4" i="2"/>
  <c r="G4" i="2" s="1"/>
  <c r="K4" i="2"/>
  <c r="C101" i="2"/>
  <c r="C102" i="2" s="1"/>
  <c r="C104" i="2" s="1"/>
  <c r="C105" i="2" s="1"/>
  <c r="M91" i="2"/>
  <c r="L91" i="2"/>
  <c r="K91" i="2"/>
  <c r="J91" i="2"/>
  <c r="C72" i="2"/>
  <c r="C74" i="2" s="1"/>
  <c r="C75" i="2" s="1"/>
  <c r="C77" i="2" s="1"/>
  <c r="L4" i="2" l="1"/>
  <c r="M5" i="2" s="1"/>
  <c r="F4" i="2"/>
  <c r="C78" i="2"/>
  <c r="C80" i="2" s="1"/>
  <c r="C107" i="2"/>
  <c r="E4" i="2" l="1"/>
  <c r="C111" i="2"/>
  <c r="C113" i="2"/>
  <c r="C114" i="2" s="1"/>
  <c r="C86" i="2"/>
  <c r="C84" i="2"/>
  <c r="D4" i="2" l="1"/>
  <c r="C87" i="2"/>
  <c r="M65" i="2"/>
  <c r="L65" i="2"/>
  <c r="K65" i="2"/>
  <c r="J65" i="2"/>
  <c r="C46" i="2"/>
  <c r="C48" i="2" s="1"/>
  <c r="C49" i="2" s="1"/>
  <c r="C51" i="2" s="1"/>
  <c r="C52" i="2" s="1"/>
  <c r="C54" i="2" s="1"/>
  <c r="C20" i="2"/>
  <c r="C22" i="2" s="1"/>
  <c r="C23" i="2" s="1"/>
  <c r="C25" i="2" l="1"/>
  <c r="C26" i="2" s="1"/>
  <c r="C28" i="2" s="1"/>
  <c r="C60" i="2"/>
  <c r="C58" i="2"/>
  <c r="D9" i="1"/>
  <c r="E5" i="1"/>
  <c r="E11" i="1" s="1"/>
  <c r="E13" i="1" s="1"/>
  <c r="D5" i="1"/>
  <c r="D11" i="1" s="1"/>
  <c r="D13" i="1" s="1"/>
  <c r="E1" i="1"/>
  <c r="D1" i="1"/>
  <c r="C1" i="1"/>
  <c r="D7" i="1" l="1"/>
  <c r="E7" i="1"/>
  <c r="C3" i="2"/>
  <c r="I117" i="2"/>
  <c r="I90" i="2"/>
  <c r="L64" i="2"/>
  <c r="K64" i="2"/>
  <c r="J64" i="2"/>
  <c r="L90" i="2"/>
  <c r="I64" i="2"/>
  <c r="K90" i="2"/>
  <c r="M90" i="2"/>
  <c r="M64" i="2"/>
  <c r="J90" i="2"/>
  <c r="C61" i="2"/>
  <c r="H10" i="2" l="1"/>
  <c r="G10" i="2"/>
  <c r="F10" i="2"/>
  <c r="E10" i="2"/>
  <c r="D10" i="2"/>
  <c r="C32" i="2"/>
  <c r="E9" i="2" l="1"/>
  <c r="F9" i="2"/>
  <c r="D9" i="2"/>
  <c r="G9" i="2"/>
  <c r="H9" i="2"/>
  <c r="I9" i="2"/>
  <c r="C35" i="2"/>
  <c r="M11" i="2"/>
  <c r="J9" i="2"/>
  <c r="K5" i="2" l="1"/>
  <c r="K9" i="2" l="1"/>
  <c r="L5" i="2"/>
  <c r="M9" i="2" l="1"/>
  <c r="J96" i="2"/>
  <c r="J99" i="2" s="1"/>
  <c r="M99" i="2"/>
  <c r="M101" i="2"/>
  <c r="M102" i="2" s="1"/>
  <c r="M104" i="2" s="1"/>
  <c r="M105" i="2" s="1"/>
  <c r="K96" i="2" l="1"/>
  <c r="J101" i="2"/>
  <c r="J102" i="2" s="1"/>
  <c r="J104" i="2" s="1"/>
  <c r="J105" i="2" s="1"/>
  <c r="M3" i="2"/>
  <c r="M116" i="2" s="1"/>
  <c r="M107" i="2"/>
  <c r="M117" i="2"/>
  <c r="K99" i="2"/>
  <c r="K101" i="2" s="1"/>
  <c r="K102" i="2" s="1"/>
  <c r="K104" i="2" s="1"/>
  <c r="K105" i="2" s="1"/>
  <c r="L96" i="2" l="1"/>
  <c r="L99" i="2" s="1"/>
  <c r="L101" i="2" s="1"/>
  <c r="L102" i="2" s="1"/>
  <c r="L104" i="2" s="1"/>
  <c r="L105" i="2" s="1"/>
  <c r="J107" i="2"/>
  <c r="J117" i="2"/>
  <c r="J118" i="2"/>
  <c r="J3" i="2"/>
  <c r="J88" i="2" s="1"/>
  <c r="K107" i="2"/>
  <c r="K3" i="2"/>
  <c r="K117" i="2"/>
  <c r="K118" i="2"/>
  <c r="M111" i="2"/>
  <c r="M113" i="2"/>
  <c r="M10" i="2"/>
  <c r="M63" i="2"/>
  <c r="M36" i="2"/>
  <c r="M62" i="2"/>
  <c r="M88" i="2"/>
  <c r="M89" i="2"/>
  <c r="M37" i="2"/>
  <c r="M115" i="2"/>
  <c r="J116" i="2"/>
  <c r="J111" i="2"/>
  <c r="J113" i="2"/>
  <c r="L3" i="2" l="1"/>
  <c r="L117" i="2"/>
  <c r="M118" i="2"/>
  <c r="L107" i="2"/>
  <c r="L118" i="2"/>
  <c r="L116" i="2"/>
  <c r="J10" i="2"/>
  <c r="J89" i="2"/>
  <c r="J62" i="2"/>
  <c r="K116" i="2"/>
  <c r="K37" i="2"/>
  <c r="J115" i="2"/>
  <c r="J37" i="2"/>
  <c r="J36" i="2"/>
  <c r="K115" i="2"/>
  <c r="J63" i="2"/>
  <c r="J114" i="2"/>
  <c r="M114" i="2"/>
  <c r="K111" i="2"/>
  <c r="K113" i="2"/>
  <c r="K36" i="2"/>
  <c r="K89" i="2"/>
  <c r="K88" i="2"/>
  <c r="K10" i="2"/>
  <c r="K62" i="2"/>
  <c r="K63" i="2"/>
  <c r="L113" i="2" l="1"/>
  <c r="L111" i="2"/>
  <c r="L115" i="2"/>
  <c r="L62" i="2"/>
  <c r="L88" i="2"/>
  <c r="L37" i="2"/>
  <c r="L89" i="2"/>
  <c r="L63" i="2"/>
  <c r="L36" i="2"/>
  <c r="K114" i="2"/>
  <c r="L114" i="2" l="1"/>
  <c r="C33" i="3"/>
  <c r="L24" i="5"/>
  <c r="L26" i="5" s="1"/>
  <c r="L27" i="5" s="1"/>
  <c r="L29" i="5" s="1"/>
  <c r="L33" i="5" s="1"/>
  <c r="L7" i="5" s="1"/>
  <c r="L4" i="4" l="1"/>
  <c r="L4" i="5"/>
  <c r="L31" i="5"/>
  <c r="L8" i="5" s="1"/>
  <c r="H42" i="5" l="1"/>
  <c r="H44" i="5" s="1"/>
  <c r="H45" i="5" s="1"/>
  <c r="H47" i="5" s="1"/>
  <c r="H51" i="5" s="1"/>
  <c r="H24" i="5"/>
  <c r="H26" i="5" s="1"/>
  <c r="H27" i="5" s="1"/>
  <c r="H29" i="5" s="1"/>
  <c r="H4" i="5" s="1"/>
  <c r="I42" i="5"/>
  <c r="I44" i="5" s="1"/>
  <c r="I45" i="5" s="1"/>
  <c r="I47" i="5" s="1"/>
  <c r="I49" i="5" s="1"/>
  <c r="I24" i="5"/>
  <c r="I26" i="5" s="1"/>
  <c r="I27" i="5" s="1"/>
  <c r="I29" i="5" s="1"/>
  <c r="L32" i="5" l="1"/>
  <c r="L13" i="5"/>
  <c r="L52" i="5"/>
  <c r="L88" i="5"/>
  <c r="L70" i="5"/>
  <c r="L106" i="5"/>
  <c r="L34" i="5"/>
  <c r="L14" i="5"/>
  <c r="L86" i="5"/>
  <c r="L104" i="5"/>
  <c r="L68" i="5"/>
  <c r="L50" i="5"/>
  <c r="H33" i="5"/>
  <c r="H31" i="5"/>
  <c r="H49" i="5"/>
  <c r="K42" i="5"/>
  <c r="K44" i="5" s="1"/>
  <c r="K45" i="5" s="1"/>
  <c r="K47" i="5" s="1"/>
  <c r="J42" i="5"/>
  <c r="J44" i="5" s="1"/>
  <c r="J45" i="5" s="1"/>
  <c r="J47" i="5" s="1"/>
  <c r="I51" i="5"/>
  <c r="K24" i="5"/>
  <c r="K26" i="5" s="1"/>
  <c r="K27" i="5" s="1"/>
  <c r="K29" i="5" s="1"/>
  <c r="J24" i="5"/>
  <c r="J26" i="5" s="1"/>
  <c r="J27" i="5" s="1"/>
  <c r="J29" i="5" s="1"/>
  <c r="I33" i="5"/>
  <c r="I31" i="5"/>
  <c r="I8" i="5" s="1"/>
  <c r="I13" i="5" s="1"/>
  <c r="I4" i="5"/>
  <c r="H7" i="5" l="1"/>
  <c r="H12" i="4" s="1"/>
  <c r="I7" i="5"/>
  <c r="I4" i="4" s="1"/>
  <c r="H8" i="5"/>
  <c r="H13" i="5" s="1"/>
  <c r="J49" i="5"/>
  <c r="J51" i="5"/>
  <c r="K51" i="5"/>
  <c r="K49" i="5"/>
  <c r="K31" i="5"/>
  <c r="K33" i="5"/>
  <c r="K4" i="5"/>
  <c r="J31" i="5"/>
  <c r="J4" i="5"/>
  <c r="J33" i="5"/>
  <c r="I12" i="4" l="1"/>
  <c r="H4" i="4"/>
  <c r="H10" i="4" s="1"/>
  <c r="H11" i="4" s="1"/>
  <c r="I14" i="5"/>
  <c r="I50" i="5"/>
  <c r="H52" i="5"/>
  <c r="H32" i="5"/>
  <c r="H68" i="5"/>
  <c r="I52" i="5"/>
  <c r="H34" i="5"/>
  <c r="H70" i="5"/>
  <c r="H106" i="5"/>
  <c r="H88" i="5"/>
  <c r="H14" i="5"/>
  <c r="H86" i="5"/>
  <c r="H104" i="5"/>
  <c r="H50" i="5"/>
  <c r="I68" i="5"/>
  <c r="I32" i="5"/>
  <c r="I86" i="5"/>
  <c r="I104" i="5"/>
  <c r="K8" i="5"/>
  <c r="K7" i="5"/>
  <c r="L12" i="4" s="1"/>
  <c r="J7" i="5"/>
  <c r="J8" i="5"/>
  <c r="I34" i="5"/>
  <c r="I70" i="5"/>
  <c r="I106" i="5"/>
  <c r="I88" i="5"/>
  <c r="I10" i="4" l="1"/>
  <c r="I11" i="4" s="1"/>
  <c r="K12" i="4"/>
  <c r="K4" i="4"/>
  <c r="J12" i="4"/>
  <c r="J4" i="4"/>
  <c r="J10" i="4" s="1"/>
  <c r="J11" i="4" s="1"/>
  <c r="K13" i="5"/>
  <c r="J50" i="5"/>
  <c r="J52" i="5"/>
  <c r="K14" i="5"/>
  <c r="J13" i="5"/>
  <c r="K52" i="5"/>
  <c r="K50" i="5"/>
  <c r="J14" i="5"/>
  <c r="J106" i="5"/>
  <c r="J70" i="5"/>
  <c r="J34" i="5"/>
  <c r="J88" i="5"/>
  <c r="K88" i="5"/>
  <c r="K106" i="5"/>
  <c r="K34" i="5"/>
  <c r="K70" i="5"/>
  <c r="K86" i="5"/>
  <c r="K104" i="5"/>
  <c r="K32" i="5"/>
  <c r="K68" i="5"/>
  <c r="J104" i="5"/>
  <c r="J86" i="5"/>
  <c r="J68" i="5"/>
  <c r="J32" i="5"/>
  <c r="K10" i="4" l="1"/>
  <c r="K11" i="4" s="1"/>
  <c r="L10" i="4"/>
  <c r="L1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WM</author>
  </authors>
  <commentList>
    <comment ref="H5" authorId="0" shapeId="0" xr:uid="{8300F07E-4629-416B-8431-83CA5A94A140}">
      <text>
        <r>
          <rPr>
            <sz val="9"/>
            <color indexed="81"/>
            <rFont val="微软雅黑"/>
            <family val="2"/>
          </rPr>
          <t>M2分析预测</t>
        </r>
      </text>
    </comment>
    <comment ref="H17" authorId="0" shapeId="0" xr:uid="{53A0D709-44E8-4B74-9A87-32E283FA80E3}">
      <text>
        <r>
          <rPr>
            <sz val="9"/>
            <color indexed="81"/>
            <rFont val="宋体"/>
            <family val="3"/>
            <charset val="134"/>
          </rPr>
          <t>国家能源局</t>
        </r>
      </text>
    </comment>
    <comment ref="H19" authorId="0" shapeId="0" xr:uid="{1E8F6240-154D-49A7-B31B-10E158C21677}">
      <text>
        <r>
          <rPr>
            <sz val="9"/>
            <color indexed="81"/>
            <rFont val="宋体"/>
            <family val="3"/>
            <charset val="134"/>
          </rPr>
          <t>能源局公布数据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WM</author>
  </authors>
  <commentList>
    <comment ref="L9" authorId="0" shapeId="0" xr:uid="{598F201B-4853-4011-9198-36DAB44DC6DE}">
      <text>
        <r>
          <rPr>
            <sz val="9"/>
            <color indexed="81"/>
            <rFont val="宋体"/>
            <family val="3"/>
            <charset val="134"/>
          </rPr>
          <t>《“十四五”新型储能发展实施方案》到2025年，电化学储能系统成本下降~30%</t>
        </r>
      </text>
    </comment>
    <comment ref="G21" authorId="0" shapeId="0" xr:uid="{8CE98A72-D36E-463E-91B9-22918243301E}">
      <text>
        <r>
          <rPr>
            <sz val="9"/>
            <color indexed="81"/>
            <rFont val="宋体"/>
            <family val="3"/>
            <charset val="134"/>
          </rPr>
          <t>电力统计年鉴</t>
        </r>
      </text>
    </comment>
    <comment ref="L21" authorId="0" shapeId="0" xr:uid="{AA2ABA94-1511-47A5-8A12-EE41BC6250B7}">
      <text>
        <r>
          <rPr>
            <sz val="9"/>
            <color indexed="81"/>
            <rFont val="宋体"/>
            <family val="3"/>
            <charset val="134"/>
          </rPr>
          <t>M2预测</t>
        </r>
      </text>
    </comment>
    <comment ref="B28" authorId="0" shapeId="0" xr:uid="{72A53C42-4311-4FCE-BDB0-5227593BF594}">
      <text>
        <r>
          <rPr>
            <sz val="9"/>
            <color indexed="81"/>
            <rFont val="宋体"/>
            <family val="3"/>
            <charset val="134"/>
          </rPr>
          <t>专家访谈</t>
        </r>
      </text>
    </comment>
    <comment ref="G39" authorId="0" shapeId="0" xr:uid="{EDEA5303-9371-445C-BE41-E2657B3BB367}">
      <text>
        <r>
          <rPr>
            <sz val="9"/>
            <color indexed="81"/>
            <rFont val="宋体"/>
            <family val="3"/>
            <charset val="134"/>
          </rPr>
          <t>电力统计年鉴：商建+轻工业（除纺织造纸）</t>
        </r>
      </text>
    </comment>
    <comment ref="L39" authorId="0" shapeId="0" xr:uid="{8C470131-2CCC-4EEC-BC47-6EB0E529BB38}">
      <text>
        <r>
          <rPr>
            <sz val="9"/>
            <color indexed="81"/>
            <rFont val="宋体"/>
            <family val="3"/>
            <charset val="134"/>
          </rPr>
          <t>M2预测：轻工业(除造纸纺织)+商建</t>
        </r>
      </text>
    </comment>
    <comment ref="B46" authorId="0" shapeId="0" xr:uid="{E4E61CC8-4B62-4CC8-878E-7DE14B356F40}">
      <text>
        <r>
          <rPr>
            <sz val="9"/>
            <color indexed="81"/>
            <rFont val="宋体"/>
            <family val="3"/>
            <charset val="134"/>
          </rPr>
          <t>专家访谈</t>
        </r>
      </text>
    </comment>
    <comment ref="H54" authorId="0" shapeId="0" xr:uid="{FEA12A35-DE0A-4719-AA1E-18596CBA7152}">
      <text>
        <r>
          <rPr>
            <sz val="9"/>
            <color indexed="81"/>
            <rFont val="宋体"/>
            <family val="3"/>
            <charset val="134"/>
          </rPr>
          <t>数据来源：中国汽车工业协会</t>
        </r>
      </text>
    </comment>
    <comment ref="L57" authorId="0" shapeId="0" xr:uid="{52E43B7F-0833-4F33-B9E5-59C6705C3B27}">
      <text>
        <r>
          <rPr>
            <sz val="9"/>
            <color indexed="81"/>
            <rFont val="宋体"/>
            <family val="3"/>
            <charset val="134"/>
          </rPr>
          <t>数据来源：中国汽车工业协会</t>
        </r>
      </text>
    </comment>
    <comment ref="B59" authorId="0" shapeId="0" xr:uid="{1DC43C5F-236B-4028-8B33-03B9DFE063B7}">
      <text>
        <r>
          <rPr>
            <sz val="9"/>
            <color indexed="81"/>
            <rFont val="宋体"/>
            <family val="3"/>
            <charset val="134"/>
          </rPr>
          <t>取典型项目实际运行时间</t>
        </r>
      </text>
    </comment>
    <comment ref="G72" authorId="0" shapeId="0" xr:uid="{25D3DC25-CA10-484F-BAC9-E83E2E5E221A}">
      <text>
        <r>
          <rPr>
            <sz val="9"/>
            <color indexed="81"/>
            <rFont val="宋体"/>
            <family val="3"/>
            <charset val="134"/>
          </rPr>
          <t>取轻工业用电增速</t>
        </r>
      </text>
    </comment>
    <comment ref="G75" authorId="0" shapeId="0" xr:uid="{05FA5B91-479F-40A1-A0A9-B2FB13C35C00}">
      <text>
        <r>
          <rPr>
            <sz val="9"/>
            <color indexed="81"/>
            <rFont val="宋体"/>
            <family val="3"/>
            <charset val="134"/>
          </rPr>
          <t>电力统计年鉴</t>
        </r>
      </text>
    </comment>
    <comment ref="B82" authorId="0" shapeId="0" xr:uid="{BC4C92AD-2316-4121-893D-A3A4E7115D8A}">
      <text>
        <r>
          <rPr>
            <sz val="9"/>
            <color indexed="81"/>
            <rFont val="宋体"/>
            <family val="3"/>
            <charset val="134"/>
          </rPr>
          <t>专家访谈</t>
        </r>
      </text>
    </comment>
    <comment ref="G93" authorId="0" shapeId="0" xr:uid="{482AEB92-3B3B-49AE-AAD4-ABE2CA6A19F6}">
      <text>
        <r>
          <rPr>
            <sz val="9"/>
            <color indexed="81"/>
            <rFont val="宋体"/>
            <family val="3"/>
            <charset val="134"/>
          </rPr>
          <t>数据中心行业白皮书</t>
        </r>
      </text>
    </comment>
    <comment ref="B100" authorId="0" shapeId="0" xr:uid="{3D688DF3-309A-4FF6-962B-F039E99F37BA}">
      <text>
        <r>
          <rPr>
            <sz val="9"/>
            <color indexed="81"/>
            <rFont val="宋体"/>
            <family val="3"/>
            <charset val="134"/>
          </rPr>
          <t>专家访谈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tc={394509B9-24CC-4C76-A085-98209D08DCD6}</author>
    <author>tc={DDCA22F9-9295-4CE6-9228-1749CD1E8215}</author>
    <author>tc={DE2AF198-A0D1-4892-BA77-23EE6FB9B586}</author>
    <author>tc={C4103CDC-B724-4746-9197-B144455FFED1}</author>
    <author>tc={ACE0A5CE-B57E-4020-A0B5-7A9A0CC7E9B6}</author>
    <author>tc={339ADBF6-E6DC-42BA-878D-DCE89C16B2B6}</author>
    <author>tc={5A30F7FE-1CE0-472F-A8B1-7D2F08A90F0D}</author>
    <author>tc={8B854E4F-8A1D-4E31-B3A1-08929F215E89}</author>
    <author>tc={9DE02049-92EA-487A-9B2E-BE1F7FC743F3}</author>
    <author>tc={64C5A03F-C2C3-477B-BCDD-1233D190D01A}</author>
    <author>tc={8F14E0BC-092E-4C8F-914E-C8D922554DA7}</author>
    <author>tc={10578D54-15F2-495B-8870-DB07BC5534AE}</author>
    <author>tc={BCFF5574-473B-4DF1-89B6-7D3AB0DFB30C}</author>
    <author>tc={DBD6F263-3396-410C-8A56-4CE7820A1A2F}</author>
    <author>tc={9438EDC0-5D79-442F-B145-8F71F8C50379}</author>
    <author>tc={85A0D95B-6C45-412D-9CE4-46564282795B}</author>
    <author>tc={31C80B95-2E28-4777-933C-597B392F1336}</author>
    <author>tc={B0AC532D-ABBC-4EC6-B77B-5566A069C7BF}</author>
    <author>tc={7DC5F0DE-FF83-4E6E-817A-C3ADB9E1DCF7}</author>
    <author>tc={0D8178A1-6061-443A-B4BD-40A1ADF47FA9}</author>
    <author>tc={10C71EF5-AB4B-4135-A147-5A711FC56FC0}</author>
    <author>tc={0DC5B13B-EEBD-4CB1-A710-8A5BA26E6212}</author>
    <author>tc={FBA9C4BE-EE0F-47DF-8E1C-A8A4B0B4CFFD}</author>
  </authors>
  <commentList>
    <comment ref="E5" authorId="0" shapeId="0" xr:uid="{986B1B3C-F560-4541-8560-B1A8844A3BA3}">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国家能源局</t>
        </r>
      </text>
    </comment>
    <comment ref="N6" authorId="1" shapeId="0" xr:uid="{C8C0C32A-A46C-493B-9CE2-6F3F6D6286A7}">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数据来源：前瞻产业研究院</t>
        </r>
      </text>
    </comment>
    <comment ref="N7" authorId="2" shapeId="0" xr:uid="{F92343C3-A14E-45CB-8688-F6FFC2F1171E}">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数据来源：前瞻产业研究院</t>
        </r>
      </text>
    </comment>
    <comment ref="K9" authorId="3" shapeId="0" xr:uid="{662AA9F2-01F2-4041-B55B-08E3A1332FBC}">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以钢铁、有色行业为例，随着电气化程度不断提升，行业用电量变大
答复:
    CAGR2017-2020：5%;
答复:
    钢铁行业产能：-4%；
数据来源：冶金工业规划研究院访谈；
有色行业产能：-2%；
数据来源：有色金属研究院</t>
        </r>
      </text>
    </comment>
    <comment ref="M9" authorId="4" shapeId="0" xr:uid="{50644767-BC83-49EF-8790-CB3C891BE64D}">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无头部企业用电量统计，因此以有色、钢铁、化工、建材、金属制品五个高耗能CR5的企业营收合计占重工业营收比重：数据来源：wind数据库</t>
        </r>
      </text>
    </comment>
    <comment ref="K10" authorId="5" shapeId="0" xr:uid="{DF021C8E-0CC8-4884-B19F-C19F49609F0E}">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2022年GDP5%-6%</t>
        </r>
      </text>
    </comment>
    <comment ref="M10" authorId="6" shapeId="0" xr:uid="{19FB529D-33BA-46AB-BBD8-9CE02FB2E7D6}">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无头部企业用电量统计，因此以纺织、3C、服装、食品、服装五个高耗能CR5的企业营收合计占重工业营收比重：数据来源：wind数据库</t>
        </r>
      </text>
    </comment>
    <comment ref="K11" authorId="7" shapeId="0" xr:uid="{A393A4C7-D997-471C-86DA-5A6976459D8B}">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《2020年建筑业发展统计分析》</t>
        </r>
      </text>
    </comment>
    <comment ref="K12" authorId="8" shapeId="0" xr:uid="{EEFD6676-A6F8-421C-9885-2AABAED8B87D}">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中国购物中心行业年度发展报告</t>
        </r>
      </text>
    </comment>
    <comment ref="D13" authorId="9" shapeId="0" xr:uid="{E2F6B9C3-F3C2-4C4A-A9C7-5EDB8E32BC92}">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数据来源：绿色数据中心白皮书</t>
        </r>
      </text>
    </comment>
    <comment ref="H13" authorId="10" shapeId="0" xr:uid="{2E4B0C0D-019B-4629-9B15-32A2222DAAC6}">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数据来源：绿色数据中心白皮书</t>
        </r>
      </text>
    </comment>
    <comment ref="L13" authorId="11" shapeId="0" xr:uid="{961ED1F2-FB83-4D92-A64C-94A2F683E24A}">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工信部专家：https://m.21jingji.com/article/20200315/herald/8894f7ccca36bf47a9272864b1e222b9.html
答复:
    数据中心：7.4万个</t>
        </r>
      </text>
    </comment>
    <comment ref="M13" authorId="12" shapeId="0" xr:uid="{E9538EDD-52D9-4ACD-87A9-851E6CD64FCC}">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前瞻产业研究院
答复:
    https://bg.qianzhan.com/trends/detail/506/210914-1b561ae2.html</t>
        </r>
      </text>
    </comment>
    <comment ref="I14" authorId="13" shapeId="0" xr:uid="{C9161412-70EA-4EF2-99D5-6933380351A9}">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数据来源：中国汽车工业协会</t>
        </r>
      </text>
    </comment>
    <comment ref="J14" authorId="14" shapeId="0" xr:uid="{C9E089A2-8525-4DA2-BF99-F66DA1A80745}">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数据来源：中国汽车工业协会</t>
        </r>
      </text>
    </comment>
    <comment ref="K14" authorId="15" shapeId="0" xr:uid="{48C93E2E-045C-4BDE-BBA8-74EE06AACEB1}">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头豹研究院：基于新能源汽车增长进行预测</t>
        </r>
      </text>
    </comment>
    <comment ref="L14" authorId="16" shapeId="0" xr:uid="{E1AA38F8-9AE7-44D5-B18B-BC9541865542}">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中国电动充电基础设施促进联盟:https://www.sohu.com/na/438211842_120669387</t>
        </r>
      </text>
    </comment>
    <comment ref="H15" authorId="17" shapeId="0" xr:uid="{3F8A499E-5626-41A5-A20A-8C81E66A56D8}">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中国购物中心行业年度发展报告</t>
        </r>
      </text>
    </comment>
    <comment ref="I22" authorId="18" shapeId="0" xr:uid="{C893DE28-3CF5-4086-A7ED-3F66C11EA47C}">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无头部企业用电量统计，因此以有色、钢铁、化工、建材、金属制品五个高耗能CR5的企业营收合计占重工业营收比重：数据来源：wind数据库</t>
        </r>
      </text>
    </comment>
    <comment ref="I23" authorId="19" shapeId="0" xr:uid="{C2239FEC-A8A0-4752-AE28-F00C1AE09FDF}">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无头部企业用电量统计，因此以纺织、3C、服装、食品、服装五个高耗能CR5的企业营收合计占重工业营收比重：数据来源：wind数据库</t>
        </r>
      </text>
    </comment>
    <comment ref="D26" authorId="20" shapeId="0" xr:uid="{9AE0ED4B-308B-4BCF-BADB-27AC59921DEC}">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数据来源：绿色数据中心白皮书</t>
        </r>
      </text>
    </comment>
    <comment ref="H26" authorId="21" shapeId="0" xr:uid="{3AA4752B-345F-4AF0-A139-50FCB85DEB77}">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数据来源：绿色数据中心白皮书</t>
        </r>
      </text>
    </comment>
    <comment ref="I26" authorId="22" shapeId="0" xr:uid="{F6CCFC03-53EF-45C9-BFB9-BABF969DA993}">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前瞻产业研究院
答复:
    https://bg.qianzhan.com/trends/detail/506/210914-1b561ae2.html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tc={AED3A6C1-ECE9-4334-8877-15EE0CF900C9}</author>
    <author>tc={7DAB6EA6-92B0-4D34-B623-D03654C13C8E}</author>
    <author>tc={42CC8879-5AD0-41DA-BCC3-E52ACA5963DC}</author>
    <author>tc={8670CCF1-1CF1-438C-B877-81C363C8CF96}</author>
    <author>ThinkPad</author>
  </authors>
  <commentList>
    <comment ref="C21" authorId="0" shapeId="0" xr:uid="{C62BDF0E-07B9-4AA5-9210-8F159C313B28}">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包括刀具、夹具、通用五金配件、轴承、锁具、模具，五金等
答复:
    类似于有色行业下游加工业extension://bfdogplmndidlpjfhoijckpakkdjkkil/pdf/viewer.html?file=http%3A%2F%2Fwww.jiangmen.gov.cn%2Fztlm%2Fzgqdcnzgg%2Fjzcnbz%2Fgdzctzxmjnsc%2F201710%2FW020171230534681730775.pdf</t>
        </r>
      </text>
    </comment>
    <comment ref="D22" authorId="1" shapeId="0" xr:uid="{3884C8FA-ACFF-4DC5-B0F4-518F3A545504}">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生产工艺：塑炼、混炼、压延、压出、成型、硫化</t>
        </r>
      </text>
    </comment>
    <comment ref="C25" authorId="2" shapeId="0" xr:uid="{46A55ED3-0D06-4AED-919F-7E1938D4311B}">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机械基础件、机床工具、制冷空调设备、磨具磨料和内燃机</t>
        </r>
      </text>
    </comment>
    <comment ref="C29" authorId="3" shapeId="0" xr:uid="{63685CB2-4819-4964-8D44-33B73CB133ED}">
      <text>
        <r>
          <rPr>
            <sz val="11"/>
            <color theme="1"/>
            <rFont val="等线"/>
            <family val="2"/>
            <scheme val="minor"/>
          </rPr>
          <t>[线程批注]
你的Excel版本可读取此线程批注; 但如果在更新版本的Excel中打开文件，则对批注所作的任何改动都将被删除。了解详细信息: https://go.microsoft.com/fwlink/?linkid=870924
注释:
    有化学反应</t>
        </r>
      </text>
    </comment>
    <comment ref="C42" authorId="4" shapeId="0" xr:uid="{A8930564-8094-4384-A2B5-5CB58D34D4D3}">
      <text>
        <r>
          <rPr>
            <b/>
            <sz val="9"/>
            <color indexed="81"/>
            <rFont val="宋体"/>
            <family val="3"/>
            <charset val="134"/>
          </rPr>
          <t>ThinkPad:</t>
        </r>
        <r>
          <rPr>
            <sz val="9"/>
            <color indexed="81"/>
            <rFont val="宋体"/>
            <family val="3"/>
            <charset val="134"/>
          </rPr>
          <t xml:space="preserve">
包括日用杂品生产、核辐射加工等</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WM</author>
  </authors>
  <commentList>
    <comment ref="L9" authorId="0" shapeId="0" xr:uid="{42CEB4AF-210A-424A-96DE-94AF7C2013F5}">
      <text>
        <r>
          <rPr>
            <sz val="9"/>
            <color indexed="81"/>
            <rFont val="宋体"/>
            <family val="3"/>
            <charset val="134"/>
          </rPr>
          <t>《“十四五”新型储能发展实施方案》到2025年，电化学储能系统成本下降~30%</t>
        </r>
      </text>
    </comment>
    <comment ref="G21" authorId="0" shapeId="0" xr:uid="{B5C3B906-4C23-4648-8F45-318D35AFEC1F}">
      <text>
        <r>
          <rPr>
            <sz val="9"/>
            <color indexed="81"/>
            <rFont val="宋体"/>
            <family val="3"/>
            <charset val="134"/>
          </rPr>
          <t>电力统计年鉴</t>
        </r>
      </text>
    </comment>
    <comment ref="L21" authorId="0" shapeId="0" xr:uid="{37856505-8024-44EB-9EA6-DBA7903804A2}">
      <text>
        <r>
          <rPr>
            <sz val="9"/>
            <color indexed="81"/>
            <rFont val="宋体"/>
            <family val="3"/>
            <charset val="134"/>
          </rPr>
          <t>M2预测</t>
        </r>
      </text>
    </comment>
    <comment ref="B28" authorId="0" shapeId="0" xr:uid="{7080BD83-A3B7-4883-A48E-826D1A497663}">
      <text>
        <r>
          <rPr>
            <sz val="9"/>
            <color indexed="81"/>
            <rFont val="宋体"/>
            <family val="3"/>
            <charset val="134"/>
          </rPr>
          <t>专家访谈</t>
        </r>
      </text>
    </comment>
    <comment ref="G39" authorId="0" shapeId="0" xr:uid="{875682D8-6A4F-49FF-A82D-56CCA640BAD9}">
      <text>
        <r>
          <rPr>
            <sz val="9"/>
            <color indexed="81"/>
            <rFont val="宋体"/>
            <family val="3"/>
            <charset val="134"/>
          </rPr>
          <t>电力统计年鉴：商建+轻工业（除纺织造纸）</t>
        </r>
      </text>
    </comment>
    <comment ref="L39" authorId="0" shapeId="0" xr:uid="{6EABE39C-F7EF-472B-9053-F9C04046EC3A}">
      <text>
        <r>
          <rPr>
            <sz val="9"/>
            <color indexed="81"/>
            <rFont val="宋体"/>
            <family val="3"/>
            <charset val="134"/>
          </rPr>
          <t>M2预测：轻工业(除造纸纺织)+商建</t>
        </r>
      </text>
    </comment>
    <comment ref="B46" authorId="0" shapeId="0" xr:uid="{97C55528-A20C-419D-AC61-0E704A201332}">
      <text>
        <r>
          <rPr>
            <sz val="9"/>
            <color indexed="81"/>
            <rFont val="宋体"/>
            <family val="3"/>
            <charset val="134"/>
          </rPr>
          <t>专家访谈</t>
        </r>
      </text>
    </comment>
    <comment ref="H54" authorId="0" shapeId="0" xr:uid="{6838BE40-AFC0-45C9-B060-E81028E4D96E}">
      <text>
        <r>
          <rPr>
            <sz val="9"/>
            <color indexed="81"/>
            <rFont val="宋体"/>
            <family val="3"/>
            <charset val="134"/>
          </rPr>
          <t>数据来源：中国汽车工业协会</t>
        </r>
      </text>
    </comment>
    <comment ref="L57" authorId="0" shapeId="0" xr:uid="{41A2E179-2FC2-4DA3-A5A1-28C65884F834}">
      <text>
        <r>
          <rPr>
            <sz val="9"/>
            <color indexed="81"/>
            <rFont val="宋体"/>
            <family val="3"/>
            <charset val="134"/>
          </rPr>
          <t>数据来源：中国汽车工业协会</t>
        </r>
      </text>
    </comment>
    <comment ref="B59" authorId="0" shapeId="0" xr:uid="{4F2FA5FA-6B38-4502-B075-08E63C67124D}">
      <text>
        <r>
          <rPr>
            <sz val="9"/>
            <color indexed="81"/>
            <rFont val="宋体"/>
            <family val="3"/>
            <charset val="134"/>
          </rPr>
          <t>取典型项目实际运行时间</t>
        </r>
      </text>
    </comment>
    <comment ref="G72" authorId="0" shapeId="0" xr:uid="{30437022-8C97-4148-98BC-B3D10DCB985A}">
      <text>
        <r>
          <rPr>
            <sz val="9"/>
            <color indexed="81"/>
            <rFont val="宋体"/>
            <family val="3"/>
            <charset val="134"/>
          </rPr>
          <t>取轻工业用电增速</t>
        </r>
      </text>
    </comment>
    <comment ref="G75" authorId="0" shapeId="0" xr:uid="{759A137E-9384-4FCB-9596-40501442244A}">
      <text>
        <r>
          <rPr>
            <sz val="9"/>
            <color indexed="81"/>
            <rFont val="宋体"/>
            <family val="3"/>
            <charset val="134"/>
          </rPr>
          <t>电力统计年鉴</t>
        </r>
      </text>
    </comment>
    <comment ref="B82" authorId="0" shapeId="0" xr:uid="{7A0DD4CB-40BF-460E-96DD-56436450067F}">
      <text>
        <r>
          <rPr>
            <sz val="9"/>
            <color indexed="81"/>
            <rFont val="宋体"/>
            <family val="3"/>
            <charset val="134"/>
          </rPr>
          <t>专家访谈</t>
        </r>
      </text>
    </comment>
    <comment ref="G93" authorId="0" shapeId="0" xr:uid="{682C3D97-A01B-48CF-A9F8-9DAEE35A14EF}">
      <text>
        <r>
          <rPr>
            <sz val="9"/>
            <color indexed="81"/>
            <rFont val="宋体"/>
            <family val="3"/>
            <charset val="134"/>
          </rPr>
          <t>数据中心行业白皮书</t>
        </r>
      </text>
    </comment>
    <comment ref="B100" authorId="0" shapeId="0" xr:uid="{53901E34-80C8-47BE-9495-060106572DDF}">
      <text>
        <r>
          <rPr>
            <sz val="9"/>
            <color indexed="81"/>
            <rFont val="宋体"/>
            <family val="3"/>
            <charset val="134"/>
          </rPr>
          <t>专家访谈</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Bo YAN @ M2</author>
    <author>WM</author>
  </authors>
  <commentList>
    <comment ref="D10" authorId="0" shapeId="0" xr:uid="{B151326F-193D-4FFB-9F5A-AC93A5DD7993}">
      <text>
        <r>
          <rPr>
            <b/>
            <sz val="9"/>
            <color indexed="81"/>
            <rFont val="宋体"/>
            <family val="3"/>
            <charset val="134"/>
          </rPr>
          <t>Bo YAN @ M2:</t>
        </r>
        <r>
          <rPr>
            <sz val="9"/>
            <color indexed="81"/>
            <rFont val="宋体"/>
            <family val="3"/>
            <charset val="134"/>
          </rPr>
          <t xml:space="preserve">
对应上市主体新能源业务；但公司体系结构较为庞大，科华数能/新能源团队并非唯一可以参与储能业务的团队</t>
        </r>
      </text>
    </comment>
    <comment ref="H10" authorId="1" shapeId="0" xr:uid="{52505D44-5398-4A5A-94E1-B123C7FDD4C3}">
      <text>
        <r>
          <rPr>
            <sz val="9"/>
            <color indexed="81"/>
            <rFont val="宋体"/>
            <family val="3"/>
            <charset val="134"/>
          </rPr>
          <t>实际交付装机量</t>
        </r>
      </text>
    </comment>
    <comment ref="E17" authorId="0" shapeId="0" xr:uid="{B1782717-1D71-4003-A521-84D267E67243}">
      <text>
        <r>
          <rPr>
            <b/>
            <sz val="9"/>
            <color indexed="81"/>
            <rFont val="宋体"/>
            <family val="3"/>
            <charset val="134"/>
          </rPr>
          <t>Bo YAN @ M2:</t>
        </r>
        <r>
          <rPr>
            <sz val="9"/>
            <color indexed="81"/>
            <rFont val="宋体"/>
            <family val="3"/>
            <charset val="134"/>
          </rPr>
          <t xml:space="preserve">
新能源电能变换设备（PCS及交流侧系统集成）业务占比23.51%；&gt;其中国内业务占比~45%&gt;&gt;用户侧占比</t>
        </r>
      </text>
    </comment>
    <comment ref="F23" authorId="0" shapeId="0" xr:uid="{D8B04B1F-47B2-4940-8299-35D28DADBB18}">
      <text>
        <r>
          <rPr>
            <b/>
            <sz val="9"/>
            <color indexed="81"/>
            <rFont val="宋体"/>
            <family val="3"/>
            <charset val="134"/>
          </rPr>
          <t>Bo YAN @ M2:</t>
        </r>
        <r>
          <rPr>
            <sz val="9"/>
            <color indexed="81"/>
            <rFont val="宋体"/>
            <family val="3"/>
            <charset val="134"/>
          </rPr>
          <t xml:space="preserve">
按照Bottom-up测算方法所得数据、三小时系统计算</t>
        </r>
      </text>
    </comment>
  </commentList>
</comments>
</file>

<file path=xl/sharedStrings.xml><?xml version="1.0" encoding="utf-8"?>
<sst xmlns="http://schemas.openxmlformats.org/spreadsheetml/2006/main" count="786" uniqueCount="343">
  <si>
    <t>现货交易电量（亿千瓦时）</t>
  </si>
  <si>
    <t>峰谷电量占20%（亿千瓦时）</t>
  </si>
  <si>
    <t>峰谷差价</t>
  </si>
  <si>
    <t>储能套利市场盈利空间（M RMB)</t>
  </si>
  <si>
    <t>用户侧储能应用渗透率</t>
  </si>
  <si>
    <t>营收(m rnb)</t>
    <phoneticPr fontId="7" type="noConversion"/>
  </si>
  <si>
    <t>用户侧储能年平均充电时长度（h）</t>
  </si>
  <si>
    <t>用户侧储能系统的累计装机容量（kwh）</t>
  </si>
  <si>
    <t>储能电池容量时长</t>
  </si>
  <si>
    <t>储能电池装机累计装机规模(MW)</t>
  </si>
  <si>
    <t>装机容量（MWh）</t>
    <phoneticPr fontId="7" type="noConversion"/>
  </si>
  <si>
    <t>安徽省35kv一般工商业用户电价</t>
    <phoneticPr fontId="7" type="noConversion"/>
  </si>
  <si>
    <t>峰价（元/KWh)</t>
    <phoneticPr fontId="14" type="noConversion"/>
  </si>
  <si>
    <t>平价（元/KWh)</t>
    <phoneticPr fontId="14" type="noConversion"/>
  </si>
  <si>
    <t>谷价（元/KWh)</t>
    <phoneticPr fontId="14" type="noConversion"/>
  </si>
  <si>
    <t>基于用户侧两充两放（一平一峰、一谷一峰）Base模型，计算出年均放电量*峰谷价差</t>
    <phoneticPr fontId="7" type="noConversion"/>
  </si>
  <si>
    <t>工业用户总负荷运行比例（%）</t>
    <phoneticPr fontId="7" type="noConversion"/>
  </si>
  <si>
    <t>储能实际总容量（GWh）</t>
    <phoneticPr fontId="7" type="noConversion"/>
  </si>
  <si>
    <t>工厂日工作小时数（h）</t>
    <phoneticPr fontId="7" type="noConversion"/>
  </si>
  <si>
    <t>工厂年工作天数（日）</t>
    <phoneticPr fontId="7" type="noConversion"/>
  </si>
  <si>
    <t>变压器总余量（亿kw）</t>
    <phoneticPr fontId="7" type="noConversion"/>
  </si>
  <si>
    <t>储能功率占比（%）</t>
    <phoneticPr fontId="7" type="noConversion"/>
  </si>
  <si>
    <t>储能总功率（亿kw）</t>
    <phoneticPr fontId="7" type="noConversion"/>
  </si>
  <si>
    <t>储能总功率（GW）</t>
    <phoneticPr fontId="7" type="noConversion"/>
  </si>
  <si>
    <t>储能系统配置（h）</t>
    <phoneticPr fontId="7" type="noConversion"/>
  </si>
  <si>
    <t>峰谷价差（元/kWh）</t>
    <phoneticPr fontId="7" type="noConversion"/>
  </si>
  <si>
    <t>储能充放电效率（%）</t>
    <phoneticPr fontId="7" type="noConversion"/>
  </si>
  <si>
    <t>储能充放电次数（次/日）</t>
    <phoneticPr fontId="7" type="noConversion"/>
  </si>
  <si>
    <t>EPC成本（元/Wh)</t>
    <phoneticPr fontId="7" type="noConversion"/>
  </si>
  <si>
    <t>投资回收周期（年）</t>
    <phoneticPr fontId="7" type="noConversion"/>
  </si>
  <si>
    <t>储能理论市场年最大盈利空间（Mn RMB/年）</t>
    <phoneticPr fontId="7" type="noConversion"/>
  </si>
  <si>
    <t>储能投资理论市场累计最大规模（Mn RMB）</t>
    <phoneticPr fontId="7" type="noConversion"/>
  </si>
  <si>
    <t>储能增长率</t>
    <phoneticPr fontId="7" type="noConversion"/>
  </si>
  <si>
    <t>储能累计渗透率</t>
    <phoneticPr fontId="7" type="noConversion"/>
  </si>
  <si>
    <t>商建年工作天数（日）</t>
    <phoneticPr fontId="7" type="noConversion"/>
  </si>
  <si>
    <t>商建日工作小时数（h）</t>
    <phoneticPr fontId="7" type="noConversion"/>
  </si>
  <si>
    <t>商建用户总负荷运行比例（%）</t>
    <phoneticPr fontId="7" type="noConversion"/>
  </si>
  <si>
    <t>数据中心年工作天数（日）</t>
    <phoneticPr fontId="7" type="noConversion"/>
  </si>
  <si>
    <t>数据中心日工作小时数（h）</t>
    <phoneticPr fontId="7" type="noConversion"/>
  </si>
  <si>
    <t>数据中心总负荷运行比例（%）</t>
    <phoneticPr fontId="7" type="noConversion"/>
  </si>
  <si>
    <t>工业用户2021年用电量（亿kWh）</t>
  </si>
  <si>
    <t>工业用户2021年总负荷（亿kw）</t>
  </si>
  <si>
    <t>商建用户2021年总运行负荷（亿kw）</t>
  </si>
  <si>
    <t>商建用户2021年总负荷（亿kw）</t>
  </si>
  <si>
    <t>数据中心2021年用电量（亿kWh）</t>
  </si>
  <si>
    <t>数据中心2021年总运行负荷（亿kw）</t>
  </si>
  <si>
    <t>数据中心2021年总负荷（亿kw）</t>
  </si>
  <si>
    <t>电动出行2021年用电量（亿kWh）</t>
    <phoneticPr fontId="7" type="noConversion"/>
  </si>
  <si>
    <t>电动出行年工作天数（日）</t>
    <phoneticPr fontId="7" type="noConversion"/>
  </si>
  <si>
    <t>电动出行日工作小时数（h）</t>
    <phoneticPr fontId="7" type="noConversion"/>
  </si>
  <si>
    <t>电动出行2021年总运行负荷（亿kw）</t>
    <phoneticPr fontId="7" type="noConversion"/>
  </si>
  <si>
    <t>电动出行总负荷运行比例（%）</t>
    <phoneticPr fontId="7" type="noConversion"/>
  </si>
  <si>
    <t>电动出行2021年总负荷（亿kw）</t>
    <phoneticPr fontId="7" type="noConversion"/>
  </si>
  <si>
    <t xml:space="preserve">                                                                                                                                                                                                                              </t>
    <phoneticPr fontId="7" type="noConversion"/>
  </si>
  <si>
    <t>工业用户2021年总运行负荷（亿kw）</t>
    <phoneticPr fontId="7" type="noConversion"/>
  </si>
  <si>
    <t>2021+</t>
    <phoneticPr fontId="7" type="noConversion"/>
  </si>
  <si>
    <t>储能总功率（GW）累计</t>
    <phoneticPr fontId="7" type="noConversion"/>
  </si>
  <si>
    <t>储能总功率（GW）新增</t>
    <phoneticPr fontId="7" type="noConversion"/>
  </si>
  <si>
    <t>2022F</t>
  </si>
  <si>
    <t>2023F</t>
  </si>
  <si>
    <t>2024F</t>
  </si>
  <si>
    <t>2025F</t>
  </si>
  <si>
    <t>理论市场空间Total(GW)</t>
    <phoneticPr fontId="7" type="noConversion"/>
  </si>
  <si>
    <t>市场投资金额（Mn RMB）</t>
    <phoneticPr fontId="7" type="noConversion"/>
  </si>
  <si>
    <t>市场投资金额（B n RMB）</t>
    <phoneticPr fontId="7" type="noConversion"/>
  </si>
  <si>
    <t>商建用户2021年用电量（亿kWh）</t>
    <phoneticPr fontId="7" type="noConversion"/>
  </si>
  <si>
    <t>储能理论市场总功率（GW）</t>
    <phoneticPr fontId="7" type="noConversion"/>
  </si>
  <si>
    <t>Tier1</t>
    <phoneticPr fontId="7" type="noConversion"/>
  </si>
  <si>
    <t>累计总功率市场占比</t>
    <phoneticPr fontId="7" type="noConversion"/>
  </si>
  <si>
    <t>包括有色、钢铁、化工、非金属矿、石油加工、纺织、造纸、食品、制药</t>
    <phoneticPr fontId="7" type="noConversion"/>
  </si>
  <si>
    <t>Tier2</t>
    <phoneticPr fontId="7" type="noConversion"/>
  </si>
  <si>
    <t>包括一般制造业、商业建筑、充电桩</t>
    <phoneticPr fontId="7" type="noConversion"/>
  </si>
  <si>
    <t>行业年总用电量（亿kWh）</t>
    <phoneticPr fontId="7" type="noConversion"/>
  </si>
  <si>
    <t>储能总功率（GW）累计-协会公布</t>
    <phoneticPr fontId="7" type="noConversion"/>
  </si>
  <si>
    <t>储能总功率（GW）新增-协会公布</t>
    <phoneticPr fontId="7" type="noConversion"/>
  </si>
  <si>
    <t>储能总功率（GW）累计-Bottom-Up</t>
    <phoneticPr fontId="7" type="noConversion"/>
  </si>
  <si>
    <t>储能总功率（GW）新增-Bottom-Up</t>
    <phoneticPr fontId="7" type="noConversion"/>
  </si>
  <si>
    <t>Tier3</t>
    <phoneticPr fontId="7" type="noConversion"/>
  </si>
  <si>
    <t>包括数据中心/通信基站</t>
    <phoneticPr fontId="7" type="noConversion"/>
  </si>
  <si>
    <t>新增总功率市场占比</t>
    <phoneticPr fontId="7" type="noConversion"/>
  </si>
  <si>
    <t>重工业+轻工业用户整体用电量CAGR</t>
    <phoneticPr fontId="7" type="noConversion"/>
  </si>
  <si>
    <t>商建+充电桩+轻工业用户整体用电量CAGR</t>
    <phoneticPr fontId="7" type="noConversion"/>
  </si>
  <si>
    <t>数据中心用户整体用电量CAGR</t>
    <phoneticPr fontId="7" type="noConversion"/>
  </si>
  <si>
    <t>Best</t>
    <phoneticPr fontId="7" type="noConversion"/>
  </si>
  <si>
    <t>Base</t>
    <phoneticPr fontId="7" type="noConversion"/>
  </si>
  <si>
    <t>2022F</t>
    <phoneticPr fontId="7" type="noConversion"/>
  </si>
  <si>
    <t>2023F</t>
    <phoneticPr fontId="7" type="noConversion"/>
  </si>
  <si>
    <t>表前</t>
    <phoneticPr fontId="7" type="noConversion"/>
  </si>
  <si>
    <t>表后</t>
    <phoneticPr fontId="7" type="noConversion"/>
  </si>
  <si>
    <t>全国</t>
    <phoneticPr fontId="7" type="noConversion"/>
  </si>
  <si>
    <t>电化学储能装机规模 - 累计（GW）</t>
    <phoneticPr fontId="7" type="noConversion"/>
  </si>
  <si>
    <t>电化学储能装机规模 - 新增（GW）</t>
    <phoneticPr fontId="7" type="noConversion"/>
  </si>
  <si>
    <t>市场投资金额（Bn RMB）-协会公布</t>
    <phoneticPr fontId="7" type="noConversion"/>
  </si>
  <si>
    <t>市场投资金额（Bn RMB）-Bottom-Up</t>
    <phoneticPr fontId="7" type="noConversion"/>
  </si>
  <si>
    <t>xxx</t>
    <phoneticPr fontId="7" type="noConversion"/>
  </si>
  <si>
    <t>M2访谈数据/Assumption</t>
    <phoneticPr fontId="7" type="noConversion"/>
  </si>
  <si>
    <t>引用数据</t>
    <phoneticPr fontId="7" type="noConversion"/>
  </si>
  <si>
    <t>计算所得数据</t>
    <phoneticPr fontId="7" type="noConversion"/>
  </si>
  <si>
    <t>行业用电量</t>
    <phoneticPr fontId="8" type="noConversion"/>
  </si>
  <si>
    <t>用电量</t>
    <phoneticPr fontId="8" type="noConversion"/>
  </si>
  <si>
    <t>2020年用电量(亿 kWh）</t>
    <phoneticPr fontId="7" type="noConversion"/>
  </si>
  <si>
    <t>2020年用电量(Bn kWh)</t>
    <phoneticPr fontId="7" type="noConversion"/>
  </si>
  <si>
    <t>2021年用电量(Bn kWh)</t>
    <phoneticPr fontId="7" type="noConversion"/>
  </si>
  <si>
    <t>2025F用电量(Bn kWh)</t>
    <phoneticPr fontId="7" type="noConversion"/>
  </si>
  <si>
    <t>2030F用电量(Bn kWh)</t>
    <phoneticPr fontId="7" type="noConversion"/>
  </si>
  <si>
    <t>CAGR（2020-2025F）</t>
    <phoneticPr fontId="7" type="noConversion"/>
  </si>
  <si>
    <t>CAGR（2025-2030F）</t>
    <phoneticPr fontId="7" type="noConversion"/>
  </si>
  <si>
    <t>CAGR（2021-2030F）</t>
    <phoneticPr fontId="7" type="noConversion"/>
  </si>
  <si>
    <t>单位建筑面积用电量：单位：kWh/平方米*年；单个数据中心用电量:单位：kWh/个*年；单个充电桩用电量：单位：kWh/个*年</t>
    <phoneticPr fontId="7" type="noConversion"/>
  </si>
  <si>
    <t>CR5_2021</t>
    <phoneticPr fontId="7" type="noConversion"/>
  </si>
  <si>
    <t>以有色、钢铁、化工、建材、金属制品五个高耗能CR5的企业耗电量合计占重工业耗电量比重</t>
    <phoneticPr fontId="7" type="noConversion"/>
  </si>
  <si>
    <t>全社会用电量</t>
    <phoneticPr fontId="8" type="noConversion"/>
  </si>
  <si>
    <t>NA</t>
    <phoneticPr fontId="7" type="noConversion"/>
  </si>
  <si>
    <t>以纺织、3C、服装、食品、服装五个高耗能CR5的企业耗电量合计占重工业耗电量比重</t>
    <phoneticPr fontId="7" type="noConversion"/>
  </si>
  <si>
    <t>Total （工商业、不含交通运输、电力热力生产等）</t>
    <phoneticPr fontId="8" type="noConversion"/>
  </si>
  <si>
    <t>重工业</t>
    <phoneticPr fontId="7" type="noConversion"/>
  </si>
  <si>
    <t>轻工业</t>
    <phoneticPr fontId="7" type="noConversion"/>
  </si>
  <si>
    <t>公共建筑</t>
  </si>
  <si>
    <t>商业建筑</t>
    <phoneticPr fontId="7" type="noConversion"/>
  </si>
  <si>
    <t>数据中心</t>
  </si>
  <si>
    <t>电动出行 (充换电)</t>
    <phoneticPr fontId="8" type="noConversion"/>
  </si>
  <si>
    <t>市场规模</t>
    <phoneticPr fontId="8" type="noConversion"/>
  </si>
  <si>
    <t>基本假设：用电单价（1元/kWh)</t>
    <phoneticPr fontId="8" type="noConversion"/>
  </si>
  <si>
    <t>2020年市场规模(亿 RMB）</t>
    <phoneticPr fontId="7" type="noConversion"/>
  </si>
  <si>
    <t>2020年市场规模(Bn RMB）</t>
    <phoneticPr fontId="7" type="noConversion"/>
  </si>
  <si>
    <t>2021年市场规模(Bn RMB）</t>
  </si>
  <si>
    <t>2025F市场规模(Bn RMB）</t>
    <phoneticPr fontId="7" type="noConversion"/>
  </si>
  <si>
    <t>2030F市场规模(Bn RMB）</t>
    <phoneticPr fontId="7" type="noConversion"/>
  </si>
  <si>
    <t>用电单价（元/kwh）</t>
    <phoneticPr fontId="8" type="noConversion"/>
  </si>
  <si>
    <t>年工作天数（日）</t>
    <phoneticPr fontId="7" type="noConversion"/>
  </si>
  <si>
    <t>日工作小时数（h）</t>
    <phoneticPr fontId="7" type="noConversion"/>
  </si>
  <si>
    <t>数据中心</t>
    <phoneticPr fontId="7" type="noConversion"/>
  </si>
  <si>
    <t>2021年总运行负荷（亿kw）</t>
    <phoneticPr fontId="7" type="noConversion"/>
  </si>
  <si>
    <t>总负荷运行比例（%）</t>
    <phoneticPr fontId="7" type="noConversion"/>
  </si>
  <si>
    <t>2021年总负荷（亿kw）</t>
    <phoneticPr fontId="7" type="noConversion"/>
  </si>
  <si>
    <t>D类客户：数据中心</t>
    <phoneticPr fontId="7" type="noConversion"/>
  </si>
  <si>
    <t>B类客户：充电桩</t>
    <phoneticPr fontId="7" type="noConversion"/>
  </si>
  <si>
    <t>C类客户 - 小型高耗能行业（造纸、纺织）</t>
    <phoneticPr fontId="7" type="noConversion"/>
  </si>
  <si>
    <r>
      <rPr>
        <b/>
        <sz val="11"/>
        <color theme="0"/>
        <rFont val="华文楷体"/>
        <family val="3"/>
        <charset val="134"/>
      </rPr>
      <t>类别</t>
    </r>
    <phoneticPr fontId="7" type="noConversion"/>
  </si>
  <si>
    <t>纵轴：市场潜力</t>
    <phoneticPr fontId="7" type="noConversion"/>
  </si>
  <si>
    <r>
      <rPr>
        <b/>
        <sz val="11"/>
        <color theme="0"/>
        <rFont val="华文楷体"/>
        <family val="3"/>
        <charset val="134"/>
      </rPr>
      <t>市场规模（单位：</t>
    </r>
    <r>
      <rPr>
        <b/>
        <sz val="11"/>
        <color theme="0"/>
        <rFont val="宋体"/>
        <family val="2"/>
        <charset val="134"/>
      </rPr>
      <t>亿千瓦时</t>
    </r>
    <r>
      <rPr>
        <b/>
        <sz val="11"/>
        <color theme="0"/>
        <rFont val="华文楷体"/>
        <family val="3"/>
        <charset val="134"/>
      </rPr>
      <t>）</t>
    </r>
    <phoneticPr fontId="7" type="noConversion"/>
  </si>
  <si>
    <t>行业</t>
    <phoneticPr fontId="7" type="noConversion"/>
  </si>
  <si>
    <r>
      <rPr>
        <b/>
        <sz val="11"/>
        <color theme="1"/>
        <rFont val="华文楷体"/>
        <family val="3"/>
        <charset val="134"/>
      </rPr>
      <t>重工业</t>
    </r>
    <phoneticPr fontId="7" type="noConversion"/>
  </si>
  <si>
    <t>Total</t>
    <phoneticPr fontId="7" type="noConversion"/>
  </si>
  <si>
    <t>有色金属冶炼及压延加工业</t>
    <phoneticPr fontId="8" type="noConversion"/>
  </si>
  <si>
    <r>
      <t xml:space="preserve">  </t>
    </r>
    <r>
      <rPr>
        <sz val="10"/>
        <color theme="1"/>
        <rFont val="华文楷体"/>
        <family val="3"/>
        <charset val="134"/>
      </rPr>
      <t>其中</t>
    </r>
    <r>
      <rPr>
        <sz val="10"/>
        <color theme="1"/>
        <rFont val="Century Gothic"/>
        <family val="2"/>
      </rPr>
      <t>:</t>
    </r>
    <r>
      <rPr>
        <sz val="10"/>
        <color theme="1"/>
        <rFont val="华文楷体"/>
        <family val="3"/>
        <charset val="134"/>
      </rPr>
      <t>铝冶炼</t>
    </r>
  </si>
  <si>
    <r>
      <t xml:space="preserve">       </t>
    </r>
    <r>
      <rPr>
        <sz val="10"/>
        <color theme="1"/>
        <rFont val="华文楷体"/>
        <family val="3"/>
        <charset val="134"/>
      </rPr>
      <t>铅锌冶炼</t>
    </r>
  </si>
  <si>
    <r>
      <t xml:space="preserve">       </t>
    </r>
    <r>
      <rPr>
        <sz val="10"/>
        <color theme="1"/>
        <rFont val="华文楷体"/>
        <family val="3"/>
        <charset val="134"/>
      </rPr>
      <t>稀有稀土金属冶炼</t>
    </r>
  </si>
  <si>
    <t>黑色金属矿冶炼及压延加工业</t>
    <phoneticPr fontId="8" type="noConversion"/>
  </si>
  <si>
    <r>
      <t xml:space="preserve">  </t>
    </r>
    <r>
      <rPr>
        <sz val="10"/>
        <color theme="1"/>
        <rFont val="华文楷体"/>
        <family val="3"/>
        <charset val="134"/>
      </rPr>
      <t>其中</t>
    </r>
    <r>
      <rPr>
        <sz val="10"/>
        <color theme="1"/>
        <rFont val="Century Gothic"/>
        <family val="2"/>
      </rPr>
      <t>:__</t>
    </r>
    <r>
      <rPr>
        <sz val="10"/>
        <color theme="1"/>
        <rFont val="华文楷体"/>
        <family val="3"/>
        <charset val="134"/>
      </rPr>
      <t>钢铁</t>
    </r>
    <phoneticPr fontId="8" type="noConversion"/>
  </si>
  <si>
    <r>
      <t xml:space="preserve">      __ </t>
    </r>
    <r>
      <rPr>
        <sz val="10"/>
        <color theme="1"/>
        <rFont val="华文楷体"/>
        <family val="3"/>
        <charset val="134"/>
      </rPr>
      <t>铁合金冶炼</t>
    </r>
    <phoneticPr fontId="8" type="noConversion"/>
  </si>
  <si>
    <t>化学原料和化学制品制造业</t>
    <phoneticPr fontId="7" type="noConversion"/>
  </si>
  <si>
    <r>
      <t xml:space="preserve">  </t>
    </r>
    <r>
      <rPr>
        <sz val="10"/>
        <color theme="1"/>
        <rFont val="华文楷体"/>
        <family val="3"/>
        <charset val="134"/>
      </rPr>
      <t>其中</t>
    </r>
    <r>
      <rPr>
        <sz val="10"/>
        <color theme="1"/>
        <rFont val="Century Gothic"/>
        <family val="2"/>
      </rPr>
      <t>:__</t>
    </r>
    <r>
      <rPr>
        <sz val="10"/>
        <color theme="1"/>
        <rFont val="华文楷体"/>
        <family val="3"/>
        <charset val="134"/>
      </rPr>
      <t>氯碱</t>
    </r>
    <phoneticPr fontId="8" type="noConversion"/>
  </si>
  <si>
    <r>
      <t xml:space="preserve">       __</t>
    </r>
    <r>
      <rPr>
        <sz val="10"/>
        <color theme="1"/>
        <rFont val="华文楷体"/>
        <family val="3"/>
        <charset val="134"/>
      </rPr>
      <t>电石</t>
    </r>
    <phoneticPr fontId="8" type="noConversion"/>
  </si>
  <si>
    <r>
      <t xml:space="preserve">    __</t>
    </r>
    <r>
      <rPr>
        <sz val="10"/>
        <color theme="1"/>
        <rFont val="华文楷体"/>
        <family val="3"/>
        <charset val="134"/>
      </rPr>
      <t>黄磷</t>
    </r>
    <phoneticPr fontId="8" type="noConversion"/>
  </si>
  <si>
    <r>
      <t xml:space="preserve">       __</t>
    </r>
    <r>
      <rPr>
        <sz val="10"/>
        <color theme="1"/>
        <rFont val="华文楷体"/>
        <family val="3"/>
        <charset val="134"/>
      </rPr>
      <t>肥料制造</t>
    </r>
    <phoneticPr fontId="8" type="noConversion"/>
  </si>
  <si>
    <t>非金属矿物制品业</t>
    <phoneticPr fontId="7" type="noConversion"/>
  </si>
  <si>
    <r>
      <t xml:space="preserve">  </t>
    </r>
    <r>
      <rPr>
        <sz val="10"/>
        <color theme="1"/>
        <rFont val="华文楷体"/>
        <family val="3"/>
        <charset val="134"/>
      </rPr>
      <t>其中</t>
    </r>
    <r>
      <rPr>
        <sz val="10"/>
        <color theme="1"/>
        <rFont val="Century Gothic"/>
        <family val="2"/>
      </rPr>
      <t>:__</t>
    </r>
    <r>
      <rPr>
        <sz val="10"/>
        <color theme="1"/>
        <rFont val="华文楷体"/>
        <family val="3"/>
        <charset val="134"/>
      </rPr>
      <t>水泥制造</t>
    </r>
    <phoneticPr fontId="8" type="noConversion"/>
  </si>
  <si>
    <r>
      <t>__</t>
    </r>
    <r>
      <rPr>
        <sz val="10"/>
        <color theme="1"/>
        <rFont val="华文楷体"/>
        <family val="3"/>
        <charset val="134"/>
      </rPr>
      <t>玻璃制造</t>
    </r>
    <phoneticPr fontId="8" type="noConversion"/>
  </si>
  <si>
    <r>
      <t xml:space="preserve">    __</t>
    </r>
    <r>
      <rPr>
        <sz val="10"/>
        <color theme="1"/>
        <rFont val="华文楷体"/>
        <family val="3"/>
        <charset val="134"/>
      </rPr>
      <t>陶瓷制品制造</t>
    </r>
    <phoneticPr fontId="8" type="noConversion"/>
  </si>
  <si>
    <r>
      <t>__</t>
    </r>
    <r>
      <rPr>
        <sz val="10"/>
        <color theme="1"/>
        <rFont val="华文楷体"/>
        <family val="3"/>
        <charset val="134"/>
      </rPr>
      <t>碳化硅</t>
    </r>
    <phoneticPr fontId="8" type="noConversion"/>
  </si>
  <si>
    <t>金属制品业</t>
    <phoneticPr fontId="8" type="noConversion"/>
  </si>
  <si>
    <t>橡胶和塑料制品业</t>
    <phoneticPr fontId="7" type="noConversion"/>
  </si>
  <si>
    <t>石油、煤炭及其他燃料加工业</t>
    <phoneticPr fontId="7" type="noConversion"/>
  </si>
  <si>
    <t>煤炭开采及洗选业</t>
    <phoneticPr fontId="7" type="noConversion"/>
  </si>
  <si>
    <t>通用设备制造业</t>
    <phoneticPr fontId="8" type="noConversion"/>
  </si>
  <si>
    <t>电气机械和器材制造业</t>
    <phoneticPr fontId="7" type="noConversion"/>
  </si>
  <si>
    <t>汽车制造业</t>
    <phoneticPr fontId="7" type="noConversion"/>
  </si>
  <si>
    <t>石油和天然气开采</t>
    <phoneticPr fontId="8" type="noConversion"/>
  </si>
  <si>
    <t>化学纤维制造业</t>
    <phoneticPr fontId="7" type="noConversion"/>
  </si>
  <si>
    <t>医药制造业</t>
    <phoneticPr fontId="8" type="noConversion"/>
  </si>
  <si>
    <r>
      <rPr>
        <b/>
        <sz val="10"/>
        <color theme="1"/>
        <rFont val="华文楷体"/>
        <family val="3"/>
        <charset val="134"/>
      </rPr>
      <t>黑色金属矿采选业</t>
    </r>
    <phoneticPr fontId="7" type="noConversion"/>
  </si>
  <si>
    <r>
      <rPr>
        <b/>
        <sz val="10"/>
        <color theme="1"/>
        <rFont val="华文楷体"/>
        <family val="3"/>
        <charset val="134"/>
      </rPr>
      <t>有色金属矿采选业</t>
    </r>
  </si>
  <si>
    <t>专用设备制造业</t>
    <phoneticPr fontId="8" type="noConversion"/>
  </si>
  <si>
    <t>铁路、船舶、航空航天和其他运输设备制造业</t>
    <phoneticPr fontId="8" type="noConversion"/>
  </si>
  <si>
    <t>非金属矿采选业</t>
    <phoneticPr fontId="7" type="noConversion"/>
  </si>
  <si>
    <r>
      <rPr>
        <b/>
        <sz val="10"/>
        <color theme="1"/>
        <rFont val="华文楷体"/>
        <family val="3"/>
        <charset val="134"/>
      </rPr>
      <t>其它采矿活动</t>
    </r>
  </si>
  <si>
    <r>
      <rPr>
        <b/>
        <sz val="11"/>
        <color theme="1"/>
        <rFont val="华文楷体"/>
        <family val="3"/>
        <charset val="134"/>
      </rPr>
      <t>轻工业</t>
    </r>
    <phoneticPr fontId="7" type="noConversion"/>
  </si>
  <si>
    <t>纺织业</t>
    <phoneticPr fontId="7" type="noConversion"/>
  </si>
  <si>
    <t>计算机、通信和其他电子设备制造业</t>
    <phoneticPr fontId="8" type="noConversion"/>
  </si>
  <si>
    <t>造纸和纸制品业</t>
    <phoneticPr fontId="7" type="noConversion"/>
  </si>
  <si>
    <t>农副食品加工</t>
    <phoneticPr fontId="7" type="noConversion"/>
  </si>
  <si>
    <t>其他制造业</t>
    <phoneticPr fontId="7" type="noConversion"/>
  </si>
  <si>
    <t>纺织服装、服饰业</t>
    <phoneticPr fontId="7" type="noConversion"/>
  </si>
  <si>
    <t>食品制造业</t>
    <phoneticPr fontId="7" type="noConversion"/>
  </si>
  <si>
    <r>
      <rPr>
        <b/>
        <sz val="10"/>
        <color theme="1"/>
        <rFont val="华文楷体"/>
        <family val="3"/>
        <charset val="134"/>
      </rPr>
      <t>木材加工和木、竹、藤、棕、草制品业</t>
    </r>
    <phoneticPr fontId="8" type="noConversion"/>
  </si>
  <si>
    <r>
      <rPr>
        <b/>
        <sz val="10"/>
        <color theme="1"/>
        <rFont val="华文楷体"/>
        <family val="3"/>
        <charset val="134"/>
      </rPr>
      <t>皮革、毛皮、羽毛及其制品和制鞋业</t>
    </r>
    <phoneticPr fontId="8" type="noConversion"/>
  </si>
  <si>
    <r>
      <rPr>
        <b/>
        <sz val="10"/>
        <color theme="1"/>
        <rFont val="华文楷体"/>
        <family val="3"/>
        <charset val="134"/>
      </rPr>
      <t>文教、工美、体育和娱乐用品制造业</t>
    </r>
    <phoneticPr fontId="8" type="noConversion"/>
  </si>
  <si>
    <r>
      <rPr>
        <b/>
        <sz val="10"/>
        <color theme="1"/>
        <rFont val="华文楷体"/>
        <family val="3"/>
        <charset val="134"/>
      </rPr>
      <t>家具制造业</t>
    </r>
  </si>
  <si>
    <t>酒、饮料及精制茶制造业</t>
    <phoneticPr fontId="7" type="noConversion"/>
  </si>
  <si>
    <t>印刷和记录媒介复制业</t>
    <phoneticPr fontId="8" type="noConversion"/>
  </si>
  <si>
    <t>仪器仪表制造业</t>
    <phoneticPr fontId="7" type="noConversion"/>
  </si>
  <si>
    <t>烟草制品业</t>
    <phoneticPr fontId="8" type="noConversion"/>
  </si>
  <si>
    <t>20-25CAGR</t>
    <phoneticPr fontId="7" type="noConversion"/>
  </si>
  <si>
    <t>用户侧储能市场规模汇总</t>
    <phoneticPr fontId="7" type="noConversion"/>
  </si>
  <si>
    <t>A类客户-Tier1：大型高耗能行业（重工业）</t>
    <phoneticPr fontId="7" type="noConversion"/>
  </si>
  <si>
    <t>A类客户-Tier2&amp;3：商建、一般制造业（含除纺织造纸外所有轻工业）</t>
    <phoneticPr fontId="7" type="noConversion"/>
  </si>
  <si>
    <t>Base</t>
    <phoneticPr fontId="7" type="noConversion"/>
  </si>
  <si>
    <t>用户侧储能市场规模</t>
    <phoneticPr fontId="7" type="noConversion"/>
  </si>
  <si>
    <t>No.</t>
    <phoneticPr fontId="8" type="noConversion"/>
  </si>
  <si>
    <t>企业名称</t>
    <phoneticPr fontId="8" type="noConversion"/>
  </si>
  <si>
    <t>美克生</t>
  </si>
  <si>
    <t>海博思创</t>
    <phoneticPr fontId="7" type="noConversion"/>
  </si>
  <si>
    <t>奇点能源</t>
    <phoneticPr fontId="7" type="noConversion"/>
  </si>
  <si>
    <t>采日能源</t>
    <phoneticPr fontId="7" type="noConversion"/>
  </si>
  <si>
    <t>储能在线</t>
    <phoneticPr fontId="7" type="noConversion"/>
  </si>
  <si>
    <t>南京四象</t>
    <phoneticPr fontId="7" type="noConversion"/>
  </si>
  <si>
    <t>用户侧市场份额（%）</t>
    <phoneticPr fontId="7" type="noConversion"/>
  </si>
  <si>
    <t>用户侧装机占比（%）</t>
    <phoneticPr fontId="7" type="noConversion"/>
  </si>
  <si>
    <t>科华数能</t>
    <phoneticPr fontId="7" type="noConversion"/>
  </si>
  <si>
    <t>库博能源</t>
    <phoneticPr fontId="7" type="noConversion"/>
  </si>
  <si>
    <t>智光储能</t>
    <phoneticPr fontId="7" type="noConversion"/>
  </si>
  <si>
    <t>盛弘股份</t>
    <phoneticPr fontId="7" type="noConversion"/>
  </si>
  <si>
    <t>用户侧一个标准的储能配置：1. 装机容量：4800kWh；2. 年充电量：3462099kWh（一年350天，每天两充两放)；3. 平均年充电时长=3462099/4800=721小时</t>
    <phoneticPr fontId="7" type="noConversion"/>
  </si>
  <si>
    <t>假设/访谈数据</t>
    <phoneticPr fontId="7" type="noConversion"/>
  </si>
  <si>
    <t>计算数据</t>
    <phoneticPr fontId="7" type="noConversion"/>
  </si>
  <si>
    <t>汇总</t>
    <phoneticPr fontId="7" type="noConversion"/>
  </si>
  <si>
    <t>2021年总营收（元）</t>
    <phoneticPr fontId="7" type="noConversion"/>
  </si>
  <si>
    <t>2021年储能系统集成营收</t>
    <phoneticPr fontId="7" type="noConversion"/>
  </si>
  <si>
    <t>2021年储能系统集成营收占比（%）</t>
    <phoneticPr fontId="7" type="noConversion"/>
  </si>
  <si>
    <t>2021年储能业务毛利率</t>
    <phoneticPr fontId="7" type="noConversion"/>
  </si>
  <si>
    <t>2021年储能新增装机（MWh）</t>
    <phoneticPr fontId="8" type="noConversion"/>
  </si>
  <si>
    <t>&gt;&gt;&gt;Comments</t>
    <phoneticPr fontId="7" type="noConversion"/>
  </si>
  <si>
    <t>略小于协会公布数字</t>
    <phoneticPr fontId="7" type="noConversion"/>
  </si>
  <si>
    <t>&lt;5%</t>
    <phoneticPr fontId="7" type="noConversion"/>
  </si>
  <si>
    <t>远大于协会公布数字；部分参与储能业务的子公司财务信息未并表；储能业务实际营收近10亿元</t>
    <phoneticPr fontId="7" type="noConversion"/>
  </si>
  <si>
    <t>部分子公司未并表；储能业务（含交流侧系统集成）实际总营收近8亿元，其中直流侧占比~30%</t>
    <phoneticPr fontId="7" type="noConversion"/>
  </si>
  <si>
    <t>/</t>
    <phoneticPr fontId="7" type="noConversion"/>
  </si>
  <si>
    <t>尚未实现规模化投产，仅有样品试制装配线；目前业务营收主要来自于储能系统集成设备及储能液冷组件销售</t>
    <phoneticPr fontId="7" type="noConversion"/>
  </si>
  <si>
    <t>↓：按照功率计算</t>
    <phoneticPr fontId="7" type="noConversion"/>
  </si>
  <si>
    <t>储能相关业务以PCS等设备供应及交流侧系统集成为主</t>
    <phoneticPr fontId="7" type="noConversion"/>
  </si>
  <si>
    <t>&lt;0%</t>
    <phoneticPr fontId="7" type="noConversion"/>
  </si>
  <si>
    <t>按照PSS运维系统接入量功率计算；公司实际主营为电动出行-小动力电池供应</t>
    <phoneticPr fontId="7" type="noConversion"/>
  </si>
  <si>
    <t>注：由于存在往年回款和应收账款情况，年营业收入数据与新增装机数据无简单逻辑关系</t>
    <phoneticPr fontId="7" type="noConversion"/>
  </si>
  <si>
    <t>用户侧</t>
    <phoneticPr fontId="7" type="noConversion"/>
  </si>
  <si>
    <t>↓：根据Bottom-Up测算数据，八家访谈企业共占据用户侧市场份额约60%</t>
    <phoneticPr fontId="7" type="noConversion"/>
  </si>
  <si>
    <t>2021年用户侧新增装机（MWh）</t>
    <phoneticPr fontId="8" type="noConversion"/>
  </si>
  <si>
    <t>KSF/GTM</t>
    <phoneticPr fontId="7" type="noConversion"/>
  </si>
  <si>
    <t>战略布局/未来展望</t>
    <phoneticPr fontId="7" type="noConversion"/>
  </si>
  <si>
    <t>KSF: 1. 定位聚焦，专注系统集成环节；2. 上游控制力强、质量高、供应链稳定；3. 集成端能力已形成壁垒；4.表前资源丰富</t>
    <phoneticPr fontId="7" type="noConversion"/>
  </si>
  <si>
    <t>战略布局：1. 强化源网侧资源；2. 开发用户侧优质客户；3. 登陆资本市场；4. 对新兴电池技术保持观望</t>
    <phoneticPr fontId="7" type="noConversion"/>
  </si>
  <si>
    <t>KSF: 1. 市场进入路线清晰；2. 供应链管理能力强；3. 表后优质客户开发能力强</t>
    <phoneticPr fontId="7" type="noConversion"/>
  </si>
  <si>
    <t>战略布局：1. 有限参与表后市场；2. 储能即服务</t>
    <phoneticPr fontId="7" type="noConversion"/>
  </si>
  <si>
    <t>KSF:1. 交流侧带动直流侧</t>
    <phoneticPr fontId="7" type="noConversion"/>
  </si>
  <si>
    <t>战略布局：1. 新能源业务协同发展；2. 扩大表前业务体量为首要目标；3. 有限参与表后市场；4. 在数据中心细分场景以观察为主</t>
    <phoneticPr fontId="7" type="noConversion"/>
  </si>
  <si>
    <t>KSF: 1. 供应链稳定、成本低；2. 业务开放程度高；3. 自身定位前后一贯、发力持续</t>
    <phoneticPr fontId="7" type="noConversion"/>
  </si>
  <si>
    <t>战略布局：1. 未来持续深耕用户侧储能市场</t>
    <phoneticPr fontId="7" type="noConversion"/>
  </si>
  <si>
    <t>KSF: 1. 内置能力齐全、产品标准化程度搞；2. 具备一定政府公关能力；3. 利用综合能源服务公司获取用户侧资源</t>
    <phoneticPr fontId="7" type="noConversion"/>
  </si>
  <si>
    <t>战略布局：1. 探索源网侧机会；2. 保持分布式技术路线</t>
    <phoneticPr fontId="7" type="noConversion"/>
  </si>
  <si>
    <t>KSF: 1. 技术积累丰富；2.善于利用公司所在地区资源优势</t>
    <phoneticPr fontId="7" type="noConversion"/>
  </si>
  <si>
    <t>战略布局：1. 提高用户侧产品标准化水平；2. 进一步推广高压级联型储能技术方案</t>
    <phoneticPr fontId="7" type="noConversion"/>
  </si>
  <si>
    <t>战略布局：1. 未来发力细分为商业建筑与特殊安全需求场合用户；2. 将寻求更多资本支持与项目资源</t>
    <phoneticPr fontId="7" type="noConversion"/>
  </si>
  <si>
    <t>未来展望：公司核心团队近期有所调整，在分布式储能标准化的路线坚持上有所变化；未来为追求扩大装机规模，将寻求定制化大型储能项目机会</t>
    <phoneticPr fontId="7" type="noConversion"/>
  </si>
  <si>
    <t>KSF: 1. 自身生态定位明确，核心业务增长稳定</t>
    <phoneticPr fontId="7" type="noConversion"/>
  </si>
  <si>
    <t>战略布局：1. 保证交流侧相对优势，避免向上下游过度延伸</t>
    <phoneticPr fontId="7" type="noConversion"/>
  </si>
  <si>
    <t>未来展望：目前公司正在积极开发“绿电来OS”平台，现有PSS可作为功能模块置入；未来可通过模块开发来实现部分VPP的功能；PSS本身具有与储能系统集成商合作、通过Spec-In方式成为生态玩家的可能性；但该参与方式取决于高层想法</t>
    <phoneticPr fontId="7" type="noConversion"/>
  </si>
  <si>
    <t>注：用户侧市场份额按照Bottom-up测算方法所得数据、0.5C充放倍率计算</t>
  </si>
  <si>
    <t>序号</t>
    <phoneticPr fontId="7" type="noConversion"/>
  </si>
  <si>
    <t>区域</t>
    <phoneticPr fontId="7" type="noConversion"/>
  </si>
  <si>
    <t>政策</t>
    <phoneticPr fontId="7" type="noConversion"/>
  </si>
  <si>
    <t>时间</t>
    <phoneticPr fontId="7" type="noConversion"/>
  </si>
  <si>
    <t>浙江</t>
    <phoneticPr fontId="7" type="noConversion"/>
  </si>
  <si>
    <t>省份</t>
    <phoneticPr fontId="7" type="noConversion"/>
  </si>
  <si>
    <t>发布方</t>
    <phoneticPr fontId="7" type="noConversion"/>
  </si>
  <si>
    <t>市政府</t>
    <phoneticPr fontId="7" type="noConversion"/>
  </si>
  <si>
    <t>《诸暨市整市推进分布式光伏规模化开发工作方案》</t>
    <phoneticPr fontId="7" type="noConversion"/>
  </si>
  <si>
    <t>山东</t>
    <phoneticPr fontId="7" type="noConversion"/>
  </si>
  <si>
    <t>诸暨</t>
    <phoneticPr fontId="7" type="noConversion"/>
  </si>
  <si>
    <t>15%-30%</t>
    <phoneticPr fontId="7" type="noConversion"/>
  </si>
  <si>
    <t>时长</t>
    <phoneticPr fontId="7" type="noConversion"/>
  </si>
  <si>
    <t>2-4</t>
    <phoneticPr fontId="7" type="noConversion"/>
  </si>
  <si>
    <t>永康</t>
    <phoneticPr fontId="7" type="noConversion"/>
  </si>
  <si>
    <t>https://mp.weixin.qq.com/s/8oWb4RhGS3hP3uHfLVBToA</t>
    <phoneticPr fontId="7" type="noConversion"/>
  </si>
  <si>
    <t>河北</t>
    <phoneticPr fontId="7" type="noConversion"/>
  </si>
  <si>
    <t>2</t>
    <phoneticPr fontId="7" type="noConversion"/>
  </si>
  <si>
    <t>来源</t>
    <phoneticPr fontId="7" type="noConversion"/>
  </si>
  <si>
    <t>配储目的</t>
    <phoneticPr fontId="7" type="noConversion"/>
  </si>
  <si>
    <t>待明确问题：1、哪；2、配比比例；3、强配储能目的；4、落地情况；5、发展趋势</t>
    <phoneticPr fontId="7" type="noConversion"/>
  </si>
  <si>
    <t>江苏</t>
    <phoneticPr fontId="7" type="noConversion"/>
  </si>
  <si>
    <t>昆山</t>
    <phoneticPr fontId="7" type="noConversion"/>
  </si>
  <si>
    <t>分布式配储比例</t>
    <phoneticPr fontId="7" type="noConversion"/>
  </si>
  <si>
    <t>要求</t>
    <phoneticPr fontId="7" type="noConversion"/>
  </si>
  <si>
    <t>市政府</t>
    <phoneticPr fontId="7" type="noConversion"/>
  </si>
  <si>
    <t>N/A</t>
    <phoneticPr fontId="7" type="noConversion"/>
  </si>
  <si>
    <t>《加快推进分布式光伏发电项目开发建设的工作意见》</t>
    <phoneticPr fontId="7" type="noConversion"/>
  </si>
  <si>
    <t>是否有补贴</t>
    <phoneticPr fontId="7" type="noConversion"/>
  </si>
  <si>
    <t>苏州</t>
    <phoneticPr fontId="7" type="noConversion"/>
  </si>
  <si>
    <t>提高光伏发电电网消纳能力</t>
    <phoneticPr fontId="7" type="noConversion"/>
  </si>
  <si>
    <t>省能源局</t>
    <phoneticPr fontId="7" type="noConversion"/>
  </si>
  <si>
    <t>《屋顶分布式光伏建设指导规范（试行）》</t>
    <phoneticPr fontId="7" type="noConversion"/>
  </si>
  <si>
    <t>https://mp.weixin.qq.com/s/7s6b0h0guii6ukIo6ik-xQ</t>
    <phoneticPr fontId="7" type="noConversion"/>
  </si>
  <si>
    <t>新增新型储能设施补贴。“十四五”期间，为提高光伏发电电网消纳能力，在我市建设新型储能设施的，市财政按每千瓦时200元给予储能设施投资单位一次性补贴。允许新型储能设施投资企业按市场化运营方式向光伏投资企业租售储能容量，租售的储能容量可计算在光伏投资企业光伏装机容量10%的总体配套储能容量中。</t>
    <phoneticPr fontId="7" type="noConversion"/>
  </si>
  <si>
    <t>屋顶分布式光伏项目逐步按照“光伏+储能”方式开发建设，可选择自建、共建或租赁等方式灵活开展配套储能建设，配套储能装置应满足10年（5000次循环）以上工作寿命，系统容量10年衰减率不超过 20%。</t>
    <phoneticPr fontId="7" type="noConversion"/>
  </si>
  <si>
    <t>市政府</t>
    <phoneticPr fontId="7" type="noConversion"/>
  </si>
  <si>
    <t>《关于加快推进全市光伏发电开发利用的工作意见》</t>
    <phoneticPr fontId="7" type="noConversion"/>
  </si>
  <si>
    <t>《永康市整市屋顶分布式光伏开发试点实施方案》
公开征求意见的公告</t>
    <phoneticPr fontId="7" type="noConversion"/>
  </si>
  <si>
    <t>市发改局</t>
    <phoneticPr fontId="7" type="noConversion"/>
  </si>
  <si>
    <t>主动削峰填谷，优化区域电网负荷</t>
    <phoneticPr fontId="7" type="noConversion"/>
  </si>
  <si>
    <t>设立专项资金，对2022年1月1日至2024年12月31日期间建成的屋顶分布式光伏发电项目、非居民用户侧储能项目给予财政补助；
对非居民用户侧储能项目（年利用小时数不低于600小时），按照储能设施的功率给予补助，补助标准按150元、120元、100元/千瓦逐年退坡（省补助标准：调峰项目按200元、180元、170元/千瓦退坡，补助期三年），已享受省级补助的项目不再重复补助</t>
    <phoneticPr fontId="7" type="noConversion"/>
  </si>
  <si>
    <t>https://news.bjx.com.cn/html/20220517/1225686.shtml</t>
    <phoneticPr fontId="7" type="noConversion"/>
  </si>
  <si>
    <t>https://www.suzhou.gov.cn/szsrmzf/szyw/202205/f31cc437106344738a7b87d40a09acdd.shtml</t>
    <phoneticPr fontId="7" type="noConversion"/>
  </si>
  <si>
    <t>绍兴市
柯桥区</t>
    <phoneticPr fontId="7" type="noConversion"/>
  </si>
  <si>
    <t>《关于柯桥区整区屋顶分布式光伏开发试点实施方案的公示》</t>
    <phoneticPr fontId="7" type="noConversion"/>
  </si>
  <si>
    <t>为电力系统提供一定的容量支撑和调节能力</t>
    <phoneticPr fontId="7" type="noConversion"/>
  </si>
  <si>
    <t>区发改局</t>
    <phoneticPr fontId="7" type="noConversion"/>
  </si>
  <si>
    <r>
      <rPr>
        <sz val="9"/>
        <color rgb="FFFF0000"/>
        <rFont val="微软雅黑"/>
        <family val="2"/>
      </rPr>
      <t>建议</t>
    </r>
    <r>
      <rPr>
        <sz val="9"/>
        <color theme="1"/>
        <rFont val="微软雅黑"/>
        <family val="2"/>
      </rPr>
      <t>非户用分布式光伏电站全生命周期内，按照发电装机容量的10%建设储能设施，储能设施存储时长需在2小时及以上，为电力系统提供一定的容量支撑和调节能力</t>
    </r>
    <phoneticPr fontId="7" type="noConversion"/>
  </si>
  <si>
    <r>
      <t>积极推进用户侧储能建设。</t>
    </r>
    <r>
      <rPr>
        <sz val="9"/>
        <color rgb="FFFF0000"/>
        <rFont val="微软雅黑"/>
        <family val="2"/>
      </rPr>
      <t>鼓励</t>
    </r>
    <r>
      <rPr>
        <sz val="9"/>
        <color theme="1"/>
        <rFont val="微软雅黑"/>
        <family val="2"/>
      </rPr>
      <t>非户用分布式光伏电站按照发电装机容量10%建设储能设施，充分利用目录分时电价机制，主动削峰填谷，优化区域电网负荷需求。推动储能应用与电网协同发展，充分发挥灵活、可调性储能资源在新型电力系统中的平衡作用</t>
    </r>
    <phoneticPr fontId="7" type="noConversion"/>
  </si>
  <si>
    <r>
      <t>2MW以上的分布式光伏，按不低于装机容量的8%配置储能，</t>
    </r>
    <r>
      <rPr>
        <sz val="9"/>
        <color rgb="FFFF0000"/>
        <rFont val="微软雅黑"/>
        <family val="2"/>
      </rPr>
      <t>鼓励</t>
    </r>
    <r>
      <rPr>
        <sz val="9"/>
        <color theme="1"/>
        <rFont val="微软雅黑"/>
        <family val="2"/>
        <charset val="134"/>
      </rPr>
      <t>装机容量2兆瓦以上的光伏项目，按照不低于装机容量8%的比例配建储能系统。</t>
    </r>
    <phoneticPr fontId="7" type="noConversion"/>
  </si>
  <si>
    <r>
      <rPr>
        <sz val="9"/>
        <color rgb="FFFF0000"/>
        <rFont val="微软雅黑"/>
        <family val="2"/>
      </rPr>
      <t>鼓励</t>
    </r>
    <r>
      <rPr>
        <sz val="9"/>
        <color theme="1"/>
        <rFont val="微软雅黑"/>
        <family val="2"/>
        <charset val="134"/>
      </rPr>
      <t>装机容量2兆瓦及以上的分布式光伏发电项目，按照不低于装机容量8%的比例配建储能系统，储能系统作为分布式光伏发电项目组成部分一并办理备案</t>
    </r>
    <phoneticPr fontId="7" type="noConversion"/>
  </si>
  <si>
    <t>《枣庄市分布式光伏建设规范（试行）》</t>
    <phoneticPr fontId="7" type="noConversion"/>
  </si>
  <si>
    <t>枣庄市</t>
    <phoneticPr fontId="7" type="noConversion"/>
  </si>
  <si>
    <t>市能源局</t>
    <phoneticPr fontId="7" type="noConversion"/>
  </si>
  <si>
    <r>
      <t>2021-2025年在柯桥区建设非户用分布式光伏项目配套储能设施的，在项目通过柯桥供电分局验收后，对项目业主按</t>
    </r>
    <r>
      <rPr>
        <sz val="9"/>
        <color rgb="FFFF0000"/>
        <rFont val="微软雅黑"/>
        <family val="2"/>
      </rPr>
      <t>每千瓦时</t>
    </r>
    <r>
      <rPr>
        <sz val="9"/>
        <color theme="1"/>
        <rFont val="微软雅黑"/>
        <family val="2"/>
      </rPr>
      <t>储能能力</t>
    </r>
    <r>
      <rPr>
        <sz val="9"/>
        <color rgb="FFFF0000"/>
        <rFont val="微软雅黑"/>
        <family val="2"/>
      </rPr>
      <t>100元</t>
    </r>
    <r>
      <rPr>
        <sz val="9"/>
        <color theme="1"/>
        <rFont val="微软雅黑"/>
        <family val="2"/>
      </rPr>
      <t>发放一次性补助。</t>
    </r>
    <phoneticPr fontId="7" type="noConversion"/>
  </si>
  <si>
    <r>
      <rPr>
        <sz val="9"/>
        <color rgb="FFFF0000"/>
        <rFont val="微软雅黑"/>
        <family val="2"/>
      </rPr>
      <t>规定</t>
    </r>
    <r>
      <rPr>
        <sz val="9"/>
        <color theme="1"/>
        <rFont val="微软雅黑"/>
        <family val="2"/>
      </rPr>
      <t>分布式光伏项目按照装机容量的15%-30%、时长2-4小时配置储能设施，</t>
    </r>
    <r>
      <rPr>
        <sz val="9"/>
        <color theme="4"/>
        <rFont val="微软雅黑"/>
        <family val="2"/>
      </rPr>
      <t>或者租赁同等容量的共享储能设施；</t>
    </r>
    <phoneticPr fontId="7" type="noConversion"/>
  </si>
  <si>
    <t>https://news.solarbe.com/202201/20/350226.html</t>
    <phoneticPr fontId="7" type="noConversion"/>
  </si>
  <si>
    <t>http://www.kq.gov.cn/art/2021/12/16/art_1229404720_3900987.html</t>
    <phoneticPr fontId="7" type="noConversion"/>
  </si>
  <si>
    <t>https://new.qq.com/omn/20220326/20220326A003DB00.html</t>
    <phoneticPr fontId="7" type="noConversion"/>
  </si>
  <si>
    <t>全省</t>
    <phoneticPr fontId="7" type="noConversion"/>
  </si>
  <si>
    <t>光伏装机规模 - 新增（GW）</t>
    <phoneticPr fontId="7" type="noConversion"/>
  </si>
  <si>
    <t>集中式</t>
    <phoneticPr fontId="7" type="noConversion"/>
  </si>
  <si>
    <t>分布式</t>
    <phoneticPr fontId="7" type="noConversion"/>
  </si>
  <si>
    <t>Source:国家能源局</t>
    <phoneticPr fontId="7" type="noConversion"/>
  </si>
  <si>
    <t>配储比</t>
    <phoneticPr fontId="7" type="noConversion"/>
  </si>
  <si>
    <t>渗透率</t>
    <phoneticPr fontId="7" type="noConversion"/>
  </si>
  <si>
    <t>储能装机量</t>
    <phoneticPr fontId="7" type="noConversion"/>
  </si>
  <si>
    <t>备注：截至目前，全国共7地对分布式配储提出明确要求</t>
    <phoneticPr fontId="7" type="noConversion"/>
  </si>
  <si>
    <t>http://nyj.zaozhuang.gov.cn/zcfg/xny/202201/t20220114_1378879.html</t>
    <phoneticPr fontId="7" type="noConversion"/>
  </si>
  <si>
    <t>规模</t>
    <phoneticPr fontId="7" type="noConversion"/>
  </si>
  <si>
    <r>
      <t>第一阶段：部分推进。</t>
    </r>
    <r>
      <rPr>
        <sz val="9"/>
        <color rgb="FFFF0000"/>
        <rFont val="微软雅黑"/>
        <family val="2"/>
      </rPr>
      <t>2022年底</t>
    </r>
    <r>
      <rPr>
        <sz val="9"/>
        <color theme="1"/>
        <rFont val="微软雅黑"/>
        <family val="2"/>
      </rPr>
      <t>，</t>
    </r>
    <r>
      <rPr>
        <sz val="9"/>
        <color rgb="FFFF0000"/>
        <rFont val="微软雅黑"/>
        <family val="2"/>
      </rPr>
      <t>年度新增分布式光伏电站200兆瓦以上</t>
    </r>
    <r>
      <rPr>
        <sz val="9"/>
        <color theme="1"/>
        <rFont val="微软雅黑"/>
        <family val="2"/>
      </rPr>
      <t>，全市累计并网总规模达到350兆瓦以上，</t>
    </r>
    <r>
      <rPr>
        <sz val="9"/>
        <color rgb="FFFF0000"/>
        <rFont val="微软雅黑"/>
        <family val="2"/>
      </rPr>
      <t>新批储能容量达到20兆瓦/40兆瓦时以上</t>
    </r>
    <r>
      <rPr>
        <sz val="9"/>
        <color theme="1"/>
        <rFont val="微软雅黑"/>
        <family val="2"/>
      </rPr>
      <t>。
第二阶段：全面推进。2023年起，在全市范围深入推广，</t>
    </r>
    <r>
      <rPr>
        <sz val="9"/>
        <color rgb="FFFF0000"/>
        <rFont val="微软雅黑"/>
        <family val="2"/>
      </rPr>
      <t>2025年底</t>
    </r>
    <r>
      <rPr>
        <sz val="9"/>
        <color theme="1"/>
        <rFont val="微软雅黑"/>
        <family val="2"/>
      </rPr>
      <t>前完成全市</t>
    </r>
    <r>
      <rPr>
        <sz val="9"/>
        <color rgb="FFFF0000"/>
        <rFont val="微软雅黑"/>
        <family val="2"/>
      </rPr>
      <t>分布式光伏电站</t>
    </r>
    <r>
      <rPr>
        <sz val="9"/>
        <color theme="1"/>
        <rFont val="微软雅黑"/>
        <family val="2"/>
      </rPr>
      <t>总规模达到</t>
    </r>
    <r>
      <rPr>
        <sz val="9"/>
        <color rgb="FFFF0000"/>
        <rFont val="微软雅黑"/>
        <family val="2"/>
      </rPr>
      <t>500兆瓦及以上</t>
    </r>
    <r>
      <rPr>
        <sz val="9"/>
        <color theme="1"/>
        <rFont val="微软雅黑"/>
        <family val="2"/>
      </rPr>
      <t>，新批储能容量达到</t>
    </r>
    <r>
      <rPr>
        <sz val="9"/>
        <color rgb="FFFF0000"/>
        <rFont val="微软雅黑"/>
        <family val="2"/>
      </rPr>
      <t>30兆瓦/60兆瓦时及以上。</t>
    </r>
    <phoneticPr fontId="7" type="noConversion"/>
  </si>
  <si>
    <t>-</t>
    <phoneticPr fontId="7" type="noConversion"/>
  </si>
  <si>
    <r>
      <t>实施整市推进分布式光伏规模化开发四大工程，分布式光伏开发的同时，按不低于光伏装机容量</t>
    </r>
    <r>
      <rPr>
        <sz val="9"/>
        <color rgb="FFFF0000"/>
        <rFont val="微软雅黑"/>
        <family val="2"/>
      </rPr>
      <t>10%</t>
    </r>
    <r>
      <rPr>
        <sz val="9"/>
        <color theme="1"/>
        <rFont val="微软雅黑"/>
        <family val="2"/>
      </rPr>
      <t>的要求总体配套建设光伏储能设施容量。</t>
    </r>
    <phoneticPr fontId="7" type="noConversion"/>
  </si>
  <si>
    <t>来源：2020、2025F用电量-绿色数据中心白皮书</t>
    <phoneticPr fontId="7" type="noConversion"/>
  </si>
  <si>
    <t>来源：行业负荷特性</t>
    <phoneticPr fontId="7" type="noConversion"/>
  </si>
  <si>
    <t>来源：储能系统集成商访谈，结合现有项目取行业平均</t>
    <phoneticPr fontId="7" type="noConversion"/>
  </si>
  <si>
    <t>来源：储能系统集成商访谈，结合现有项目、储能系统集成商业务规划等专家经验值</t>
    <phoneticPr fontId="7" type="noConversion"/>
  </si>
  <si>
    <t>计算值（=行业年总用电量/年工作天数/日工作小时数）</t>
    <phoneticPr fontId="7" type="noConversion"/>
  </si>
  <si>
    <t>计算值（=2021年总运行负荷/总负荷运行比例）</t>
    <phoneticPr fontId="7" type="noConversion"/>
  </si>
  <si>
    <t>计算值（=2021年总负荷-2021年总运行负荷）</t>
    <phoneticPr fontId="7" type="noConversion"/>
  </si>
  <si>
    <t>计算值（=变压器总余量*储能功率占比）</t>
    <phoneticPr fontId="7" type="noConversion"/>
  </si>
  <si>
    <t>计算值（=储能理论市场总功率*储能累计渗透率）</t>
    <phoneticPr fontId="7" type="noConversion"/>
  </si>
  <si>
    <t>计算值（=数据中心储能总功率累计/用户侧(A+B+C+D)储能总功率累计</t>
    <phoneticPr fontId="7" type="noConversion"/>
  </si>
  <si>
    <t>计算值（=Yn-Yn-1）</t>
    <phoneticPr fontId="7" type="noConversion"/>
  </si>
  <si>
    <t>计算值（=数据中心储能总功率新增/用户侧(A+B+C+D)储能总功率新增</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</si>
</sst>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quot;¥&quot;* #,##0.00_ ;_ &quot;¥&quot;* \-#,##0.00_ ;_ &quot;¥&quot;* &quot;-&quot;??_ ;_ @_ "/>
    <numFmt numFmtId="43" formatCode="_ * #,##0.00_ ;_ * \-#,##0.00_ ;_ * &quot;-&quot;??_ ;_ @_ "/>
    <numFmt numFmtId="176" formatCode="_ * #,##0_ ;_ * \-#,##0_ ;_ * &quot;-&quot;??_ ;_ @_ "/>
    <numFmt numFmtId="177" formatCode="_ * #,##0.0_ ;_ * \-#,##0.0_ ;_ * &quot;-&quot;??_ ;_ @_ "/>
    <numFmt numFmtId="178" formatCode="0.000"/>
    <numFmt numFmtId="179" formatCode="0.0%"/>
    <numFmt numFmtId="180" formatCode="0.0"/>
    <numFmt numFmtId="181" formatCode="0.0_);[Red]\(0.0\)"/>
    <numFmt numFmtId="182" formatCode="_ * #,##0.0_ ;_ * \-#,##0.0_ ;_ * &quot;-&quot;?_ ;_ @_ "/>
    <numFmt numFmtId="183" formatCode="_ * #,##0.000_ ;_ * \-#,##0.000_ ;_ * &quot;-&quot;??_ ;_ @_ "/>
    <numFmt numFmtId="184" formatCode="yyyy/mm"/>
  </numFmts>
  <fonts count="86" x14ac:knownFonts="1">
    <font>
      <sz val="11"/>
      <color theme="1"/>
      <name val="等线"/>
      <family val="2"/>
      <charset val="134"/>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charset val="134"/>
      <scheme val="minor"/>
    </font>
    <font>
      <b/>
      <sz val="18"/>
      <color theme="1"/>
      <name val="微软雅黑"/>
      <family val="2"/>
      <charset val="134"/>
    </font>
    <font>
      <sz val="9"/>
      <name val="等线"/>
      <family val="2"/>
      <charset val="134"/>
      <scheme val="minor"/>
    </font>
    <font>
      <sz val="9"/>
      <name val="等线"/>
      <family val="3"/>
      <charset val="134"/>
      <scheme val="minor"/>
    </font>
    <font>
      <sz val="11"/>
      <color theme="1"/>
      <name val="微软雅黑"/>
      <family val="2"/>
      <charset val="134"/>
    </font>
    <font>
      <b/>
      <sz val="12"/>
      <color theme="0"/>
      <name val="微软雅黑"/>
      <family val="2"/>
      <charset val="134"/>
    </font>
    <font>
      <b/>
      <sz val="11"/>
      <color theme="1"/>
      <name val="微软雅黑"/>
      <family val="2"/>
      <charset val="134"/>
    </font>
    <font>
      <b/>
      <sz val="36"/>
      <color theme="1"/>
      <name val="微软雅黑"/>
      <family val="2"/>
      <charset val="134"/>
    </font>
    <font>
      <sz val="10"/>
      <color rgb="FF000000"/>
      <name val="微软雅黑"/>
      <family val="2"/>
      <charset val="134"/>
    </font>
    <font>
      <sz val="9"/>
      <name val="方正舒体"/>
      <family val="2"/>
      <charset val="134"/>
    </font>
    <font>
      <sz val="11"/>
      <color theme="4"/>
      <name val="微软雅黑"/>
      <family val="2"/>
      <charset val="134"/>
    </font>
    <font>
      <sz val="11"/>
      <color theme="4"/>
      <name val="等线"/>
      <family val="2"/>
      <charset val="134"/>
      <scheme val="minor"/>
    </font>
    <font>
      <sz val="11"/>
      <name val="等线"/>
      <family val="2"/>
      <scheme val="minor"/>
    </font>
    <font>
      <sz val="11"/>
      <color theme="1"/>
      <name val="等线"/>
      <family val="3"/>
      <charset val="134"/>
      <scheme val="minor"/>
    </font>
    <font>
      <sz val="12"/>
      <name val="宋体"/>
      <family val="3"/>
      <charset val="134"/>
    </font>
    <font>
      <sz val="10"/>
      <name val="Arial"/>
      <family val="2"/>
    </font>
    <font>
      <sz val="10"/>
      <color theme="1"/>
      <name val="Arial"/>
      <family val="2"/>
    </font>
    <font>
      <b/>
      <sz val="16"/>
      <name val="Arial"/>
      <family val="2"/>
    </font>
    <font>
      <b/>
      <sz val="10"/>
      <color theme="1"/>
      <name val="Arial"/>
      <family val="2"/>
    </font>
    <font>
      <sz val="9"/>
      <name val="Arial"/>
      <family val="2"/>
    </font>
    <font>
      <sz val="9"/>
      <color indexed="81"/>
      <name val="微软雅黑"/>
      <family val="2"/>
    </font>
    <font>
      <sz val="11"/>
      <color theme="1"/>
      <name val="微软雅黑"/>
      <family val="2"/>
    </font>
    <font>
      <sz val="9"/>
      <color theme="1"/>
      <name val="微软雅黑"/>
      <family val="2"/>
    </font>
    <font>
      <sz val="9"/>
      <name val="微软雅黑"/>
      <family val="2"/>
    </font>
    <font>
      <sz val="11"/>
      <color rgb="FFFF0000"/>
      <name val="微软雅黑"/>
      <family val="2"/>
    </font>
    <font>
      <b/>
      <sz val="11"/>
      <color theme="4"/>
      <name val="微软雅黑"/>
      <family val="2"/>
    </font>
    <font>
      <sz val="11"/>
      <color theme="4"/>
      <name val="微软雅黑"/>
      <family val="2"/>
    </font>
    <font>
      <b/>
      <sz val="12"/>
      <color theme="0"/>
      <name val="微软雅黑"/>
      <family val="2"/>
    </font>
    <font>
      <b/>
      <sz val="11"/>
      <color theme="1"/>
      <name val="微软雅黑"/>
      <family val="2"/>
    </font>
    <font>
      <sz val="11"/>
      <color theme="9"/>
      <name val="微软雅黑"/>
      <family val="2"/>
    </font>
    <font>
      <i/>
      <sz val="11"/>
      <color theme="1"/>
      <name val="微软雅黑"/>
      <family val="2"/>
    </font>
    <font>
      <sz val="9"/>
      <color theme="4"/>
      <name val="微软雅黑"/>
      <family val="2"/>
    </font>
    <font>
      <sz val="9"/>
      <color rgb="FFFF0000"/>
      <name val="微软雅黑"/>
      <family val="2"/>
    </font>
    <font>
      <b/>
      <sz val="9"/>
      <color theme="1"/>
      <name val="微软雅黑"/>
      <family val="2"/>
      <charset val="134"/>
    </font>
    <font>
      <b/>
      <sz val="9"/>
      <color theme="1"/>
      <name val="微软雅黑"/>
      <family val="2"/>
    </font>
    <font>
      <b/>
      <sz val="9"/>
      <color rgb="FFFF0000"/>
      <name val="微软雅黑"/>
      <family val="2"/>
      <charset val="134"/>
    </font>
    <font>
      <b/>
      <sz val="9"/>
      <color theme="4"/>
      <name val="微软雅黑"/>
      <family val="2"/>
      <charset val="134"/>
    </font>
    <font>
      <sz val="10"/>
      <color theme="1"/>
      <name val="微软雅黑"/>
      <family val="2"/>
      <charset val="134"/>
    </font>
    <font>
      <b/>
      <sz val="10"/>
      <color theme="4"/>
      <name val="微软雅黑"/>
      <family val="2"/>
      <charset val="134"/>
    </font>
    <font>
      <sz val="10"/>
      <name val="微软雅黑"/>
      <family val="2"/>
      <charset val="134"/>
    </font>
    <font>
      <sz val="10"/>
      <color rgb="FFFF0000"/>
      <name val="微软雅黑"/>
      <family val="2"/>
      <charset val="134"/>
    </font>
    <font>
      <b/>
      <sz val="10"/>
      <color theme="1"/>
      <name val="微软雅黑"/>
      <family val="2"/>
      <charset val="134"/>
    </font>
    <font>
      <i/>
      <sz val="11"/>
      <color theme="4"/>
      <name val="微软雅黑"/>
      <family val="2"/>
    </font>
    <font>
      <sz val="11"/>
      <name val="微软雅黑"/>
      <family val="2"/>
    </font>
    <font>
      <i/>
      <sz val="11"/>
      <color rgb="FFFF0000"/>
      <name val="微软雅黑"/>
      <family val="2"/>
    </font>
    <font>
      <b/>
      <sz val="11"/>
      <name val="微软雅黑"/>
      <family val="2"/>
    </font>
    <font>
      <i/>
      <sz val="11"/>
      <color theme="1"/>
      <name val="微软雅黑"/>
      <family val="2"/>
      <charset val="134"/>
    </font>
    <font>
      <sz val="9"/>
      <color indexed="81"/>
      <name val="宋体"/>
      <family val="3"/>
      <charset val="134"/>
    </font>
    <font>
      <b/>
      <sz val="9"/>
      <color indexed="81"/>
      <name val="宋体"/>
      <family val="3"/>
      <charset val="134"/>
    </font>
    <font>
      <b/>
      <sz val="11"/>
      <color theme="0"/>
      <name val="Century Gothic"/>
      <family val="2"/>
    </font>
    <font>
      <b/>
      <sz val="11"/>
      <color theme="0"/>
      <name val="华文楷体"/>
      <family val="3"/>
      <charset val="134"/>
    </font>
    <font>
      <sz val="11"/>
      <color theme="1"/>
      <name val="Century Gothic"/>
      <family val="2"/>
    </font>
    <font>
      <b/>
      <sz val="11"/>
      <color theme="0"/>
      <name val="Century Gothic"/>
      <family val="3"/>
      <charset val="134"/>
    </font>
    <font>
      <b/>
      <sz val="11"/>
      <color theme="0"/>
      <name val="宋体"/>
      <family val="2"/>
      <charset val="134"/>
    </font>
    <font>
      <b/>
      <sz val="11"/>
      <color theme="1"/>
      <name val="华文楷体"/>
      <family val="3"/>
      <charset val="134"/>
    </font>
    <font>
      <b/>
      <sz val="11"/>
      <color theme="1"/>
      <name val="Century Gothic"/>
      <family val="2"/>
    </font>
    <font>
      <b/>
      <sz val="12"/>
      <color theme="0"/>
      <name val="Century Gothic"/>
      <family val="2"/>
    </font>
    <font>
      <b/>
      <sz val="10"/>
      <color theme="1"/>
      <name val="华文楷体"/>
      <family val="3"/>
      <charset val="134"/>
    </font>
    <font>
      <sz val="10"/>
      <color theme="1"/>
      <name val="Century Gothic"/>
      <family val="2"/>
    </font>
    <font>
      <sz val="10"/>
      <color theme="1"/>
      <name val="华文楷体"/>
      <family val="3"/>
      <charset val="134"/>
    </font>
    <font>
      <b/>
      <sz val="10"/>
      <color theme="1"/>
      <name val="Century Gothic"/>
      <family val="2"/>
    </font>
    <font>
      <sz val="10"/>
      <color theme="4"/>
      <name val="微软雅黑"/>
      <family val="2"/>
    </font>
    <font>
      <b/>
      <sz val="11"/>
      <color theme="4"/>
      <name val="微软雅黑"/>
      <family val="2"/>
      <charset val="134"/>
    </font>
    <font>
      <i/>
      <sz val="11"/>
      <name val="微软雅黑"/>
      <family val="2"/>
    </font>
    <font>
      <sz val="9"/>
      <color rgb="FF000000"/>
      <name val="微软雅黑"/>
      <family val="2"/>
      <charset val="134"/>
    </font>
    <font>
      <b/>
      <sz val="9"/>
      <color theme="0"/>
      <name val="微软雅黑"/>
      <family val="2"/>
    </font>
    <font>
      <sz val="9"/>
      <color theme="0"/>
      <name val="微软雅黑"/>
      <family val="2"/>
    </font>
    <font>
      <i/>
      <u/>
      <sz val="9"/>
      <color theme="1"/>
      <name val="微软雅黑"/>
      <family val="2"/>
      <charset val="134"/>
    </font>
    <font>
      <b/>
      <sz val="24"/>
      <color theme="1"/>
      <name val="微软雅黑"/>
      <family val="2"/>
      <charset val="134"/>
    </font>
    <font>
      <sz val="9"/>
      <color rgb="FFFF0000"/>
      <name val="微软雅黑"/>
      <family val="2"/>
      <charset val="134"/>
    </font>
    <font>
      <sz val="9"/>
      <name val="微软雅黑"/>
      <family val="2"/>
      <charset val="134"/>
    </font>
    <font>
      <b/>
      <i/>
      <u/>
      <sz val="9"/>
      <color theme="1"/>
      <name val="微软雅黑"/>
      <family val="2"/>
      <charset val="134"/>
    </font>
    <font>
      <i/>
      <sz val="9"/>
      <color theme="1"/>
      <name val="微软雅黑"/>
      <family val="2"/>
      <charset val="134"/>
    </font>
    <font>
      <i/>
      <sz val="9"/>
      <color theme="1"/>
      <name val="微软雅黑"/>
      <family val="2"/>
    </font>
    <font>
      <u/>
      <sz val="11"/>
      <color theme="10"/>
      <name val="等线"/>
      <family val="2"/>
      <charset val="134"/>
      <scheme val="minor"/>
    </font>
    <font>
      <i/>
      <u/>
      <sz val="9"/>
      <color rgb="FFFF0000"/>
      <name val="微软雅黑"/>
      <family val="2"/>
      <charset val="134"/>
    </font>
    <font>
      <i/>
      <sz val="9"/>
      <color rgb="FFFF0000"/>
      <name val="微软雅黑"/>
      <family val="2"/>
    </font>
    <font>
      <b/>
      <i/>
      <sz val="9"/>
      <color theme="1"/>
      <name val="微软雅黑"/>
      <family val="2"/>
      <charset val="134"/>
    </font>
    <font>
      <sz val="9"/>
      <color theme="1"/>
      <name val="微软雅黑"/>
      <family val="2"/>
      <charset val="134"/>
    </font>
    <font>
      <i/>
      <u/>
      <sz val="6"/>
      <color theme="10"/>
      <name val="Century Gothic"/>
      <family val="2"/>
    </font>
    <font>
      <i/>
      <sz val="9"/>
      <color theme="4"/>
      <name val="微软雅黑"/>
      <family val="2"/>
    </font>
  </fonts>
  <fills count="15">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theme="0"/>
        <bgColor rgb="FF000000"/>
      </patternFill>
    </fill>
    <fill>
      <patternFill patternType="solid">
        <fgColor theme="0" tint="-0.14996795556505021"/>
        <bgColor indexed="65"/>
      </patternFill>
    </fill>
    <fill>
      <patternFill patternType="solid">
        <fgColor theme="7" tint="0.79998168889431442"/>
        <bgColor indexed="64"/>
      </patternFill>
    </fill>
    <fill>
      <patternFill patternType="solid">
        <fgColor theme="3" tint="0.39997558519241921"/>
        <bgColor indexed="64"/>
      </patternFill>
    </fill>
    <fill>
      <patternFill patternType="solid">
        <fgColor rgb="FFFFC000"/>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2"/>
        <bgColor indexed="64"/>
      </patternFill>
    </fill>
    <fill>
      <patternFill patternType="solid">
        <fgColor theme="4"/>
        <bgColor indexed="64"/>
      </patternFill>
    </fill>
    <fill>
      <patternFill patternType="solid">
        <fgColor rgb="FF333399"/>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thin">
        <color indexed="64"/>
      </left>
      <right/>
      <top style="thin">
        <color indexed="64"/>
      </top>
      <bottom style="thin">
        <color indexed="64"/>
      </bottom>
      <diagonal/>
    </border>
    <border>
      <left style="thin">
        <color rgb="FF7F7F7F"/>
      </left>
      <right/>
      <top style="thin">
        <color rgb="FF7F7F7F"/>
      </top>
      <bottom style="thin">
        <color rgb="FF7F7F7F"/>
      </bottom>
      <diagonal/>
    </border>
    <border>
      <left style="thin">
        <color rgb="FF7F7F7F"/>
      </left>
      <right/>
      <top style="thin">
        <color rgb="FF7F7F7F"/>
      </top>
      <bottom/>
      <diagonal/>
    </border>
    <border>
      <left style="thin">
        <color rgb="FF7F7F7F"/>
      </left>
      <right/>
      <top style="thin">
        <color indexed="64"/>
      </top>
      <bottom style="thin">
        <color rgb="FF7F7F7F"/>
      </bottom>
      <diagonal/>
    </border>
    <border>
      <left style="thin">
        <color rgb="FF7F7F7F"/>
      </left>
      <right/>
      <top style="thin">
        <color rgb="FF7F7F7F"/>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style="medium">
        <color indexed="64"/>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71">
    <xf numFmtId="0" fontId="0" fillId="0" borderId="0">
      <alignment vertical="center"/>
    </xf>
    <xf numFmtId="9" fontId="5" fillId="0" borderId="0" applyFont="0" applyFill="0" applyBorder="0" applyAlignment="0" applyProtection="0">
      <alignment vertical="center"/>
    </xf>
    <xf numFmtId="43" fontId="5" fillId="0" borderId="0" applyFont="0" applyFill="0" applyBorder="0" applyAlignment="0" applyProtection="0">
      <alignment vertical="center"/>
    </xf>
    <xf numFmtId="0" fontId="5" fillId="0" borderId="0">
      <alignment vertical="center"/>
    </xf>
    <xf numFmtId="0" fontId="17" fillId="0" borderId="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0" fontId="5" fillId="0" borderId="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3" fontId="5" fillId="0" borderId="0" applyFont="0" applyFill="0" applyBorder="0" applyAlignment="0" applyProtection="0">
      <alignment vertical="center"/>
    </xf>
    <xf numFmtId="0" fontId="4" fillId="0" borderId="0"/>
    <xf numFmtId="9" fontId="5" fillId="0" borderId="0" applyFont="0" applyFill="0" applyBorder="0" applyAlignment="0" applyProtection="0">
      <alignment vertical="center"/>
    </xf>
    <xf numFmtId="44" fontId="4" fillId="0" borderId="0" applyFont="0" applyFill="0" applyBorder="0" applyAlignment="0" applyProtection="0">
      <alignment vertical="center"/>
    </xf>
    <xf numFmtId="0" fontId="5" fillId="0" borderId="0">
      <alignment vertical="center"/>
    </xf>
    <xf numFmtId="43" fontId="5" fillId="0" borderId="0" applyFont="0" applyFill="0" applyBorder="0" applyAlignment="0" applyProtection="0">
      <alignment vertical="center"/>
    </xf>
    <xf numFmtId="0" fontId="17" fillId="0" borderId="0">
      <alignment vertical="center"/>
    </xf>
    <xf numFmtId="0" fontId="4" fillId="0" borderId="0"/>
    <xf numFmtId="0" fontId="4" fillId="0" borderId="0"/>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0" fontId="4" fillId="0" borderId="0"/>
    <xf numFmtId="43" fontId="4" fillId="0" borderId="0" applyFont="0" applyFill="0" applyBorder="0" applyAlignment="0" applyProtection="0">
      <alignment vertical="center"/>
    </xf>
    <xf numFmtId="0" fontId="5" fillId="0" borderId="0"/>
    <xf numFmtId="44" fontId="4" fillId="0" borderId="0" applyFont="0" applyFill="0" applyBorder="0" applyAlignment="0" applyProtection="0">
      <alignment vertical="center"/>
    </xf>
    <xf numFmtId="0" fontId="19" fillId="0" borderId="0">
      <alignment vertical="center"/>
    </xf>
    <xf numFmtId="0" fontId="19" fillId="0" borderId="0">
      <alignment vertical="center"/>
    </xf>
    <xf numFmtId="9" fontId="18" fillId="0" borderId="0" applyFont="0" applyFill="0" applyBorder="0" applyAlignment="0" applyProtection="0">
      <alignment vertical="center"/>
    </xf>
    <xf numFmtId="9" fontId="19" fillId="0" borderId="0" applyFont="0" applyFill="0" applyBorder="0" applyAlignment="0" applyProtection="0">
      <alignment vertical="center"/>
    </xf>
    <xf numFmtId="0" fontId="20" fillId="0" borderId="0"/>
    <xf numFmtId="0" fontId="20" fillId="0" borderId="0"/>
    <xf numFmtId="9" fontId="4" fillId="0" borderId="0" applyFont="0" applyFill="0" applyBorder="0" applyAlignment="0" applyProtection="0">
      <alignment vertical="center"/>
    </xf>
    <xf numFmtId="9" fontId="21" fillId="0" borderId="0" applyFont="0" applyFill="0" applyBorder="0" applyAlignment="0" applyProtection="0"/>
    <xf numFmtId="0" fontId="22" fillId="0" borderId="15" applyProtection="0">
      <alignment horizontal="left" vertical="center"/>
    </xf>
    <xf numFmtId="0" fontId="23" fillId="0" borderId="15" applyNumberFormat="0">
      <alignment horizontal="left" vertical="center"/>
    </xf>
    <xf numFmtId="0" fontId="23" fillId="0" borderId="0" applyNumberFormat="0">
      <alignment horizontal="center" vertical="center"/>
    </xf>
    <xf numFmtId="0" fontId="20" fillId="0" borderId="0"/>
    <xf numFmtId="0" fontId="23" fillId="0" borderId="16">
      <alignment horizontal="right"/>
    </xf>
    <xf numFmtId="0" fontId="24" fillId="5" borderId="0" applyNumberFormat="0" applyFont="0" applyBorder="0" applyAlignment="0" applyProtection="0"/>
    <xf numFmtId="43" fontId="3" fillId="0" borderId="0" applyFont="0" applyFill="0" applyBorder="0" applyAlignment="0" applyProtection="0">
      <alignment vertical="center"/>
    </xf>
    <xf numFmtId="0" fontId="3" fillId="0" borderId="0"/>
    <xf numFmtId="0" fontId="2" fillId="0" borderId="0"/>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0" fontId="5" fillId="0" borderId="0">
      <alignment vertical="center"/>
    </xf>
    <xf numFmtId="9"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43" fontId="5" fillId="0" borderId="0" applyFont="0" applyFill="0" applyBorder="0" applyAlignment="0" applyProtection="0">
      <alignment vertical="center"/>
    </xf>
    <xf numFmtId="0" fontId="1" fillId="0" borderId="0"/>
    <xf numFmtId="44" fontId="1" fillId="0" borderId="0" applyFont="0" applyFill="0" applyBorder="0" applyAlignment="0" applyProtection="0">
      <alignment vertical="center"/>
    </xf>
    <xf numFmtId="43" fontId="5" fillId="0" borderId="0" applyFont="0" applyFill="0" applyBorder="0" applyAlignment="0" applyProtection="0">
      <alignment vertical="center"/>
    </xf>
    <xf numFmtId="0" fontId="1" fillId="0" borderId="0"/>
    <xf numFmtId="0" fontId="1" fillId="0" borderId="0"/>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0" fontId="1"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3" fontId="1" fillId="0" borderId="0" applyFont="0" applyFill="0" applyBorder="0" applyAlignment="0" applyProtection="0">
      <alignment vertical="center"/>
    </xf>
    <xf numFmtId="0" fontId="1" fillId="0" borderId="0"/>
    <xf numFmtId="0" fontId="1" fillId="0" borderId="0"/>
    <xf numFmtId="0" fontId="79" fillId="0" borderId="0" applyNumberFormat="0" applyFill="0" applyBorder="0" applyAlignment="0" applyProtection="0">
      <alignment vertical="center"/>
    </xf>
  </cellStyleXfs>
  <cellXfs count="369">
    <xf numFmtId="0" fontId="0" fillId="0" borderId="0" xfId="0">
      <alignment vertical="center"/>
    </xf>
    <xf numFmtId="0" fontId="6" fillId="2" borderId="0" xfId="0" applyFont="1" applyFill="1" applyAlignment="1">
      <alignment horizontal="left" vertical="center"/>
    </xf>
    <xf numFmtId="0" fontId="9" fillId="2" borderId="0" xfId="0" applyFont="1" applyFill="1" applyAlignment="1"/>
    <xf numFmtId="9" fontId="9" fillId="2" borderId="0" xfId="1" applyFont="1" applyFill="1" applyAlignment="1"/>
    <xf numFmtId="0" fontId="9" fillId="2" borderId="0" xfId="0" applyFont="1" applyFill="1">
      <alignment vertical="center"/>
    </xf>
    <xf numFmtId="176" fontId="10" fillId="3" borderId="1" xfId="2" applyNumberFormat="1" applyFont="1" applyFill="1" applyBorder="1" applyAlignment="1">
      <alignment vertical="center"/>
    </xf>
    <xf numFmtId="177" fontId="9" fillId="2" borderId="2" xfId="2" applyNumberFormat="1" applyFont="1" applyFill="1" applyBorder="1" applyAlignment="1">
      <alignment vertical="center"/>
    </xf>
    <xf numFmtId="0" fontId="11" fillId="2" borderId="1" xfId="2" applyNumberFormat="1" applyFont="1" applyFill="1" applyBorder="1" applyAlignment="1">
      <alignment horizontal="center" vertical="center"/>
    </xf>
    <xf numFmtId="177" fontId="9" fillId="2" borderId="1" xfId="2" applyNumberFormat="1" applyFont="1" applyFill="1" applyBorder="1" applyAlignment="1">
      <alignment vertical="center"/>
    </xf>
    <xf numFmtId="9" fontId="9" fillId="2" borderId="1" xfId="1" applyFont="1" applyFill="1" applyBorder="1" applyAlignment="1">
      <alignment vertical="center"/>
    </xf>
    <xf numFmtId="176" fontId="9" fillId="2" borderId="1" xfId="2" applyNumberFormat="1" applyFont="1" applyFill="1" applyBorder="1" applyAlignment="1">
      <alignment vertical="center"/>
    </xf>
    <xf numFmtId="177" fontId="9" fillId="2" borderId="4" xfId="2" applyNumberFormat="1" applyFont="1" applyFill="1" applyBorder="1" applyAlignment="1">
      <alignment vertical="center"/>
    </xf>
    <xf numFmtId="177" fontId="9" fillId="2" borderId="5" xfId="2" applyNumberFormat="1" applyFont="1" applyFill="1" applyBorder="1" applyAlignment="1">
      <alignment vertical="center"/>
    </xf>
    <xf numFmtId="177" fontId="9" fillId="2" borderId="0" xfId="2" applyNumberFormat="1" applyFont="1" applyFill="1">
      <alignment vertical="center"/>
    </xf>
    <xf numFmtId="0" fontId="12" fillId="2" borderId="0" xfId="0" applyFont="1" applyFill="1" applyAlignment="1">
      <alignment horizontal="left" vertical="center"/>
    </xf>
    <xf numFmtId="0" fontId="9" fillId="2" borderId="0" xfId="1" applyNumberFormat="1" applyFont="1" applyFill="1">
      <alignment vertical="center"/>
    </xf>
    <xf numFmtId="43" fontId="9" fillId="2" borderId="0" xfId="0" applyNumberFormat="1" applyFont="1" applyFill="1">
      <alignment vertical="center"/>
    </xf>
    <xf numFmtId="0" fontId="9" fillId="2" borderId="6" xfId="0" applyFont="1" applyFill="1" applyBorder="1">
      <alignment vertical="center"/>
    </xf>
    <xf numFmtId="0" fontId="9" fillId="2" borderId="7" xfId="0" applyFont="1" applyFill="1" applyBorder="1">
      <alignment vertical="center"/>
    </xf>
    <xf numFmtId="0" fontId="9" fillId="2" borderId="2" xfId="0" applyFont="1" applyFill="1" applyBorder="1">
      <alignment vertical="center"/>
    </xf>
    <xf numFmtId="0" fontId="9" fillId="2" borderId="1" xfId="0" applyFont="1" applyFill="1" applyBorder="1">
      <alignment vertical="center"/>
    </xf>
    <xf numFmtId="0" fontId="9" fillId="2" borderId="2" xfId="0" applyFont="1" applyFill="1" applyBorder="1" applyAlignment="1"/>
    <xf numFmtId="0" fontId="9" fillId="2" borderId="1" xfId="0" applyFont="1" applyFill="1" applyBorder="1" applyAlignment="1"/>
    <xf numFmtId="0" fontId="9" fillId="2" borderId="9" xfId="0" applyFont="1" applyFill="1" applyBorder="1" applyAlignment="1"/>
    <xf numFmtId="0" fontId="9" fillId="2" borderId="10" xfId="0" applyFont="1" applyFill="1" applyBorder="1" applyAlignment="1"/>
    <xf numFmtId="178" fontId="13" fillId="4" borderId="1" xfId="3" applyNumberFormat="1" applyFont="1" applyFill="1" applyBorder="1" applyAlignment="1">
      <alignment horizontal="left" vertical="center"/>
    </xf>
    <xf numFmtId="178" fontId="5" fillId="2" borderId="1" xfId="3" applyNumberFormat="1" applyFill="1" applyBorder="1" applyAlignment="1">
      <alignment horizontal="right" vertical="center"/>
    </xf>
    <xf numFmtId="178" fontId="13" fillId="2" borderId="1" xfId="3" applyNumberFormat="1" applyFont="1" applyFill="1" applyBorder="1" applyAlignment="1">
      <alignment horizontal="left" vertical="center"/>
    </xf>
    <xf numFmtId="0" fontId="0" fillId="2" borderId="1" xfId="0" applyFill="1" applyBorder="1">
      <alignment vertical="center"/>
    </xf>
    <xf numFmtId="178" fontId="13" fillId="4" borderId="1" xfId="3" applyNumberFormat="1" applyFont="1" applyFill="1" applyBorder="1" applyAlignment="1">
      <alignment horizontal="right" vertical="center"/>
    </xf>
    <xf numFmtId="0" fontId="0" fillId="2" borderId="0" xfId="0" applyFill="1">
      <alignment vertical="center"/>
    </xf>
    <xf numFmtId="177" fontId="9" fillId="2" borderId="2" xfId="2" applyNumberFormat="1" applyFont="1" applyFill="1" applyBorder="1" applyAlignment="1">
      <alignment horizontal="left" vertical="center" indent="2"/>
    </xf>
    <xf numFmtId="177" fontId="9" fillId="2" borderId="9" xfId="2" applyNumberFormat="1" applyFont="1" applyFill="1" applyBorder="1" applyAlignment="1">
      <alignment vertical="center"/>
    </xf>
    <xf numFmtId="177" fontId="9" fillId="2" borderId="10" xfId="2" applyNumberFormat="1" applyFont="1" applyFill="1" applyBorder="1" applyAlignment="1">
      <alignment vertical="center"/>
    </xf>
    <xf numFmtId="177" fontId="9" fillId="2" borderId="11" xfId="2" applyNumberFormat="1" applyFont="1" applyFill="1" applyBorder="1" applyAlignment="1">
      <alignment vertical="center"/>
    </xf>
    <xf numFmtId="177" fontId="9" fillId="2" borderId="12" xfId="2" applyNumberFormat="1" applyFont="1" applyFill="1" applyBorder="1" applyAlignment="1">
      <alignment vertical="center"/>
    </xf>
    <xf numFmtId="176" fontId="10" fillId="3" borderId="10" xfId="2" applyNumberFormat="1" applyFont="1" applyFill="1" applyBorder="1" applyAlignment="1">
      <alignment vertical="center"/>
    </xf>
    <xf numFmtId="177" fontId="9" fillId="2" borderId="6" xfId="2" applyNumberFormat="1" applyFont="1" applyFill="1" applyBorder="1" applyAlignment="1">
      <alignment vertical="center"/>
    </xf>
    <xf numFmtId="0" fontId="11" fillId="2" borderId="7" xfId="2" applyNumberFormat="1" applyFont="1" applyFill="1" applyBorder="1" applyAlignment="1">
      <alignment horizontal="center" vertical="center"/>
    </xf>
    <xf numFmtId="9" fontId="9" fillId="2" borderId="12" xfId="1" applyFont="1" applyFill="1" applyBorder="1" applyAlignment="1">
      <alignment vertical="center"/>
    </xf>
    <xf numFmtId="177" fontId="15" fillId="2" borderId="1" xfId="2" applyNumberFormat="1" applyFont="1" applyFill="1" applyBorder="1" applyAlignment="1">
      <alignment vertical="center"/>
    </xf>
    <xf numFmtId="179" fontId="15" fillId="2" borderId="1" xfId="1" applyNumberFormat="1" applyFont="1" applyFill="1" applyBorder="1" applyAlignment="1">
      <alignment vertical="center"/>
    </xf>
    <xf numFmtId="177" fontId="15" fillId="2" borderId="12" xfId="2" applyNumberFormat="1" applyFont="1" applyFill="1" applyBorder="1" applyAlignment="1">
      <alignment vertical="center"/>
    </xf>
    <xf numFmtId="9" fontId="15" fillId="2" borderId="12" xfId="1" applyFont="1" applyFill="1" applyBorder="1" applyAlignment="1">
      <alignment vertical="center"/>
    </xf>
    <xf numFmtId="9" fontId="15" fillId="2" borderId="1" xfId="1" applyFont="1" applyFill="1" applyBorder="1" applyAlignment="1">
      <alignment vertical="center"/>
    </xf>
    <xf numFmtId="9" fontId="9" fillId="2" borderId="5" xfId="1" applyFont="1" applyFill="1" applyBorder="1" applyAlignment="1">
      <alignment vertical="center"/>
    </xf>
    <xf numFmtId="177" fontId="9" fillId="2" borderId="0" xfId="2" applyNumberFormat="1" applyFont="1" applyFill="1" applyBorder="1" applyAlignment="1">
      <alignment vertical="center"/>
    </xf>
    <xf numFmtId="176" fontId="10" fillId="3" borderId="13" xfId="2" applyNumberFormat="1" applyFont="1" applyFill="1" applyBorder="1" applyAlignment="1">
      <alignment vertical="center"/>
    </xf>
    <xf numFmtId="177" fontId="15" fillId="2" borderId="0" xfId="2" applyNumberFormat="1" applyFont="1" applyFill="1" applyBorder="1" applyAlignment="1">
      <alignment vertical="center"/>
    </xf>
    <xf numFmtId="9" fontId="15" fillId="2" borderId="0" xfId="1" applyFont="1" applyFill="1" applyBorder="1" applyAlignment="1">
      <alignment vertical="center"/>
    </xf>
    <xf numFmtId="179" fontId="15" fillId="2" borderId="12" xfId="1" applyNumberFormat="1" applyFont="1" applyFill="1" applyBorder="1" applyAlignment="1">
      <alignment vertical="center"/>
    </xf>
    <xf numFmtId="0" fontId="11" fillId="2" borderId="7" xfId="11" applyNumberFormat="1" applyFont="1" applyFill="1" applyBorder="1" applyAlignment="1">
      <alignment horizontal="center" vertical="center"/>
    </xf>
    <xf numFmtId="177" fontId="9" fillId="2" borderId="14" xfId="2" applyNumberFormat="1" applyFont="1" applyFill="1" applyBorder="1" applyAlignment="1">
      <alignment vertical="center"/>
    </xf>
    <xf numFmtId="0" fontId="16" fillId="2" borderId="1" xfId="0" applyFont="1" applyFill="1" applyBorder="1">
      <alignment vertical="center"/>
    </xf>
    <xf numFmtId="0" fontId="11" fillId="2" borderId="7" xfId="11" applyNumberFormat="1" applyFont="1" applyFill="1" applyBorder="1" applyAlignment="1">
      <alignment horizontal="center" vertical="center"/>
    </xf>
    <xf numFmtId="0" fontId="11" fillId="2" borderId="7" xfId="11" applyNumberFormat="1" applyFont="1" applyFill="1" applyBorder="1" applyAlignment="1">
      <alignment horizontal="center" vertical="center"/>
    </xf>
    <xf numFmtId="0" fontId="11" fillId="2" borderId="7" xfId="11" applyNumberFormat="1" applyFont="1" applyFill="1" applyBorder="1" applyAlignment="1">
      <alignment horizontal="center" vertical="center"/>
    </xf>
    <xf numFmtId="0" fontId="11" fillId="2" borderId="7" xfId="11" applyNumberFormat="1" applyFont="1" applyFill="1" applyBorder="1" applyAlignment="1">
      <alignment horizontal="center" vertical="center"/>
    </xf>
    <xf numFmtId="0" fontId="27" fillId="0" borderId="0" xfId="0" applyFont="1">
      <alignment vertical="center"/>
    </xf>
    <xf numFmtId="0" fontId="27" fillId="0" borderId="1" xfId="0" applyFont="1" applyBorder="1">
      <alignment vertical="center"/>
    </xf>
    <xf numFmtId="181" fontId="28" fillId="0" borderId="1" xfId="4" applyNumberFormat="1" applyFont="1" applyBorder="1" applyAlignment="1">
      <alignment horizontal="right"/>
    </xf>
    <xf numFmtId="0" fontId="27" fillId="0" borderId="1" xfId="0" applyFont="1" applyBorder="1" applyAlignment="1">
      <alignment horizontal="left" vertical="center" indent="1"/>
    </xf>
    <xf numFmtId="177" fontId="26" fillId="2" borderId="14" xfId="2" applyNumberFormat="1" applyFont="1" applyFill="1" applyBorder="1" applyAlignment="1">
      <alignment vertical="center"/>
    </xf>
    <xf numFmtId="177" fontId="26" fillId="2" borderId="1" xfId="2" applyNumberFormat="1" applyFont="1" applyFill="1" applyBorder="1" applyAlignment="1">
      <alignment vertical="center"/>
    </xf>
    <xf numFmtId="177" fontId="26" fillId="2" borderId="2" xfId="2" applyNumberFormat="1" applyFont="1" applyFill="1" applyBorder="1" applyAlignment="1">
      <alignment vertical="center"/>
    </xf>
    <xf numFmtId="177" fontId="29" fillId="2" borderId="1" xfId="2" applyNumberFormat="1" applyFont="1" applyFill="1" applyBorder="1" applyAlignment="1">
      <alignment vertical="center"/>
    </xf>
    <xf numFmtId="43" fontId="29" fillId="2" borderId="1" xfId="2" applyNumberFormat="1" applyFont="1" applyFill="1" applyBorder="1" applyAlignment="1">
      <alignment vertical="center"/>
    </xf>
    <xf numFmtId="177" fontId="30" fillId="2" borderId="1" xfId="2" applyNumberFormat="1" applyFont="1" applyFill="1" applyBorder="1" applyAlignment="1">
      <alignment vertical="center"/>
    </xf>
    <xf numFmtId="43" fontId="30" fillId="2" borderId="1" xfId="2" applyNumberFormat="1" applyFont="1" applyFill="1" applyBorder="1" applyAlignment="1">
      <alignment vertical="center"/>
    </xf>
    <xf numFmtId="179" fontId="31" fillId="2" borderId="1" xfId="1" applyNumberFormat="1" applyFont="1" applyFill="1" applyBorder="1" applyAlignment="1">
      <alignment vertical="center"/>
    </xf>
    <xf numFmtId="177" fontId="26" fillId="2" borderId="11" xfId="2" applyNumberFormat="1" applyFont="1" applyFill="1" applyBorder="1" applyAlignment="1">
      <alignment vertical="center"/>
    </xf>
    <xf numFmtId="177" fontId="26" fillId="2" borderId="12" xfId="2" applyNumberFormat="1" applyFont="1" applyFill="1" applyBorder="1" applyAlignment="1">
      <alignment vertical="center"/>
    </xf>
    <xf numFmtId="177" fontId="31" fillId="2" borderId="12" xfId="2" applyNumberFormat="1" applyFont="1" applyFill="1" applyBorder="1" applyAlignment="1">
      <alignment vertical="center"/>
    </xf>
    <xf numFmtId="179" fontId="31" fillId="2" borderId="12" xfId="1" applyNumberFormat="1" applyFont="1" applyFill="1" applyBorder="1" applyAlignment="1">
      <alignment vertical="center"/>
    </xf>
    <xf numFmtId="176" fontId="32" fillId="3" borderId="13" xfId="2" applyNumberFormat="1" applyFont="1" applyFill="1" applyBorder="1" applyAlignment="1">
      <alignment vertical="center"/>
    </xf>
    <xf numFmtId="0" fontId="33" fillId="2" borderId="8" xfId="11" applyNumberFormat="1" applyFont="1" applyFill="1" applyBorder="1" applyAlignment="1">
      <alignment horizontal="center" vertical="center"/>
    </xf>
    <xf numFmtId="177" fontId="34" fillId="2" borderId="1" xfId="2" applyNumberFormat="1" applyFont="1" applyFill="1" applyBorder="1" applyAlignment="1">
      <alignment vertical="center"/>
    </xf>
    <xf numFmtId="177" fontId="26" fillId="2" borderId="3" xfId="2" applyNumberFormat="1" applyFont="1" applyFill="1" applyBorder="1" applyAlignment="1">
      <alignment vertical="center"/>
    </xf>
    <xf numFmtId="177" fontId="26" fillId="2" borderId="2" xfId="2" applyNumberFormat="1" applyFont="1" applyFill="1" applyBorder="1" applyAlignment="1">
      <alignment horizontal="left" vertical="center" indent="2"/>
    </xf>
    <xf numFmtId="9" fontId="26" fillId="2" borderId="1" xfId="1" applyFont="1" applyFill="1" applyBorder="1" applyAlignment="1">
      <alignment vertical="center"/>
    </xf>
    <xf numFmtId="9" fontId="26" fillId="2" borderId="3" xfId="1" applyFont="1" applyFill="1" applyBorder="1" applyAlignment="1">
      <alignment vertical="center"/>
    </xf>
    <xf numFmtId="177" fontId="35" fillId="2" borderId="2" xfId="2" applyNumberFormat="1" applyFont="1" applyFill="1" applyBorder="1" applyAlignment="1">
      <alignment horizontal="left" vertical="center" indent="2"/>
    </xf>
    <xf numFmtId="9" fontId="35" fillId="2" borderId="1" xfId="1" applyFont="1" applyFill="1" applyBorder="1" applyAlignment="1">
      <alignment vertical="center"/>
    </xf>
    <xf numFmtId="9" fontId="35" fillId="2" borderId="3" xfId="1" applyFont="1" applyFill="1" applyBorder="1" applyAlignment="1">
      <alignment vertical="center"/>
    </xf>
    <xf numFmtId="179" fontId="31" fillId="2" borderId="3" xfId="1" applyNumberFormat="1" applyFont="1" applyFill="1" applyBorder="1" applyAlignment="1">
      <alignment vertical="center"/>
    </xf>
    <xf numFmtId="0" fontId="31" fillId="2" borderId="1" xfId="2" applyNumberFormat="1" applyFont="1" applyFill="1" applyBorder="1" applyAlignment="1">
      <alignment vertical="center"/>
    </xf>
    <xf numFmtId="43" fontId="31" fillId="2" borderId="1" xfId="2" applyNumberFormat="1" applyFont="1" applyFill="1" applyBorder="1" applyAlignment="1">
      <alignment vertical="center"/>
    </xf>
    <xf numFmtId="177" fontId="31" fillId="2" borderId="1" xfId="2" applyNumberFormat="1" applyFont="1" applyFill="1" applyBorder="1" applyAlignment="1">
      <alignment vertical="center"/>
    </xf>
    <xf numFmtId="177" fontId="31" fillId="2" borderId="3" xfId="2" applyNumberFormat="1" applyFont="1" applyFill="1" applyBorder="1" applyAlignment="1">
      <alignment vertical="center"/>
    </xf>
    <xf numFmtId="0" fontId="33" fillId="2" borderId="9" xfId="0" applyFont="1" applyFill="1" applyBorder="1" applyAlignment="1">
      <alignment horizontal="left" vertical="center" indent="1"/>
    </xf>
    <xf numFmtId="9" fontId="35" fillId="2" borderId="10" xfId="1" applyFont="1" applyFill="1" applyBorder="1">
      <alignment vertical="center"/>
    </xf>
    <xf numFmtId="0" fontId="33" fillId="2" borderId="1" xfId="0" applyFont="1" applyFill="1" applyBorder="1" applyAlignment="1">
      <alignment horizontal="left" vertical="center" indent="1"/>
    </xf>
    <xf numFmtId="9" fontId="35" fillId="2" borderId="1" xfId="1" applyFont="1" applyFill="1" applyBorder="1">
      <alignment vertical="center"/>
    </xf>
    <xf numFmtId="0" fontId="33" fillId="2" borderId="4" xfId="0" applyFont="1" applyFill="1" applyBorder="1" applyAlignment="1">
      <alignment horizontal="left" vertical="center" indent="1"/>
    </xf>
    <xf numFmtId="9" fontId="35" fillId="2" borderId="5" xfId="1" applyFont="1" applyFill="1" applyBorder="1">
      <alignment vertical="center"/>
    </xf>
    <xf numFmtId="180" fontId="31" fillId="2" borderId="1" xfId="2" applyNumberFormat="1" applyFont="1" applyFill="1" applyBorder="1" applyAlignment="1">
      <alignment vertical="center"/>
    </xf>
    <xf numFmtId="179" fontId="35" fillId="2" borderId="5" xfId="1" applyNumberFormat="1" applyFont="1" applyFill="1" applyBorder="1">
      <alignment vertical="center"/>
    </xf>
    <xf numFmtId="179" fontId="29" fillId="2" borderId="1" xfId="1" applyNumberFormat="1" applyFont="1" applyFill="1" applyBorder="1" applyAlignment="1">
      <alignment vertical="center"/>
    </xf>
    <xf numFmtId="179" fontId="29" fillId="2" borderId="3" xfId="1" applyNumberFormat="1" applyFont="1" applyFill="1" applyBorder="1" applyAlignment="1">
      <alignment vertical="center"/>
    </xf>
    <xf numFmtId="181" fontId="36" fillId="0" borderId="1" xfId="0" applyNumberFormat="1" applyFont="1" applyBorder="1">
      <alignment vertical="center"/>
    </xf>
    <xf numFmtId="181" fontId="37" fillId="0" borderId="1" xfId="0" applyNumberFormat="1" applyFont="1" applyBorder="1">
      <alignment vertical="center"/>
    </xf>
    <xf numFmtId="0" fontId="38" fillId="0" borderId="1" xfId="0" applyFont="1" applyBorder="1" applyAlignment="1">
      <alignment horizontal="center" vertical="center"/>
    </xf>
    <xf numFmtId="0" fontId="39" fillId="0" borderId="0" xfId="0" applyFont="1" applyAlignment="1">
      <alignment horizontal="center" vertical="center"/>
    </xf>
    <xf numFmtId="181" fontId="36" fillId="0" borderId="1" xfId="4" applyNumberFormat="1" applyFont="1" applyBorder="1" applyAlignment="1">
      <alignment horizontal="right"/>
    </xf>
    <xf numFmtId="0" fontId="15" fillId="2" borderId="0" xfId="0" applyFont="1" applyFill="1">
      <alignment vertical="center"/>
    </xf>
    <xf numFmtId="176" fontId="40" fillId="2" borderId="17" xfId="40" applyNumberFormat="1" applyFont="1" applyFill="1" applyBorder="1" applyAlignment="1">
      <alignment horizontal="center" vertical="center" wrapText="1"/>
    </xf>
    <xf numFmtId="9" fontId="38" fillId="2" borderId="0" xfId="1" applyFont="1" applyFill="1" applyAlignment="1">
      <alignment vertical="center" wrapText="1"/>
    </xf>
    <xf numFmtId="176" fontId="38" fillId="2" borderId="0" xfId="40" applyNumberFormat="1" applyFont="1" applyFill="1" applyAlignment="1">
      <alignment vertical="center"/>
    </xf>
    <xf numFmtId="176" fontId="38" fillId="2" borderId="18" xfId="40" applyNumberFormat="1" applyFont="1" applyFill="1" applyBorder="1" applyAlignment="1">
      <alignment horizontal="center" vertical="center" wrapText="1"/>
    </xf>
    <xf numFmtId="9" fontId="38" fillId="2" borderId="0" xfId="1" applyFont="1" applyFill="1" applyAlignment="1">
      <alignment vertical="center"/>
    </xf>
    <xf numFmtId="176" fontId="41" fillId="2" borderId="19" xfId="40" applyNumberFormat="1" applyFont="1" applyFill="1" applyBorder="1" applyAlignment="1">
      <alignment horizontal="center" vertical="center" wrapText="1"/>
    </xf>
    <xf numFmtId="9" fontId="38" fillId="2" borderId="15" xfId="1" applyFont="1" applyFill="1" applyBorder="1" applyAlignment="1">
      <alignment vertical="center" wrapText="1"/>
    </xf>
    <xf numFmtId="9" fontId="38" fillId="2" borderId="15" xfId="1" applyFont="1" applyFill="1" applyBorder="1" applyAlignment="1">
      <alignment vertical="center"/>
    </xf>
    <xf numFmtId="176" fontId="41" fillId="2" borderId="0" xfId="40" applyNumberFormat="1" applyFont="1" applyFill="1" applyBorder="1" applyAlignment="1">
      <alignment horizontal="center" vertical="center" wrapText="1"/>
    </xf>
    <xf numFmtId="176" fontId="38" fillId="2" borderId="0" xfId="40" applyNumberFormat="1" applyFont="1" applyFill="1" applyBorder="1" applyAlignment="1">
      <alignment horizontal="left" vertical="center" wrapText="1"/>
    </xf>
    <xf numFmtId="9" fontId="38" fillId="2" borderId="0" xfId="1" applyFont="1" applyFill="1" applyBorder="1" applyAlignment="1">
      <alignment vertical="center" wrapText="1"/>
    </xf>
    <xf numFmtId="9" fontId="38" fillId="2" borderId="0" xfId="1" applyFont="1" applyFill="1" applyBorder="1" applyAlignment="1">
      <alignment vertical="center"/>
    </xf>
    <xf numFmtId="0" fontId="6" fillId="2" borderId="0" xfId="3" applyFont="1" applyFill="1">
      <alignment vertical="center"/>
    </xf>
    <xf numFmtId="0" fontId="42" fillId="2" borderId="0" xfId="3" applyFont="1" applyFill="1">
      <alignment vertical="center"/>
    </xf>
    <xf numFmtId="9" fontId="38" fillId="2" borderId="0" xfId="1" applyFont="1" applyFill="1" applyBorder="1" applyAlignment="1"/>
    <xf numFmtId="180" fontId="38" fillId="2" borderId="0" xfId="41" applyNumberFormat="1" applyFont="1" applyFill="1"/>
    <xf numFmtId="43" fontId="42" fillId="2" borderId="0" xfId="3" applyNumberFormat="1" applyFont="1" applyFill="1">
      <alignment vertical="center"/>
    </xf>
    <xf numFmtId="0" fontId="42" fillId="2" borderId="0" xfId="3" applyFont="1" applyFill="1" applyAlignment="1">
      <alignment horizontal="center" vertical="center"/>
    </xf>
    <xf numFmtId="43" fontId="42" fillId="2" borderId="0" xfId="2" applyFont="1" applyFill="1">
      <alignment vertical="center"/>
    </xf>
    <xf numFmtId="179" fontId="42" fillId="2" borderId="0" xfId="1" applyNumberFormat="1" applyFont="1" applyFill="1" applyAlignment="1">
      <alignment horizontal="center" vertical="center"/>
    </xf>
    <xf numFmtId="0" fontId="42" fillId="2" borderId="6" xfId="3" applyFont="1" applyFill="1" applyBorder="1" applyAlignment="1">
      <alignment horizontal="center" vertical="center"/>
    </xf>
    <xf numFmtId="0" fontId="42" fillId="2" borderId="20" xfId="3" applyFont="1" applyFill="1" applyBorder="1" applyAlignment="1">
      <alignment horizontal="right" vertical="center"/>
    </xf>
    <xf numFmtId="0" fontId="42" fillId="2" borderId="20" xfId="3" applyFont="1" applyFill="1" applyBorder="1" applyAlignment="1">
      <alignment horizontal="left" vertical="center"/>
    </xf>
    <xf numFmtId="0" fontId="42" fillId="2" borderId="20" xfId="3" applyFont="1" applyFill="1" applyBorder="1">
      <alignment vertical="center"/>
    </xf>
    <xf numFmtId="0" fontId="42" fillId="2" borderId="21" xfId="3" applyFont="1" applyFill="1" applyBorder="1" applyAlignment="1">
      <alignment horizontal="center" vertical="center"/>
    </xf>
    <xf numFmtId="0" fontId="42" fillId="2" borderId="22" xfId="3" applyFont="1" applyFill="1" applyBorder="1">
      <alignment vertical="center"/>
    </xf>
    <xf numFmtId="0" fontId="42" fillId="2" borderId="0" xfId="3" quotePrefix="1" applyFont="1" applyFill="1" applyAlignment="1">
      <alignment horizontal="right" vertical="center"/>
    </xf>
    <xf numFmtId="176" fontId="42" fillId="2" borderId="0" xfId="40" applyNumberFormat="1" applyFont="1" applyFill="1" applyBorder="1" applyAlignment="1">
      <alignment horizontal="center" vertical="center"/>
    </xf>
    <xf numFmtId="179" fontId="42" fillId="2" borderId="0" xfId="1" applyNumberFormat="1" applyFont="1" applyFill="1" applyBorder="1">
      <alignment vertical="center"/>
    </xf>
    <xf numFmtId="179" fontId="43" fillId="2" borderId="0" xfId="1" applyNumberFormat="1" applyFont="1" applyFill="1" applyBorder="1">
      <alignment vertical="center"/>
    </xf>
    <xf numFmtId="177" fontId="42" fillId="2" borderId="0" xfId="2" applyNumberFormat="1" applyFont="1" applyFill="1" applyBorder="1" applyAlignment="1">
      <alignment horizontal="right" vertical="center"/>
    </xf>
    <xf numFmtId="177" fontId="42" fillId="2" borderId="23" xfId="2" applyNumberFormat="1" applyFont="1" applyFill="1" applyBorder="1" applyAlignment="1">
      <alignment horizontal="center" vertical="center"/>
    </xf>
    <xf numFmtId="0" fontId="42" fillId="2" borderId="22" xfId="3" applyFont="1" applyFill="1" applyBorder="1" applyAlignment="1">
      <alignment horizontal="left" vertical="center" wrapText="1"/>
    </xf>
    <xf numFmtId="177" fontId="42" fillId="2" borderId="0" xfId="3" applyNumberFormat="1" applyFont="1" applyFill="1" applyAlignment="1">
      <alignment horizontal="right" vertical="center"/>
    </xf>
    <xf numFmtId="0" fontId="42" fillId="2" borderId="22" xfId="3" applyFont="1" applyFill="1" applyBorder="1" applyAlignment="1">
      <alignment horizontal="right" vertical="center"/>
    </xf>
    <xf numFmtId="176" fontId="42" fillId="2" borderId="0" xfId="21" applyNumberFormat="1" applyFont="1" applyFill="1" applyBorder="1">
      <alignment vertical="center"/>
    </xf>
    <xf numFmtId="177" fontId="42" fillId="2" borderId="0" xfId="3" applyNumberFormat="1" applyFont="1" applyFill="1">
      <alignment vertical="center"/>
    </xf>
    <xf numFmtId="9" fontId="42" fillId="2" borderId="23" xfId="1" applyFont="1" applyFill="1" applyBorder="1" applyAlignment="1">
      <alignment horizontal="center" vertical="center"/>
    </xf>
    <xf numFmtId="176" fontId="42" fillId="2" borderId="0" xfId="40" applyNumberFormat="1" applyFont="1" applyFill="1" applyBorder="1" applyAlignment="1">
      <alignment horizontal="right" vertical="center"/>
    </xf>
    <xf numFmtId="0" fontId="44" fillId="2" borderId="11" xfId="4" applyFont="1" applyFill="1" applyBorder="1" applyAlignment="1">
      <alignment horizontal="right"/>
    </xf>
    <xf numFmtId="176" fontId="42" fillId="2" borderId="24" xfId="21" applyNumberFormat="1" applyFont="1" applyFill="1" applyBorder="1">
      <alignment vertical="center"/>
    </xf>
    <xf numFmtId="176" fontId="42" fillId="2" borderId="24" xfId="40" applyNumberFormat="1" applyFont="1" applyFill="1" applyBorder="1" applyAlignment="1">
      <alignment horizontal="center" vertical="center"/>
    </xf>
    <xf numFmtId="177" fontId="42" fillId="2" borderId="24" xfId="3" applyNumberFormat="1" applyFont="1" applyFill="1" applyBorder="1">
      <alignment vertical="center"/>
    </xf>
    <xf numFmtId="179" fontId="42" fillId="2" borderId="24" xfId="1" applyNumberFormat="1" applyFont="1" applyFill="1" applyBorder="1">
      <alignment vertical="center"/>
    </xf>
    <xf numFmtId="179" fontId="43" fillId="2" borderId="24" xfId="1" applyNumberFormat="1" applyFont="1" applyFill="1" applyBorder="1">
      <alignment vertical="center"/>
    </xf>
    <xf numFmtId="176" fontId="42" fillId="2" borderId="24" xfId="40" applyNumberFormat="1" applyFont="1" applyFill="1" applyBorder="1" applyAlignment="1">
      <alignment horizontal="right" vertical="center"/>
    </xf>
    <xf numFmtId="9" fontId="42" fillId="2" borderId="25" xfId="1" applyFont="1" applyFill="1" applyBorder="1" applyAlignment="1">
      <alignment horizontal="center" vertical="center"/>
    </xf>
    <xf numFmtId="9" fontId="42" fillId="2" borderId="0" xfId="1" applyFont="1" applyFill="1">
      <alignment vertical="center"/>
    </xf>
    <xf numFmtId="182" fontId="42" fillId="2" borderId="0" xfId="3" applyNumberFormat="1" applyFont="1" applyFill="1">
      <alignment vertical="center"/>
    </xf>
    <xf numFmtId="9" fontId="42" fillId="2" borderId="0" xfId="1" applyFont="1" applyFill="1" applyAlignment="1">
      <alignment horizontal="left" vertical="center"/>
    </xf>
    <xf numFmtId="0" fontId="45" fillId="2" borderId="6" xfId="3" applyFont="1" applyFill="1" applyBorder="1" applyAlignment="1">
      <alignment horizontal="left" vertical="center"/>
    </xf>
    <xf numFmtId="0" fontId="42" fillId="2" borderId="26" xfId="3" applyFont="1" applyFill="1" applyBorder="1" applyAlignment="1">
      <alignment horizontal="right" vertical="center"/>
    </xf>
    <xf numFmtId="0" fontId="42" fillId="2" borderId="26" xfId="3" applyFont="1" applyFill="1" applyBorder="1" applyAlignment="1">
      <alignment horizontal="center" vertical="center"/>
    </xf>
    <xf numFmtId="0" fontId="42" fillId="2" borderId="26" xfId="3" applyFont="1" applyFill="1" applyBorder="1">
      <alignment vertical="center"/>
    </xf>
    <xf numFmtId="0" fontId="42" fillId="2" borderId="27" xfId="3" applyFont="1" applyFill="1" applyBorder="1">
      <alignment vertical="center"/>
    </xf>
    <xf numFmtId="0" fontId="42" fillId="2" borderId="2" xfId="3" applyFont="1" applyFill="1" applyBorder="1" applyAlignment="1">
      <alignment horizontal="center" vertical="center"/>
    </xf>
    <xf numFmtId="0" fontId="42" fillId="2" borderId="28" xfId="3" applyFont="1" applyFill="1" applyBorder="1" applyAlignment="1">
      <alignment horizontal="right" vertical="center"/>
    </xf>
    <xf numFmtId="0" fontId="42" fillId="2" borderId="28" xfId="3" applyFont="1" applyFill="1" applyBorder="1" applyAlignment="1">
      <alignment horizontal="left" vertical="center"/>
    </xf>
    <xf numFmtId="0" fontId="42" fillId="2" borderId="29" xfId="3" applyFont="1" applyFill="1" applyBorder="1" applyAlignment="1">
      <alignment horizontal="center" vertical="center"/>
    </xf>
    <xf numFmtId="0" fontId="45" fillId="2" borderId="22" xfId="3" applyFont="1" applyFill="1" applyBorder="1" applyAlignment="1">
      <alignment horizontal="right" vertical="center"/>
    </xf>
    <xf numFmtId="0" fontId="45" fillId="2" borderId="0" xfId="3" applyFont="1" applyFill="1" applyAlignment="1">
      <alignment horizontal="right" vertical="center"/>
    </xf>
    <xf numFmtId="0" fontId="42" fillId="2" borderId="23" xfId="3" applyFont="1" applyFill="1" applyBorder="1" applyAlignment="1">
      <alignment horizontal="left" vertical="center"/>
    </xf>
    <xf numFmtId="176" fontId="42" fillId="2" borderId="0" xfId="3" applyNumberFormat="1" applyFont="1" applyFill="1" applyAlignment="1">
      <alignment horizontal="left" vertical="center"/>
    </xf>
    <xf numFmtId="176" fontId="46" fillId="6" borderId="0" xfId="3" applyNumberFormat="1" applyFont="1" applyFill="1" applyAlignment="1">
      <alignment horizontal="left" vertical="center"/>
    </xf>
    <xf numFmtId="0" fontId="46" fillId="6" borderId="0" xfId="3" applyFont="1" applyFill="1">
      <alignment vertical="center"/>
    </xf>
    <xf numFmtId="177" fontId="46" fillId="6" borderId="0" xfId="3" applyNumberFormat="1" applyFont="1" applyFill="1" applyAlignment="1">
      <alignment horizontal="right" vertical="center"/>
    </xf>
    <xf numFmtId="9" fontId="42" fillId="2" borderId="0" xfId="1" applyFont="1" applyFill="1" applyBorder="1" applyAlignment="1">
      <alignment horizontal="right" vertical="center"/>
    </xf>
    <xf numFmtId="176" fontId="42" fillId="6" borderId="0" xfId="3" applyNumberFormat="1" applyFont="1" applyFill="1" applyAlignment="1">
      <alignment horizontal="left" vertical="center"/>
    </xf>
    <xf numFmtId="176" fontId="42" fillId="2" borderId="24" xfId="3" applyNumberFormat="1" applyFont="1" applyFill="1" applyBorder="1" applyAlignment="1">
      <alignment horizontal="left" vertical="center"/>
    </xf>
    <xf numFmtId="176" fontId="42" fillId="6" borderId="24" xfId="3" applyNumberFormat="1" applyFont="1" applyFill="1" applyBorder="1" applyAlignment="1">
      <alignment horizontal="left" vertical="center"/>
    </xf>
    <xf numFmtId="0" fontId="42" fillId="2" borderId="0" xfId="3" applyFont="1" applyFill="1" applyAlignment="1">
      <alignment horizontal="left" vertical="center"/>
    </xf>
    <xf numFmtId="177" fontId="48" fillId="2" borderId="1" xfId="2" applyNumberFormat="1" applyFont="1" applyFill="1" applyBorder="1" applyAlignment="1">
      <alignment vertical="center"/>
    </xf>
    <xf numFmtId="43" fontId="48" fillId="2" borderId="1" xfId="2" applyNumberFormat="1" applyFont="1" applyFill="1" applyBorder="1" applyAlignment="1">
      <alignment vertical="center"/>
    </xf>
    <xf numFmtId="0" fontId="11" fillId="2" borderId="1" xfId="11" applyNumberFormat="1" applyFont="1" applyFill="1" applyBorder="1" applyAlignment="1">
      <alignment horizontal="center" vertical="center"/>
    </xf>
    <xf numFmtId="176" fontId="32" fillId="3" borderId="1" xfId="2" applyNumberFormat="1" applyFont="1" applyFill="1" applyBorder="1" applyAlignment="1">
      <alignment vertical="center"/>
    </xf>
    <xf numFmtId="0" fontId="33" fillId="2" borderId="1" xfId="11" applyNumberFormat="1" applyFont="1" applyFill="1" applyBorder="1" applyAlignment="1">
      <alignment horizontal="center" vertical="center"/>
    </xf>
    <xf numFmtId="177" fontId="26" fillId="2" borderId="1" xfId="2" applyNumberFormat="1" applyFont="1" applyFill="1" applyBorder="1" applyAlignment="1">
      <alignment horizontal="left" vertical="center" indent="2"/>
    </xf>
    <xf numFmtId="177" fontId="35" fillId="2" borderId="1" xfId="2" applyNumberFormat="1" applyFont="1" applyFill="1" applyBorder="1" applyAlignment="1">
      <alignment horizontal="left" vertical="center" indent="2"/>
    </xf>
    <xf numFmtId="9" fontId="47" fillId="2" borderId="1" xfId="1" applyFont="1" applyFill="1" applyBorder="1">
      <alignment vertical="center"/>
    </xf>
    <xf numFmtId="176" fontId="26" fillId="2" borderId="1" xfId="2" applyNumberFormat="1" applyFont="1" applyFill="1" applyBorder="1" applyAlignment="1">
      <alignment vertical="center"/>
    </xf>
    <xf numFmtId="9" fontId="29" fillId="2" borderId="1" xfId="1" applyFont="1" applyFill="1" applyBorder="1" applyAlignment="1">
      <alignment vertical="center"/>
    </xf>
    <xf numFmtId="9" fontId="49" fillId="2" borderId="1" xfId="1" applyFont="1" applyFill="1" applyBorder="1" applyAlignment="1">
      <alignment vertical="center"/>
    </xf>
    <xf numFmtId="177" fontId="11" fillId="2" borderId="1" xfId="2" applyNumberFormat="1" applyFont="1" applyFill="1" applyBorder="1" applyAlignment="1">
      <alignment vertical="center"/>
    </xf>
    <xf numFmtId="0" fontId="9" fillId="2" borderId="1" xfId="0" applyFont="1" applyFill="1" applyBorder="1" applyAlignment="1">
      <alignment horizontal="left" vertical="center" indent="1"/>
    </xf>
    <xf numFmtId="0" fontId="51" fillId="2" borderId="1" xfId="0" applyFont="1" applyFill="1" applyBorder="1" applyAlignment="1">
      <alignment horizontal="left" vertical="center" indent="1"/>
    </xf>
    <xf numFmtId="176" fontId="48" fillId="2" borderId="1" xfId="2" applyNumberFormat="1" applyFont="1" applyFill="1" applyBorder="1" applyAlignment="1">
      <alignment vertical="center"/>
    </xf>
    <xf numFmtId="177" fontId="11" fillId="6" borderId="1" xfId="2" applyNumberFormat="1" applyFont="1" applyFill="1" applyBorder="1" applyAlignment="1">
      <alignment vertical="center"/>
    </xf>
    <xf numFmtId="177" fontId="30" fillId="6" borderId="1" xfId="2" applyNumberFormat="1" applyFont="1" applyFill="1" applyBorder="1" applyAlignment="1">
      <alignment vertical="center"/>
    </xf>
    <xf numFmtId="43" fontId="30" fillId="6" borderId="1" xfId="2" applyNumberFormat="1" applyFont="1" applyFill="1" applyBorder="1" applyAlignment="1">
      <alignment vertical="center"/>
    </xf>
    <xf numFmtId="9" fontId="29" fillId="2" borderId="3" xfId="1" applyFont="1" applyFill="1" applyBorder="1" applyAlignment="1">
      <alignment vertical="center"/>
    </xf>
    <xf numFmtId="176" fontId="26" fillId="2" borderId="3" xfId="2" applyNumberFormat="1" applyFont="1" applyFill="1" applyBorder="1" applyAlignment="1">
      <alignment vertical="center"/>
    </xf>
    <xf numFmtId="0" fontId="11" fillId="2" borderId="0" xfId="0" applyFont="1" applyFill="1">
      <alignment vertical="center"/>
    </xf>
    <xf numFmtId="0" fontId="51" fillId="2" borderId="9" xfId="0" applyFont="1" applyFill="1" applyBorder="1" applyAlignment="1">
      <alignment horizontal="left" vertical="center" indent="1"/>
    </xf>
    <xf numFmtId="0" fontId="51" fillId="2" borderId="4" xfId="0" applyFont="1" applyFill="1" applyBorder="1" applyAlignment="1">
      <alignment horizontal="left" vertical="center" indent="1"/>
    </xf>
    <xf numFmtId="179" fontId="47" fillId="2" borderId="1" xfId="1" applyNumberFormat="1" applyFont="1" applyFill="1" applyBorder="1">
      <alignment vertical="center"/>
    </xf>
    <xf numFmtId="176" fontId="31" fillId="2" borderId="1" xfId="2" applyNumberFormat="1" applyFont="1" applyFill="1" applyBorder="1" applyAlignment="1">
      <alignment vertical="center"/>
    </xf>
    <xf numFmtId="177" fontId="51" fillId="2" borderId="1" xfId="2" applyNumberFormat="1" applyFont="1" applyFill="1" applyBorder="1" applyAlignment="1">
      <alignment horizontal="left" vertical="center" indent="2"/>
    </xf>
    <xf numFmtId="0" fontId="35" fillId="2" borderId="0" xfId="0" applyFont="1" applyFill="1">
      <alignment vertical="center"/>
    </xf>
    <xf numFmtId="177" fontId="51" fillId="2" borderId="1" xfId="2" applyNumberFormat="1" applyFont="1" applyFill="1" applyBorder="1" applyAlignment="1">
      <alignment vertical="center"/>
    </xf>
    <xf numFmtId="179" fontId="49" fillId="2" borderId="1" xfId="1" applyNumberFormat="1" applyFont="1" applyFill="1" applyBorder="1" applyAlignment="1">
      <alignment vertical="center"/>
    </xf>
    <xf numFmtId="0" fontId="33" fillId="2" borderId="0" xfId="0" applyFont="1" applyFill="1">
      <alignment vertical="center"/>
    </xf>
    <xf numFmtId="177" fontId="11" fillId="6" borderId="2" xfId="2" applyNumberFormat="1" applyFont="1" applyFill="1" applyBorder="1" applyAlignment="1">
      <alignment vertical="center"/>
    </xf>
    <xf numFmtId="177" fontId="30" fillId="6" borderId="3" xfId="2" applyNumberFormat="1" applyFont="1" applyFill="1" applyBorder="1" applyAlignment="1">
      <alignment vertical="center"/>
    </xf>
    <xf numFmtId="179" fontId="42" fillId="0" borderId="0" xfId="1" applyNumberFormat="1" applyFont="1" applyFill="1" applyBorder="1">
      <alignment vertical="center"/>
    </xf>
    <xf numFmtId="179" fontId="42" fillId="0" borderId="24" xfId="1" applyNumberFormat="1" applyFont="1" applyFill="1" applyBorder="1">
      <alignment vertical="center"/>
    </xf>
    <xf numFmtId="178" fontId="30" fillId="6" borderId="1" xfId="2" applyNumberFormat="1" applyFont="1" applyFill="1" applyBorder="1" applyAlignment="1">
      <alignment vertical="center"/>
    </xf>
    <xf numFmtId="178" fontId="30" fillId="6" borderId="3" xfId="2" applyNumberFormat="1" applyFont="1" applyFill="1" applyBorder="1" applyAlignment="1">
      <alignment vertical="center"/>
    </xf>
    <xf numFmtId="177" fontId="26" fillId="2" borderId="0" xfId="2" applyNumberFormat="1" applyFont="1" applyFill="1" applyBorder="1" applyAlignment="1">
      <alignment vertical="center"/>
    </xf>
    <xf numFmtId="0" fontId="55" fillId="7" borderId="31" xfId="3" applyFont="1" applyFill="1" applyBorder="1" applyAlignment="1">
      <alignment horizontal="center" vertical="center"/>
    </xf>
    <xf numFmtId="0" fontId="56" fillId="2" borderId="0" xfId="3" applyFont="1" applyFill="1">
      <alignment vertical="center"/>
    </xf>
    <xf numFmtId="0" fontId="57" fillId="7" borderId="30" xfId="3" applyFont="1" applyFill="1" applyBorder="1">
      <alignment vertical="center"/>
    </xf>
    <xf numFmtId="0" fontId="61" fillId="8" borderId="32" xfId="3" applyFont="1" applyFill="1" applyBorder="1" applyAlignment="1">
      <alignment horizontal="center" vertical="center"/>
    </xf>
    <xf numFmtId="176" fontId="61" fillId="8" borderId="33" xfId="3" applyNumberFormat="1" applyFont="1" applyFill="1" applyBorder="1">
      <alignment vertical="center"/>
    </xf>
    <xf numFmtId="0" fontId="62" fillId="9" borderId="30" xfId="42" applyFont="1" applyFill="1" applyBorder="1" applyAlignment="1">
      <alignment vertical="center"/>
    </xf>
    <xf numFmtId="176" fontId="56" fillId="6" borderId="33" xfId="2" applyNumberFormat="1" applyFont="1" applyFill="1" applyBorder="1">
      <alignment vertical="center"/>
    </xf>
    <xf numFmtId="0" fontId="63" fillId="9" borderId="30" xfId="3" applyFont="1" applyFill="1" applyBorder="1" applyAlignment="1">
      <alignment horizontal="right" vertical="center"/>
    </xf>
    <xf numFmtId="176" fontId="56" fillId="2" borderId="33" xfId="2" applyNumberFormat="1" applyFont="1" applyFill="1" applyBorder="1">
      <alignment vertical="center"/>
    </xf>
    <xf numFmtId="0" fontId="62" fillId="2" borderId="30" xfId="42" applyFont="1" applyFill="1" applyBorder="1" applyAlignment="1">
      <alignment vertical="center"/>
    </xf>
    <xf numFmtId="0" fontId="62" fillId="10" borderId="30" xfId="42" applyFont="1" applyFill="1" applyBorder="1" applyAlignment="1">
      <alignment vertical="center"/>
    </xf>
    <xf numFmtId="0" fontId="65" fillId="2" borderId="30" xfId="42" applyFont="1" applyFill="1" applyBorder="1" applyAlignment="1">
      <alignment vertical="center"/>
    </xf>
    <xf numFmtId="1" fontId="56" fillId="0" borderId="0" xfId="3" applyNumberFormat="1" applyFont="1">
      <alignment vertical="center"/>
    </xf>
    <xf numFmtId="0" fontId="63" fillId="2" borderId="0" xfId="3" applyFont="1" applyFill="1">
      <alignment vertical="center"/>
    </xf>
    <xf numFmtId="176" fontId="56" fillId="0" borderId="33" xfId="2" applyNumberFormat="1" applyFont="1" applyFill="1" applyBorder="1">
      <alignment vertical="center"/>
    </xf>
    <xf numFmtId="9" fontId="15" fillId="2" borderId="0" xfId="1" applyFont="1" applyFill="1">
      <alignment vertical="center"/>
    </xf>
    <xf numFmtId="0" fontId="42" fillId="2" borderId="0" xfId="0" applyFont="1" applyFill="1">
      <alignment vertical="center"/>
    </xf>
    <xf numFmtId="9" fontId="66" fillId="2" borderId="0" xfId="1" applyFont="1" applyFill="1">
      <alignment vertical="center"/>
    </xf>
    <xf numFmtId="0" fontId="50" fillId="6" borderId="1" xfId="2" applyNumberFormat="1" applyFont="1" applyFill="1" applyBorder="1" applyAlignment="1">
      <alignment vertical="center"/>
    </xf>
    <xf numFmtId="0" fontId="9" fillId="2" borderId="0" xfId="0" applyFont="1" applyFill="1" applyBorder="1" applyAlignment="1">
      <alignment horizontal="left" vertical="center" indent="1"/>
    </xf>
    <xf numFmtId="9" fontId="47" fillId="2" borderId="0" xfId="1" applyFont="1" applyFill="1" applyBorder="1">
      <alignment vertical="center"/>
    </xf>
    <xf numFmtId="179" fontId="15" fillId="2" borderId="0" xfId="1" applyNumberFormat="1" applyFont="1" applyFill="1">
      <alignment vertical="center"/>
    </xf>
    <xf numFmtId="1" fontId="31" fillId="2" borderId="1" xfId="2" applyNumberFormat="1" applyFont="1" applyFill="1" applyBorder="1" applyAlignment="1">
      <alignment vertical="center"/>
    </xf>
    <xf numFmtId="1" fontId="48" fillId="2" borderId="1" xfId="2" applyNumberFormat="1" applyFont="1" applyFill="1" applyBorder="1" applyAlignment="1">
      <alignment vertical="center"/>
    </xf>
    <xf numFmtId="179" fontId="26" fillId="2" borderId="1" xfId="2" applyNumberFormat="1" applyFont="1" applyFill="1" applyBorder="1" applyAlignment="1">
      <alignment vertical="center"/>
    </xf>
    <xf numFmtId="179" fontId="31" fillId="2" borderId="1" xfId="2" applyNumberFormat="1" applyFont="1" applyFill="1" applyBorder="1" applyAlignment="1">
      <alignment vertical="center"/>
    </xf>
    <xf numFmtId="183" fontId="30" fillId="6" borderId="1" xfId="2" applyNumberFormat="1" applyFont="1" applyFill="1" applyBorder="1" applyAlignment="1">
      <alignment vertical="center"/>
    </xf>
    <xf numFmtId="0" fontId="9" fillId="11" borderId="0" xfId="0" applyFont="1" applyFill="1">
      <alignment vertical="center"/>
    </xf>
    <xf numFmtId="177" fontId="26" fillId="11" borderId="2" xfId="2" applyNumberFormat="1" applyFont="1" applyFill="1" applyBorder="1" applyAlignment="1">
      <alignment vertical="center"/>
    </xf>
    <xf numFmtId="177" fontId="30" fillId="11" borderId="1" xfId="2" applyNumberFormat="1" applyFont="1" applyFill="1" applyBorder="1" applyAlignment="1">
      <alignment vertical="center"/>
    </xf>
    <xf numFmtId="9" fontId="68" fillId="2" borderId="1" xfId="1" applyFont="1" applyFill="1" applyBorder="1" applyAlignment="1">
      <alignment vertical="center"/>
    </xf>
    <xf numFmtId="9" fontId="47" fillId="2" borderId="1" xfId="1" applyNumberFormat="1" applyFont="1" applyFill="1" applyBorder="1">
      <alignment vertical="center"/>
    </xf>
    <xf numFmtId="2" fontId="50" fillId="6" borderId="1" xfId="2" applyNumberFormat="1" applyFont="1" applyFill="1" applyBorder="1" applyAlignment="1">
      <alignment vertical="center"/>
    </xf>
    <xf numFmtId="0" fontId="9" fillId="0" borderId="0" xfId="0" applyFont="1" applyFill="1">
      <alignment vertical="center"/>
    </xf>
    <xf numFmtId="43" fontId="67" fillId="0" borderId="0" xfId="0" applyNumberFormat="1" applyFont="1" applyFill="1" applyAlignment="1">
      <alignment horizontal="center"/>
    </xf>
    <xf numFmtId="176" fontId="29" fillId="2" borderId="1" xfId="2" applyNumberFormat="1" applyFont="1" applyFill="1" applyBorder="1" applyAlignment="1">
      <alignment vertical="center"/>
    </xf>
    <xf numFmtId="9" fontId="36" fillId="0" borderId="1" xfId="1" applyFont="1" applyFill="1" applyBorder="1" applyAlignment="1">
      <alignment horizontal="right" vertical="center"/>
    </xf>
    <xf numFmtId="9" fontId="36" fillId="0" borderId="10" xfId="1" applyFont="1" applyFill="1" applyBorder="1" applyAlignment="1">
      <alignment horizontal="right" vertical="center"/>
    </xf>
    <xf numFmtId="9" fontId="36" fillId="12" borderId="0" xfId="1" applyFont="1" applyFill="1" applyBorder="1" applyAlignment="1">
      <alignment horizontal="right" vertical="center"/>
    </xf>
    <xf numFmtId="0" fontId="51" fillId="2" borderId="0" xfId="0" applyFont="1" applyFill="1" applyAlignment="1"/>
    <xf numFmtId="0" fontId="70" fillId="3" borderId="0" xfId="0" applyFont="1" applyFill="1">
      <alignment vertical="center"/>
    </xf>
    <xf numFmtId="0" fontId="71" fillId="3" borderId="0" xfId="0" applyFont="1" applyFill="1">
      <alignment vertical="center"/>
    </xf>
    <xf numFmtId="0" fontId="38" fillId="0" borderId="0" xfId="0" applyFont="1">
      <alignment vertical="center"/>
    </xf>
    <xf numFmtId="0" fontId="40" fillId="0" borderId="0" xfId="0" applyFont="1">
      <alignment vertical="center"/>
    </xf>
    <xf numFmtId="0" fontId="41" fillId="0" borderId="15" xfId="0" applyFont="1" applyBorder="1">
      <alignment vertical="center"/>
    </xf>
    <xf numFmtId="0" fontId="38" fillId="0" borderId="15" xfId="0" applyFont="1" applyBorder="1">
      <alignment vertical="center"/>
    </xf>
    <xf numFmtId="0" fontId="72" fillId="0" borderId="0" xfId="0" applyFont="1">
      <alignment vertical="center"/>
    </xf>
    <xf numFmtId="0" fontId="73" fillId="0" borderId="43" xfId="0" applyFont="1" applyBorder="1">
      <alignment vertical="center"/>
    </xf>
    <xf numFmtId="0" fontId="27" fillId="0" borderId="26" xfId="0" applyFont="1" applyBorder="1">
      <alignment vertical="center"/>
    </xf>
    <xf numFmtId="0" fontId="27" fillId="0" borderId="27" xfId="0" applyFont="1" applyBorder="1">
      <alignment vertical="center"/>
    </xf>
    <xf numFmtId="0" fontId="39" fillId="0" borderId="2" xfId="0" applyFont="1" applyBorder="1" applyAlignment="1">
      <alignment horizontal="center" vertical="center" wrapText="1"/>
    </xf>
    <xf numFmtId="0" fontId="39" fillId="0" borderId="36" xfId="0" applyFont="1" applyBorder="1" applyAlignment="1">
      <alignment horizontal="center" vertical="center" wrapText="1"/>
    </xf>
    <xf numFmtId="0" fontId="39" fillId="0" borderId="1" xfId="0" applyFont="1" applyBorder="1" applyAlignment="1">
      <alignment horizontal="center" vertical="center" wrapText="1"/>
    </xf>
    <xf numFmtId="0" fontId="39" fillId="0" borderId="41" xfId="0" applyFont="1" applyBorder="1" applyAlignment="1">
      <alignment horizontal="center" vertical="center" wrapText="1"/>
    </xf>
    <xf numFmtId="0" fontId="27" fillId="0" borderId="0" xfId="0" applyFont="1" applyAlignment="1">
      <alignment horizontal="center" vertical="center" wrapText="1"/>
    </xf>
    <xf numFmtId="0" fontId="27" fillId="0" borderId="2" xfId="0" applyFont="1" applyBorder="1" applyAlignment="1">
      <alignment horizontal="center" vertical="center"/>
    </xf>
    <xf numFmtId="0" fontId="69" fillId="0" borderId="37" xfId="0" applyFont="1" applyBorder="1" applyAlignment="1">
      <alignment horizontal="center" vertical="center" wrapText="1" readingOrder="1"/>
    </xf>
    <xf numFmtId="4" fontId="74" fillId="0" borderId="1" xfId="0" applyNumberFormat="1" applyFont="1" applyBorder="1" applyAlignment="1">
      <alignment horizontal="center" vertical="center" wrapText="1" readingOrder="1"/>
    </xf>
    <xf numFmtId="9" fontId="37" fillId="0" borderId="41" xfId="1" applyFont="1" applyFill="1" applyBorder="1" applyAlignment="1">
      <alignment horizontal="right" vertical="center"/>
    </xf>
    <xf numFmtId="1" fontId="37" fillId="0" borderId="41" xfId="0" applyNumberFormat="1" applyFont="1" applyBorder="1" applyAlignment="1">
      <alignment horizontal="right" vertical="center"/>
    </xf>
    <xf numFmtId="9" fontId="28" fillId="0" borderId="41" xfId="1" applyFont="1" applyFill="1" applyBorder="1" applyAlignment="1">
      <alignment horizontal="right" vertical="center"/>
    </xf>
    <xf numFmtId="4" fontId="69" fillId="0" borderId="1" xfId="0" applyNumberFormat="1" applyFont="1" applyBorder="1" applyAlignment="1">
      <alignment horizontal="center" vertical="center" wrapText="1" readingOrder="1"/>
    </xf>
    <xf numFmtId="0" fontId="27" fillId="0" borderId="9" xfId="0" applyFont="1" applyBorder="1" applyAlignment="1">
      <alignment horizontal="center" vertical="center"/>
    </xf>
    <xf numFmtId="0" fontId="69" fillId="0" borderId="38" xfId="0" applyFont="1" applyBorder="1" applyAlignment="1">
      <alignment horizontal="center" vertical="center" wrapText="1" readingOrder="1"/>
    </xf>
    <xf numFmtId="9" fontId="28" fillId="0" borderId="42" xfId="1" applyFont="1" applyFill="1" applyBorder="1" applyAlignment="1">
      <alignment horizontal="right" vertical="center"/>
    </xf>
    <xf numFmtId="1" fontId="37" fillId="0" borderId="42" xfId="0" applyNumberFormat="1" applyFont="1" applyBorder="1" applyAlignment="1">
      <alignment horizontal="right" vertical="center"/>
    </xf>
    <xf numFmtId="0" fontId="69" fillId="0" borderId="39" xfId="0" applyFont="1" applyBorder="1" applyAlignment="1">
      <alignment horizontal="center" vertical="center" wrapText="1" readingOrder="1"/>
    </xf>
    <xf numFmtId="0" fontId="69" fillId="0" borderId="40" xfId="0" applyFont="1" applyBorder="1" applyAlignment="1">
      <alignment horizontal="center" vertical="center" wrapText="1" readingOrder="1"/>
    </xf>
    <xf numFmtId="0" fontId="27" fillId="12" borderId="44" xfId="0" applyFont="1" applyFill="1" applyBorder="1" applyAlignment="1">
      <alignment horizontal="center" vertical="center"/>
    </xf>
    <xf numFmtId="0" fontId="69" fillId="12" borderId="28" xfId="0" applyFont="1" applyFill="1" applyBorder="1" applyAlignment="1">
      <alignment horizontal="center" vertical="center" wrapText="1" readingOrder="1"/>
    </xf>
    <xf numFmtId="0" fontId="69" fillId="12" borderId="28" xfId="0" applyFont="1" applyFill="1" applyBorder="1" applyAlignment="1">
      <alignment horizontal="left" vertical="center" wrapText="1" readingOrder="1"/>
    </xf>
    <xf numFmtId="0" fontId="69" fillId="12" borderId="29" xfId="0" applyFont="1" applyFill="1" applyBorder="1" applyAlignment="1">
      <alignment horizontal="left" vertical="center" wrapText="1" readingOrder="1"/>
    </xf>
    <xf numFmtId="4" fontId="75" fillId="0" borderId="1" xfId="0" applyNumberFormat="1" applyFont="1" applyBorder="1" applyAlignment="1">
      <alignment horizontal="center" vertical="center" wrapText="1" readingOrder="1"/>
    </xf>
    <xf numFmtId="1" fontId="74" fillId="0" borderId="41" xfId="0" applyNumberFormat="1" applyFont="1" applyBorder="1" applyAlignment="1">
      <alignment horizontal="right" vertical="center"/>
    </xf>
    <xf numFmtId="0" fontId="76" fillId="0" borderId="45" xfId="0" applyFont="1" applyBorder="1">
      <alignment vertical="center"/>
    </xf>
    <xf numFmtId="0" fontId="27" fillId="0" borderId="24" xfId="0" applyFont="1" applyBorder="1">
      <alignment vertical="center"/>
    </xf>
    <xf numFmtId="0" fontId="39" fillId="0" borderId="0" xfId="0" applyFont="1" applyAlignment="1">
      <alignment horizontal="left" vertical="center" wrapText="1"/>
    </xf>
    <xf numFmtId="0" fontId="39" fillId="0" borderId="26" xfId="0" applyFont="1" applyBorder="1" applyAlignment="1">
      <alignment vertical="center" wrapText="1"/>
    </xf>
    <xf numFmtId="0" fontId="39" fillId="0" borderId="27" xfId="0" applyFont="1" applyBorder="1" applyAlignment="1">
      <alignment vertical="center" wrapText="1"/>
    </xf>
    <xf numFmtId="0" fontId="39" fillId="0" borderId="2" xfId="0" applyFont="1" applyBorder="1" applyAlignment="1">
      <alignment horizontal="center" vertical="center"/>
    </xf>
    <xf numFmtId="0" fontId="39" fillId="0" borderId="36" xfId="0" applyFont="1" applyBorder="1" applyAlignment="1">
      <alignment horizontal="center" vertical="center"/>
    </xf>
    <xf numFmtId="0" fontId="39" fillId="0" borderId="1" xfId="0" applyFont="1" applyBorder="1" applyAlignment="1">
      <alignment horizontal="center" vertical="center"/>
    </xf>
    <xf numFmtId="1" fontId="37" fillId="0" borderId="1" xfId="0" applyNumberFormat="1" applyFont="1" applyBorder="1" applyAlignment="1">
      <alignment horizontal="right" vertical="center"/>
    </xf>
    <xf numFmtId="179" fontId="36" fillId="0" borderId="1" xfId="1" applyNumberFormat="1" applyFont="1" applyFill="1" applyBorder="1" applyAlignment="1">
      <alignment horizontal="right" vertical="center"/>
    </xf>
    <xf numFmtId="1" fontId="37" fillId="0" borderId="10" xfId="0" applyNumberFormat="1" applyFont="1" applyBorder="1" applyAlignment="1">
      <alignment horizontal="right" vertical="center"/>
    </xf>
    <xf numFmtId="0" fontId="27" fillId="12" borderId="46" xfId="0" applyFont="1" applyFill="1" applyBorder="1" applyAlignment="1">
      <alignment horizontal="center" vertical="center"/>
    </xf>
    <xf numFmtId="0" fontId="69" fillId="12" borderId="0" xfId="0" applyFont="1" applyFill="1" applyAlignment="1">
      <alignment horizontal="center" vertical="center" wrapText="1" readingOrder="1"/>
    </xf>
    <xf numFmtId="179" fontId="36" fillId="12" borderId="0" xfId="1" applyNumberFormat="1" applyFont="1" applyFill="1" applyBorder="1" applyAlignment="1">
      <alignment horizontal="right" vertical="center"/>
    </xf>
    <xf numFmtId="0" fontId="27" fillId="12" borderId="0" xfId="0" applyFont="1" applyFill="1" applyAlignment="1">
      <alignment horizontal="right" vertical="center" wrapText="1"/>
    </xf>
    <xf numFmtId="0" fontId="27" fillId="12" borderId="0" xfId="0" applyFont="1" applyFill="1" applyAlignment="1">
      <alignment horizontal="left" vertical="center" wrapText="1"/>
    </xf>
    <xf numFmtId="0" fontId="27" fillId="12" borderId="23" xfId="0" applyFont="1" applyFill="1" applyBorder="1" applyAlignment="1">
      <alignment horizontal="left" vertical="center" wrapText="1"/>
    </xf>
    <xf numFmtId="0" fontId="27" fillId="0" borderId="25" xfId="0" applyFont="1" applyBorder="1">
      <alignment vertical="center"/>
    </xf>
    <xf numFmtId="0" fontId="77" fillId="0" borderId="0" xfId="0" applyFont="1">
      <alignment vertical="center"/>
    </xf>
    <xf numFmtId="0" fontId="78" fillId="0" borderId="0" xfId="0" applyFont="1">
      <alignment vertical="center"/>
    </xf>
    <xf numFmtId="9" fontId="27" fillId="0" borderId="0" xfId="1" applyFont="1">
      <alignment vertical="center"/>
    </xf>
    <xf numFmtId="49" fontId="27" fillId="0" borderId="0" xfId="1" applyNumberFormat="1" applyFont="1">
      <alignment vertical="center"/>
    </xf>
    <xf numFmtId="14" fontId="27" fillId="0" borderId="0" xfId="0" applyNumberFormat="1" applyFont="1">
      <alignment vertical="center"/>
    </xf>
    <xf numFmtId="0" fontId="27" fillId="0" borderId="0" xfId="0" applyFont="1" applyAlignment="1">
      <alignment horizontal="center" vertical="center"/>
    </xf>
    <xf numFmtId="0" fontId="80" fillId="0" borderId="0" xfId="0" applyFont="1">
      <alignment vertical="center"/>
    </xf>
    <xf numFmtId="0" fontId="27" fillId="0" borderId="47" xfId="0" applyFont="1" applyBorder="1" applyAlignment="1">
      <alignment horizontal="center" vertical="center"/>
    </xf>
    <xf numFmtId="9" fontId="27" fillId="0" borderId="47" xfId="1" applyFont="1" applyBorder="1" applyAlignment="1">
      <alignment horizontal="center" vertical="center"/>
    </xf>
    <xf numFmtId="49" fontId="27" fillId="0" borderId="47" xfId="1" applyNumberFormat="1" applyFont="1" applyBorder="1" applyAlignment="1">
      <alignment horizontal="center" vertical="center"/>
    </xf>
    <xf numFmtId="0" fontId="39" fillId="0" borderId="47" xfId="0" applyFont="1" applyBorder="1" applyAlignment="1">
      <alignment horizontal="center" vertical="center"/>
    </xf>
    <xf numFmtId="0" fontId="82" fillId="0" borderId="0" xfId="0" applyFont="1">
      <alignment vertical="center"/>
    </xf>
    <xf numFmtId="49" fontId="77" fillId="0" borderId="0" xfId="0" applyNumberFormat="1" applyFont="1">
      <alignment vertical="center"/>
    </xf>
    <xf numFmtId="0" fontId="83" fillId="0" borderId="47" xfId="0" applyFont="1" applyBorder="1" applyAlignment="1">
      <alignment horizontal="center" vertical="center"/>
    </xf>
    <xf numFmtId="9" fontId="83" fillId="0" borderId="47" xfId="0" applyNumberFormat="1" applyFont="1" applyBorder="1" applyAlignment="1">
      <alignment horizontal="center" vertical="center"/>
    </xf>
    <xf numFmtId="0" fontId="83" fillId="0" borderId="47" xfId="0" applyFont="1" applyBorder="1" applyAlignment="1">
      <alignment horizontal="center" vertical="center" wrapText="1"/>
    </xf>
    <xf numFmtId="14" fontId="27" fillId="0" borderId="47" xfId="0" applyNumberFormat="1" applyFont="1" applyBorder="1" applyAlignment="1">
      <alignment horizontal="center" vertical="center" wrapText="1"/>
    </xf>
    <xf numFmtId="0" fontId="83" fillId="0" borderId="47" xfId="0" applyFont="1" applyBorder="1" applyAlignment="1">
      <alignment vertical="center" wrapText="1"/>
    </xf>
    <xf numFmtId="14" fontId="27" fillId="0" borderId="47" xfId="0" applyNumberFormat="1" applyFont="1" applyBorder="1" applyAlignment="1">
      <alignment vertical="center" wrapText="1"/>
    </xf>
    <xf numFmtId="184" fontId="83" fillId="0" borderId="47" xfId="0" applyNumberFormat="1" applyFont="1" applyBorder="1" applyAlignment="1">
      <alignment horizontal="center" vertical="center" wrapText="1"/>
    </xf>
    <xf numFmtId="49" fontId="27" fillId="0" borderId="47" xfId="1" applyNumberFormat="1" applyFont="1" applyBorder="1" applyAlignment="1">
      <alignment horizontal="center" vertical="center" wrapText="1"/>
    </xf>
    <xf numFmtId="184" fontId="27" fillId="0" borderId="47" xfId="0" applyNumberFormat="1" applyFont="1" applyBorder="1" applyAlignment="1">
      <alignment horizontal="center" vertical="center" wrapText="1"/>
    </xf>
    <xf numFmtId="0" fontId="27" fillId="0" borderId="47" xfId="0" applyFont="1" applyBorder="1" applyAlignment="1">
      <alignment vertical="center" wrapText="1"/>
    </xf>
    <xf numFmtId="0" fontId="83" fillId="0" borderId="47" xfId="0" applyFont="1" applyBorder="1" applyAlignment="1">
      <alignment horizontal="left" vertical="center" wrapText="1"/>
    </xf>
    <xf numFmtId="0" fontId="27" fillId="0" borderId="47" xfId="0" applyFont="1" applyBorder="1" applyAlignment="1">
      <alignment horizontal="left" vertical="center" wrapText="1"/>
    </xf>
    <xf numFmtId="0" fontId="27" fillId="0" borderId="47" xfId="0" applyFont="1" applyBorder="1" applyAlignment="1">
      <alignment horizontal="center" vertical="center" wrapText="1"/>
    </xf>
    <xf numFmtId="0" fontId="84" fillId="0" borderId="0" xfId="70" applyFont="1" applyAlignment="1">
      <alignment horizontal="left" vertical="center"/>
    </xf>
    <xf numFmtId="0" fontId="84" fillId="0" borderId="0" xfId="70" applyFont="1" applyAlignment="1">
      <alignment horizontal="center" vertical="center"/>
    </xf>
    <xf numFmtId="0" fontId="84" fillId="0" borderId="0" xfId="70" applyFont="1">
      <alignment vertical="center"/>
    </xf>
    <xf numFmtId="0" fontId="70" fillId="13" borderId="0" xfId="0" applyFont="1" applyFill="1">
      <alignment vertical="center"/>
    </xf>
    <xf numFmtId="0" fontId="71" fillId="13" borderId="0" xfId="0" applyFont="1" applyFill="1">
      <alignment vertical="center"/>
    </xf>
    <xf numFmtId="181" fontId="28" fillId="0" borderId="1" xfId="0" applyNumberFormat="1" applyFont="1" applyBorder="1">
      <alignment vertical="center"/>
    </xf>
    <xf numFmtId="43" fontId="9" fillId="6" borderId="1" xfId="0" applyNumberFormat="1" applyFont="1" applyFill="1" applyBorder="1">
      <alignment vertical="center"/>
    </xf>
    <xf numFmtId="43" fontId="15" fillId="6" borderId="1" xfId="0" applyNumberFormat="1" applyFont="1" applyFill="1" applyBorder="1">
      <alignment vertical="center"/>
    </xf>
    <xf numFmtId="9" fontId="77" fillId="0" borderId="1" xfId="1" applyFont="1" applyBorder="1">
      <alignment vertical="center"/>
    </xf>
    <xf numFmtId="9" fontId="81" fillId="0" borderId="1" xfId="1" applyFont="1" applyBorder="1">
      <alignment vertical="center"/>
    </xf>
    <xf numFmtId="0" fontId="78" fillId="0" borderId="1" xfId="0" applyFont="1" applyBorder="1">
      <alignment vertical="center"/>
    </xf>
    <xf numFmtId="180" fontId="85" fillId="0" borderId="1" xfId="0" applyNumberFormat="1" applyFont="1" applyBorder="1">
      <alignment vertical="center"/>
    </xf>
    <xf numFmtId="176" fontId="10" fillId="14" borderId="1" xfId="2" applyNumberFormat="1" applyFont="1" applyFill="1" applyBorder="1" applyAlignment="1">
      <alignment vertical="center"/>
    </xf>
    <xf numFmtId="176" fontId="32" fillId="14" borderId="1" xfId="2" applyNumberFormat="1" applyFont="1" applyFill="1" applyBorder="1" applyAlignment="1">
      <alignment vertical="center"/>
    </xf>
    <xf numFmtId="176" fontId="10" fillId="14" borderId="10" xfId="2" applyNumberFormat="1" applyFont="1" applyFill="1" applyBorder="1" applyAlignment="1">
      <alignment vertical="center"/>
    </xf>
    <xf numFmtId="176" fontId="32" fillId="14" borderId="13" xfId="2" applyNumberFormat="1" applyFont="1" applyFill="1" applyBorder="1" applyAlignment="1">
      <alignment vertical="center"/>
    </xf>
    <xf numFmtId="0" fontId="51" fillId="2" borderId="0" xfId="0" applyFont="1" applyFill="1">
      <alignment vertical="center"/>
    </xf>
    <xf numFmtId="176" fontId="38" fillId="2" borderId="0" xfId="40" applyNumberFormat="1" applyFont="1" applyFill="1" applyAlignment="1">
      <alignment horizontal="left" vertical="center" wrapText="1"/>
    </xf>
    <xf numFmtId="176" fontId="38" fillId="2" borderId="15" xfId="40" applyNumberFormat="1" applyFont="1" applyFill="1" applyBorder="1" applyAlignment="1">
      <alignment horizontal="left" vertical="center" wrapText="1"/>
    </xf>
    <xf numFmtId="0" fontId="54" fillId="7" borderId="30" xfId="3" applyFont="1" applyFill="1" applyBorder="1" applyAlignment="1">
      <alignment horizontal="center" vertical="center"/>
    </xf>
    <xf numFmtId="0" fontId="54" fillId="7" borderId="32" xfId="3" applyFont="1" applyFill="1" applyBorder="1" applyAlignment="1">
      <alignment horizontal="center" vertical="center"/>
    </xf>
    <xf numFmtId="0" fontId="59" fillId="2" borderId="32" xfId="3" applyFont="1" applyFill="1" applyBorder="1" applyAlignment="1">
      <alignment horizontal="center" vertical="center"/>
    </xf>
    <xf numFmtId="0" fontId="59" fillId="2" borderId="34" xfId="3" applyFont="1" applyFill="1" applyBorder="1" applyAlignment="1">
      <alignment horizontal="center" vertical="center"/>
    </xf>
    <xf numFmtId="0" fontId="59" fillId="2" borderId="35" xfId="3" applyFont="1" applyFill="1" applyBorder="1" applyAlignment="1">
      <alignment horizontal="center" vertical="center"/>
    </xf>
    <xf numFmtId="0" fontId="60" fillId="2" borderId="32" xfId="3" applyFont="1" applyFill="1" applyBorder="1" applyAlignment="1">
      <alignment horizontal="center" vertical="center"/>
    </xf>
    <xf numFmtId="0" fontId="60" fillId="2" borderId="34" xfId="3" applyFont="1" applyFill="1" applyBorder="1" applyAlignment="1">
      <alignment horizontal="center" vertical="center"/>
    </xf>
    <xf numFmtId="0" fontId="60" fillId="2" borderId="35" xfId="3" applyFont="1" applyFill="1" applyBorder="1" applyAlignment="1">
      <alignment horizontal="center" vertical="center"/>
    </xf>
    <xf numFmtId="0" fontId="27" fillId="0" borderId="36" xfId="0" applyFont="1" applyBorder="1" applyAlignment="1">
      <alignment horizontal="center" vertical="center" wrapText="1"/>
    </xf>
    <xf numFmtId="0" fontId="27" fillId="0" borderId="41" xfId="0" applyFont="1" applyBorder="1" applyAlignment="1">
      <alignment horizontal="center" vertical="center" wrapText="1"/>
    </xf>
    <xf numFmtId="0" fontId="39" fillId="0" borderId="1" xfId="0" applyFont="1" applyBorder="1" applyAlignment="1">
      <alignment horizontal="left" vertical="center" wrapText="1"/>
    </xf>
    <xf numFmtId="0" fontId="39" fillId="0" borderId="3" xfId="0" applyFont="1" applyBorder="1" applyAlignment="1">
      <alignment horizontal="left" vertical="center" wrapText="1"/>
    </xf>
    <xf numFmtId="0" fontId="39" fillId="0" borderId="24" xfId="0" applyFont="1" applyBorder="1" applyAlignment="1">
      <alignment horizontal="left" vertical="center" wrapText="1"/>
    </xf>
    <xf numFmtId="0" fontId="39" fillId="0" borderId="25" xfId="0" applyFont="1" applyBorder="1" applyAlignment="1">
      <alignment horizontal="left" vertical="center" wrapText="1"/>
    </xf>
    <xf numFmtId="0" fontId="39" fillId="0" borderId="0" xfId="0" applyFont="1" applyAlignment="1">
      <alignment horizontal="left" vertical="center" wrapText="1"/>
    </xf>
    <xf numFmtId="0" fontId="38" fillId="0" borderId="36" xfId="0" applyFont="1" applyBorder="1" applyAlignment="1">
      <alignment horizontal="center" vertical="center"/>
    </xf>
    <xf numFmtId="0" fontId="38" fillId="0" borderId="41" xfId="0" applyFont="1" applyBorder="1" applyAlignment="1">
      <alignment horizontal="center" vertical="center"/>
    </xf>
    <xf numFmtId="0" fontId="39" fillId="0" borderId="1" xfId="0" applyFont="1" applyBorder="1" applyAlignment="1">
      <alignment horizontal="center" vertical="center" wrapText="1"/>
    </xf>
    <xf numFmtId="0" fontId="39" fillId="0" borderId="3" xfId="0" applyFont="1" applyBorder="1" applyAlignment="1">
      <alignment horizontal="center" vertical="center" wrapText="1"/>
    </xf>
  </cellXfs>
  <cellStyles count="71">
    <cellStyle name="Normal 10" xfId="37" xr:uid="{FBE85472-DD01-47F6-880D-70E7DE4CF393}"/>
    <cellStyle name="Normal 2 2" xfId="30" xr:uid="{22D122C0-10A2-463A-AF17-6D73F7C0695D}"/>
    <cellStyle name="Normal 4" xfId="24" xr:uid="{EF833E26-4716-4F76-969B-45C10A7845B4}"/>
    <cellStyle name="Normal_RE targets on Final FX" xfId="31" xr:uid="{0412CF30-E788-46FF-96A3-7CF95C30E716}"/>
    <cellStyle name="Notes" xfId="39" xr:uid="{916DF955-5BE0-4B1D-86E8-CAD76A3D0F70}"/>
    <cellStyle name="Percent 3" xfId="33" xr:uid="{E5537005-3D44-4DC0-88C6-447678714C5C}"/>
    <cellStyle name="Table Header" xfId="34" xr:uid="{68CFD010-7F03-44A9-97CA-E4F1D33D3AE5}"/>
    <cellStyle name="Table Header 2" xfId="35" xr:uid="{E457660C-7E81-4A4B-BB5F-25BE18D3D1C1}"/>
    <cellStyle name="Table Header 3" xfId="36" xr:uid="{562C998C-FE09-4DC6-9F74-42ED8E558596}"/>
    <cellStyle name="Total_Column 2 2 2" xfId="38" xr:uid="{27884162-AA32-4943-A21D-62A9CAD30370}"/>
    <cellStyle name="百分比" xfId="1" builtinId="5"/>
    <cellStyle name="百分比 2" xfId="10" xr:uid="{2DF4CF7E-97A5-466E-BC0B-A5BE576FAD47}"/>
    <cellStyle name="百分比 2 2" xfId="28" xr:uid="{D44D4248-0B95-40B2-855B-A76C5C68F780}"/>
    <cellStyle name="百分比 3" xfId="29" xr:uid="{406E9674-68F2-40B6-880E-4E6C957C9C33}"/>
    <cellStyle name="百分比 4" xfId="32" xr:uid="{9EF68807-F064-45E0-95CD-769D696BED47}"/>
    <cellStyle name="百分比 4 2" xfId="66" xr:uid="{F133BAEC-D1EC-431A-BD54-2563F6AD46F0}"/>
    <cellStyle name="百分比 5" xfId="13" xr:uid="{C97511F9-0A49-402E-A4B3-F089943A8721}"/>
    <cellStyle name="百分比 6" xfId="49" xr:uid="{15D35F6C-EAE5-417C-B061-11129A3659BB}"/>
    <cellStyle name="常规" xfId="0" builtinId="0"/>
    <cellStyle name="常规 10" xfId="48" xr:uid="{263DDA1E-1399-4969-A04B-0EFC5186914B}"/>
    <cellStyle name="常规 2" xfId="8" xr:uid="{4CAEE4DC-7872-45F7-89B4-936C1D27B4A3}"/>
    <cellStyle name="常规 2 2" xfId="22" xr:uid="{F9EE4724-60D4-416B-BB09-F7996C3A2EAA}"/>
    <cellStyle name="常规 2 2 2" xfId="42" xr:uid="{3045F8D9-3FF6-4CAE-8DD4-229630B0BCBD}"/>
    <cellStyle name="常规 2 2 2 2" xfId="69" xr:uid="{034BEF43-3DDA-4AD5-805D-477D19D3139C}"/>
    <cellStyle name="常规 2 2 3" xfId="63" xr:uid="{C3A42990-2016-4FC6-88CA-F224B83569E8}"/>
    <cellStyle name="常规 2 3" xfId="17" xr:uid="{FE69D240-0FE3-4A60-AC97-FD35ABDC894C}"/>
    <cellStyle name="常规 3" xfId="4" xr:uid="{34F5E7E0-7116-4330-81DE-25DAC1FBB703}"/>
    <cellStyle name="常规 4" xfId="18" xr:uid="{EAEEB1DD-70A7-47E6-BD80-9E629B8EA519}"/>
    <cellStyle name="常规 4 2" xfId="3" xr:uid="{089E080A-EBEA-4CD9-84BE-675C35802263}"/>
    <cellStyle name="常规 4 3" xfId="27" xr:uid="{BBAFCA75-2251-407D-987F-3A3CE33F7340}"/>
    <cellStyle name="常规 4 4" xfId="59" xr:uid="{09D1E909-3351-42CB-93E7-60A9B7F63C3F}"/>
    <cellStyle name="常规 5" xfId="19" xr:uid="{11120A89-93DD-4AE9-8C8E-76C5D7C333C1}"/>
    <cellStyle name="常规 5 2" xfId="60" xr:uid="{7A7D37FF-22AE-4D16-B8BE-CCFE4512F3AE}"/>
    <cellStyle name="常规 6" xfId="15" xr:uid="{4E6893DD-CE52-4611-92C7-8D300850B936}"/>
    <cellStyle name="常规 7" xfId="26" xr:uid="{4C042BE8-D520-44F3-B0F6-774456209554}"/>
    <cellStyle name="常规 8" xfId="12" xr:uid="{1818A43B-AB85-4B12-9D45-EBC23D372AAA}"/>
    <cellStyle name="常规 8 2" xfId="56" xr:uid="{8AE95EFD-368D-4863-A3BD-41252924B6E9}"/>
    <cellStyle name="常规 9" xfId="41" xr:uid="{8859C1B1-C586-4959-A880-00B4C14A4F1A}"/>
    <cellStyle name="常规 9 2" xfId="68" xr:uid="{8989961F-95A1-42A9-9E5C-0F981C9209A2}"/>
    <cellStyle name="超链接" xfId="70" builtinId="8"/>
    <cellStyle name="货币 2" xfId="9" xr:uid="{D4D14C9C-7A2F-4D3A-9439-85840E07F728}"/>
    <cellStyle name="货币 2 2" xfId="25" xr:uid="{7B255F8E-4578-4A81-9247-EA1B11B81FDC}"/>
    <cellStyle name="货币 2 2 2" xfId="65" xr:uid="{AB803460-2BAA-4273-9690-A392F636A19F}"/>
    <cellStyle name="货币 2 3" xfId="54" xr:uid="{0A2C9814-0448-46AE-99C8-BA982E154C04}"/>
    <cellStyle name="货币 3" xfId="14" xr:uid="{97CA9097-0360-4194-9F1A-4C57C36A5B9C}"/>
    <cellStyle name="货币 3 2" xfId="57" xr:uid="{BE32A7AC-D26D-4501-BDFC-61B0AB12AA91}"/>
    <cellStyle name="千位分隔 2" xfId="2" xr:uid="{8124DFC8-C694-44AC-8747-E7484FA9653C}"/>
    <cellStyle name="千位分隔 2 2" xfId="11" xr:uid="{1D8C40A5-2A24-4368-8B61-48F2C7E11989}"/>
    <cellStyle name="千位分隔 2 2 2" xfId="55" xr:uid="{2AE26A3E-20E4-4677-9495-62256267A403}"/>
    <cellStyle name="千位分隔 2 2 3" xfId="44" xr:uid="{298BE760-2533-40C2-9778-EF3E6B90A70A}"/>
    <cellStyle name="千位分隔 2 3" xfId="5" xr:uid="{7D94F42B-E933-4033-9C95-32CDC5C12366}"/>
    <cellStyle name="千位分隔 2 3 2" xfId="51" xr:uid="{766E5792-E1B1-4D56-98E1-88800956687D}"/>
    <cellStyle name="千位分隔 2 4" xfId="16" xr:uid="{7CCD9D8F-EC19-4E2D-B5E0-30C79FCDE254}"/>
    <cellStyle name="千位分隔 2 4 2" xfId="58" xr:uid="{79D77543-68CF-4269-B15B-64729E978D52}"/>
    <cellStyle name="千位分隔 2 5" xfId="46" xr:uid="{AC95AFF8-248E-424A-93C4-77978E9676B4}"/>
    <cellStyle name="千位分隔 2 6" xfId="45" xr:uid="{40D25F95-B1D2-4C42-85E9-1902BFCA784B}"/>
    <cellStyle name="千位分隔 2 7" xfId="47" xr:uid="{D0940F3D-5F94-4B70-9A73-BE111EAAE0A9}"/>
    <cellStyle name="千位分隔 2 8" xfId="50" xr:uid="{40B86B20-3F8C-4F3C-A354-147D88F8445C}"/>
    <cellStyle name="千位分隔 2 9" xfId="43" xr:uid="{6C55AD2E-0884-4ED3-BFB2-818D6B068F02}"/>
    <cellStyle name="千位分隔 3" xfId="6" xr:uid="{1DEAD096-B0E7-4F13-AEB4-0ADAA027526B}"/>
    <cellStyle name="千位分隔 3 2" xfId="20" xr:uid="{9634DAE2-DF67-4430-AFC0-33B91115C2FA}"/>
    <cellStyle name="千位分隔 3 2 2" xfId="61" xr:uid="{31766B79-DA12-4E00-902E-E78522891B6E}"/>
    <cellStyle name="千位分隔 3 3" xfId="52" xr:uid="{2CF46BC9-F8EF-4933-BB26-C78DCF693486}"/>
    <cellStyle name="千位分隔 4" xfId="7" xr:uid="{3DB5A9B4-117A-4372-AAB0-00954252BD09}"/>
    <cellStyle name="千位分隔 4 2" xfId="23" xr:uid="{1EB02239-70B5-4720-8A04-4327535D0434}"/>
    <cellStyle name="千位分隔 4 2 2" xfId="64" xr:uid="{B7F99B64-352B-4C46-B1D7-F5733823FC86}"/>
    <cellStyle name="千位分隔 4 3" xfId="53" xr:uid="{41C50717-65A7-458B-8E99-9FE05366042F}"/>
    <cellStyle name="千位分隔 5" xfId="40" xr:uid="{6E860DA6-D85E-43DC-9B0D-87840E05F6CE}"/>
    <cellStyle name="千位分隔 5 2" xfId="67" xr:uid="{B93D4D14-E107-4C67-86EC-9DB7C6825310}"/>
    <cellStyle name="千位分隔 6" xfId="21" xr:uid="{C6457DB6-CEFB-48F6-BD46-5FA6DE7FC8B3}"/>
    <cellStyle name="千位分隔 6 2" xfId="62" xr:uid="{B0D7CDD8-498D-4FFA-A520-FC483C4E8984}"/>
  </cellStyles>
  <dxfs count="0"/>
  <tableStyles count="0" defaultTableStyle="TableStyleMedium2" defaultPivotStyle="PivotStyleLight16"/>
  <colors>
    <mruColors>
      <color rgb="FF333399"/>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01_&#30005;&#21147;&#20135;&#19994;&#38142;&#25968;&#25454;&#34920;&#21450;&#27169;&#22411;&#27719;&#24635;_V6_2022050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boyan\Documents\WeChat%20Files\wxid_9bh0azpqxdlg12\FileStorage\File\2022-03\&#30005;&#21147;&#20135;&#19994;&#38142;&#25968;&#25454;&#34920;&#21450;&#27169;&#22411;&#27719;&#24635;_Final%20Draft_202203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5_&#29992;&#25143;&#20391;&#20648;&#33021;&#24066;&#22330;&#35268;&#27169;&#27979;&#31639;_v2.0_202206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0E_市场吸引力_Scoring"/>
      <sheetName val="21_市场吸引力_Scoring"/>
      <sheetName val="&gt;&gt;&gt;可再生电力产业链"/>
      <sheetName val="汇总_源、网、售"/>
      <sheetName val="汇总_荷"/>
      <sheetName val="汇总_储"/>
      <sheetName val="汇总_VPP"/>
      <sheetName val="测算_源"/>
      <sheetName val="测算_电网"/>
      <sheetName val="测算_微网、增量配网"/>
      <sheetName val="测算_辅助服务（含需求响应）"/>
      <sheetName val="测算_售"/>
      <sheetName val="源储"/>
      <sheetName val="网储"/>
      <sheetName val="用储"/>
      <sheetName val="测算_荷（电动出行）"/>
      <sheetName val="工业"/>
      <sheetName val="建筑"/>
      <sheetName val="&gt;&gt;&gt;储能盈利模型"/>
      <sheetName val="储能-IRR汇总总览"/>
      <sheetName val="表前-共享储能-山东（储能电站寿命13年）"/>
      <sheetName val="表前-共享储能-宁夏 (储能电站寿命13年)"/>
      <sheetName val="表前-共享储能-现货（价差=0.5；一充一放）"/>
      <sheetName val="表前-共享储能-现货（价差=0.5；一平一谷两峰）"/>
      <sheetName val="表前-共享储能-现货（价差=0.5；两谷两峰）"/>
      <sheetName val="表后-用户侧储能-Best"/>
      <sheetName val="表后-用户侧储能-Base"/>
      <sheetName val="&gt;&gt;&gt;电价预测"/>
      <sheetName val="现货电价-RMI"/>
      <sheetName val="峰谷价差"/>
      <sheetName val="现货价差"/>
      <sheetName val="&gt;&gt;&gt;附录"/>
      <sheetName val="国外储能装机情况"/>
      <sheetName val="锂电池-供需"/>
      <sheetName val="ERCOT-电价"/>
      <sheetName val="ERCOT-电价分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0">
          <cell r="C20">
            <v>21.79429</v>
          </cell>
        </row>
        <row r="23">
          <cell r="C23">
            <v>0.37101095999270184</v>
          </cell>
        </row>
        <row r="24">
          <cell r="C24">
            <v>0.29271874461061986</v>
          </cell>
        </row>
        <row r="25">
          <cell r="C25">
            <v>0.32694759241951332</v>
          </cell>
        </row>
      </sheetData>
      <sheetData sheetId="16">
        <row r="3">
          <cell r="D3">
            <v>32876.590200000006</v>
          </cell>
        </row>
        <row r="37">
          <cell r="D37">
            <v>7430.6404000000002</v>
          </cell>
        </row>
      </sheetData>
      <sheetData sheetId="17">
        <row r="6">
          <cell r="C6">
            <v>4700.4292800000003</v>
          </cell>
        </row>
        <row r="8">
          <cell r="C8">
            <v>136</v>
          </cell>
        </row>
        <row r="9">
          <cell r="C9">
            <v>8562.3804799999998</v>
          </cell>
        </row>
        <row r="11">
          <cell r="C11">
            <v>90.666666666666671</v>
          </cell>
        </row>
        <row r="13">
          <cell r="C13">
            <v>75214.391300000003</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汇总-源网售"/>
      <sheetName val="汇总-荷"/>
      <sheetName val="汇总-储"/>
      <sheetName val="源"/>
      <sheetName val="两网"/>
      <sheetName val="微+增"/>
      <sheetName val="辅+DR"/>
      <sheetName val="交易"/>
      <sheetName val="源储"/>
      <sheetName val="网储"/>
      <sheetName val="用储"/>
      <sheetName val="VPP"/>
      <sheetName val="电价预测"/>
      <sheetName val="工业用电量"/>
      <sheetName val="建筑用电量"/>
    </sheetNames>
    <sheetDataSet>
      <sheetData sheetId="0"/>
      <sheetData sheetId="1"/>
      <sheetData sheetId="2"/>
      <sheetData sheetId="3"/>
      <sheetData sheetId="4"/>
      <sheetData sheetId="5"/>
      <sheetData sheetId="6"/>
      <sheetData sheetId="7"/>
      <sheetData sheetId="8">
        <row r="6">
          <cell r="D6">
            <v>83127</v>
          </cell>
        </row>
      </sheetData>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理论市场规模（供参考）"/>
      <sheetName val="全国储能装机"/>
      <sheetName val="Bottom-Up分行业_Min"/>
      <sheetName val="用户侧市场测算-分行业"/>
      <sheetName val="用电量-各行业汇总"/>
      <sheetName val="用电量-工业"/>
      <sheetName val="交叉验证1-玩家业绩"/>
      <sheetName val="交叉验证2-现货电量"/>
    </sheetNames>
    <sheetDataSet>
      <sheetData sheetId="0" refreshError="1"/>
      <sheetData sheetId="1" refreshError="1"/>
      <sheetData sheetId="2" refreshError="1"/>
      <sheetData sheetId="3">
        <row r="8">
          <cell r="H8">
            <v>0.26913069520650035</v>
          </cell>
        </row>
      </sheetData>
      <sheetData sheetId="4" refreshError="1"/>
      <sheetData sheetId="5" refreshError="1"/>
      <sheetData sheetId="6"/>
      <sheetData sheetId="7"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http://nyj.zaozhuang.gov.cn/zcfg/xny/202201/t20220114_1378879.html" TargetMode="External"/><Relationship Id="rId3" Type="http://schemas.openxmlformats.org/officeDocument/2006/relationships/hyperlink" Target="https://news.bjx.com.cn/html/20220517/1225686.shtml" TargetMode="External"/><Relationship Id="rId7" Type="http://schemas.openxmlformats.org/officeDocument/2006/relationships/hyperlink" Target="https://new.qq.com/omn/20220326/20220326A003DB00.html" TargetMode="External"/><Relationship Id="rId2" Type="http://schemas.openxmlformats.org/officeDocument/2006/relationships/hyperlink" Target="https://mp.weixin.qq.com/s/7s6b0h0guii6ukIo6ik-xQ" TargetMode="External"/><Relationship Id="rId1" Type="http://schemas.openxmlformats.org/officeDocument/2006/relationships/hyperlink" Target="https://mp.weixin.qq.com/s/8oWb4RhGS3hP3uHfLVBToA" TargetMode="External"/><Relationship Id="rId6" Type="http://schemas.openxmlformats.org/officeDocument/2006/relationships/hyperlink" Target="http://www.kq.gov.cn/art/2021/12/16/art_1229404720_3900987.html" TargetMode="External"/><Relationship Id="rId5" Type="http://schemas.openxmlformats.org/officeDocument/2006/relationships/hyperlink" Target="https://news.solarbe.com/202201/20/350226.html" TargetMode="External"/><Relationship Id="rId4" Type="http://schemas.openxmlformats.org/officeDocument/2006/relationships/hyperlink" Target="https://www.suzhou.gov.cn/szsrmzf/szyw/202205/f31cc437106344738a7b87d40a09acdd.shtml" TargetMode="External"/><Relationship Id="rId9"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B2DA0-422D-4CB2-8A47-D9D31CC6F009}">
  <dimension ref="B1:VI118"/>
  <sheetViews>
    <sheetView zoomScale="70" zoomScaleNormal="70" workbookViewId="0">
      <selection activeCell="N5" sqref="N5"/>
    </sheetView>
  </sheetViews>
  <sheetFormatPr defaultColWidth="8.6640625" defaultRowHeight="13.95" x14ac:dyDescent="0.25"/>
  <cols>
    <col min="1" max="1" width="8.6640625" style="30"/>
    <col min="2" max="2" width="45.109375" style="30" bestFit="1" customWidth="1"/>
    <col min="3" max="8" width="13.21875" style="30" customWidth="1"/>
    <col min="9" max="9" width="13.77734375" style="30" bestFit="1" customWidth="1"/>
    <col min="10" max="13" width="11.109375" style="30" bestFit="1" customWidth="1"/>
    <col min="14" max="16384" width="8.6640625" style="30"/>
  </cols>
  <sheetData>
    <row r="1" spans="2:13" ht="18.149999999999999" thickBot="1" x14ac:dyDescent="0.3">
      <c r="B1" s="36"/>
      <c r="C1" s="36"/>
      <c r="D1" s="36"/>
      <c r="E1" s="36"/>
      <c r="F1" s="36"/>
      <c r="G1" s="36"/>
      <c r="H1" s="36"/>
      <c r="I1" s="36"/>
      <c r="J1" s="36"/>
      <c r="K1" s="36"/>
      <c r="L1" s="36"/>
      <c r="M1" s="36"/>
    </row>
    <row r="2" spans="2:13" ht="16.350000000000001" x14ac:dyDescent="0.25">
      <c r="B2" s="37"/>
      <c r="C2" s="38" t="s">
        <v>55</v>
      </c>
      <c r="D2" s="38">
        <v>2016</v>
      </c>
      <c r="E2" s="38">
        <v>2017</v>
      </c>
      <c r="F2" s="38">
        <v>2018</v>
      </c>
      <c r="G2" s="38">
        <v>2019</v>
      </c>
      <c r="H2" s="38">
        <v>2020</v>
      </c>
      <c r="I2" s="38">
        <v>2021</v>
      </c>
      <c r="J2" s="51" t="s">
        <v>58</v>
      </c>
      <c r="K2" s="51" t="s">
        <v>59</v>
      </c>
      <c r="L2" s="51" t="s">
        <v>60</v>
      </c>
      <c r="M2" s="51" t="s">
        <v>61</v>
      </c>
    </row>
    <row r="3" spans="2:13" ht="15.75" x14ac:dyDescent="0.25">
      <c r="B3" s="52" t="s">
        <v>62</v>
      </c>
      <c r="C3" s="8">
        <f>C26+C52+C78+C105</f>
        <v>167.87413024570566</v>
      </c>
      <c r="D3" s="8">
        <f>D26+D52+D78+D105</f>
        <v>0</v>
      </c>
      <c r="E3" s="8">
        <f t="shared" ref="E3:M3" si="0">E26+E52+E78+E105</f>
        <v>0</v>
      </c>
      <c r="F3" s="8">
        <f t="shared" si="0"/>
        <v>0</v>
      </c>
      <c r="G3" s="8">
        <f t="shared" si="0"/>
        <v>0</v>
      </c>
      <c r="H3" s="8">
        <f>H26+H52+H78+H105</f>
        <v>0</v>
      </c>
      <c r="I3" s="8">
        <f t="shared" si="0"/>
        <v>167.87413024570566</v>
      </c>
      <c r="J3" s="8">
        <f t="shared" si="0"/>
        <v>172.73926534808368</v>
      </c>
      <c r="K3" s="8">
        <f t="shared" si="0"/>
        <v>178.69313882682471</v>
      </c>
      <c r="L3" s="8">
        <f t="shared" si="0"/>
        <v>186.03012165130963</v>
      </c>
      <c r="M3" s="8">
        <f t="shared" si="0"/>
        <v>195.13803501676045</v>
      </c>
    </row>
    <row r="4" spans="2:13" ht="15.75" x14ac:dyDescent="0.25">
      <c r="B4" s="6" t="s">
        <v>56</v>
      </c>
      <c r="D4" s="8">
        <f>E4-E5</f>
        <v>0.39348035358928551</v>
      </c>
      <c r="E4" s="8">
        <f>F4-F5</f>
        <v>0.46458035358928551</v>
      </c>
      <c r="F4" s="8">
        <f>G4-G5</f>
        <v>0.75788035358928552</v>
      </c>
      <c r="G4" s="8">
        <f>H4-H5</f>
        <v>1.0357803535892856</v>
      </c>
      <c r="H4" s="8">
        <f>I4-I5</f>
        <v>1.3638803535892856</v>
      </c>
      <c r="I4" s="40">
        <f>11.4/(1+58.8%)^4</f>
        <v>1.7926803535892857</v>
      </c>
      <c r="J4" s="40">
        <f>I4*(1+58.8%)</f>
        <v>2.8467764014997856</v>
      </c>
      <c r="K4" s="40">
        <f>J4*(1+58.8%)</f>
        <v>4.5206809255816598</v>
      </c>
      <c r="L4" s="40">
        <f>K4*(1+58.8%)</f>
        <v>7.1788413098236763</v>
      </c>
      <c r="M4" s="40">
        <v>11.4</v>
      </c>
    </row>
    <row r="5" spans="2:13" ht="15.75" x14ac:dyDescent="0.25">
      <c r="B5" s="6" t="s">
        <v>57</v>
      </c>
      <c r="C5" s="8"/>
      <c r="D5" s="8">
        <v>5.4300000000000001E-2</v>
      </c>
      <c r="E5" s="8">
        <v>7.1099999999999997E-2</v>
      </c>
      <c r="F5" s="8">
        <v>0.29330000000000001</v>
      </c>
      <c r="G5" s="8">
        <v>0.27789999999999998</v>
      </c>
      <c r="H5" s="8">
        <v>0.3281</v>
      </c>
      <c r="I5" s="40">
        <v>0.42880000000000001</v>
      </c>
      <c r="J5" s="40">
        <f>J4-I4</f>
        <v>1.0540960479104999</v>
      </c>
      <c r="K5" s="40">
        <f>K4-J4</f>
        <v>1.6739045240818742</v>
      </c>
      <c r="L5" s="40">
        <f>L4-K4</f>
        <v>2.6581603842420165</v>
      </c>
      <c r="M5" s="40">
        <f>M4-L4</f>
        <v>4.2211586901763241</v>
      </c>
    </row>
    <row r="6" spans="2:13" ht="15.75" x14ac:dyDescent="0.25">
      <c r="B6" s="6" t="s">
        <v>28</v>
      </c>
      <c r="C6" s="8"/>
      <c r="D6" s="8">
        <v>2.2000000000000002</v>
      </c>
      <c r="E6" s="8">
        <v>2.2000000000000002</v>
      </c>
      <c r="F6" s="8">
        <v>2.2000000000000002</v>
      </c>
      <c r="G6" s="8">
        <v>2.2000000000000002</v>
      </c>
      <c r="H6" s="8">
        <v>2.2000000000000002</v>
      </c>
      <c r="I6" s="8">
        <v>2.2000000000000002</v>
      </c>
      <c r="J6" s="8">
        <f>(POWER($M$112/$I$112,1/4))*I6</f>
        <v>2.0603302680507372</v>
      </c>
      <c r="K6" s="8">
        <f>(POWER($M$112/$I$112,1/4))*J6</f>
        <v>1.9295276424754644</v>
      </c>
      <c r="L6" s="8">
        <f>(POWER($M$112/$I$112,1/4))*K6</f>
        <v>1.8070291840149</v>
      </c>
      <c r="M6" s="8">
        <f>I6/(1+30%)</f>
        <v>1.6923076923076923</v>
      </c>
    </row>
    <row r="7" spans="2:13" ht="15.75" x14ac:dyDescent="0.25">
      <c r="B7" s="6" t="s">
        <v>24</v>
      </c>
      <c r="C7" s="8">
        <v>4</v>
      </c>
      <c r="D7" s="8">
        <v>4</v>
      </c>
      <c r="E7" s="8">
        <v>4</v>
      </c>
      <c r="F7" s="8">
        <v>4</v>
      </c>
      <c r="G7" s="8">
        <v>4</v>
      </c>
      <c r="H7" s="8">
        <v>4</v>
      </c>
      <c r="I7" s="8">
        <v>4</v>
      </c>
      <c r="J7" s="8">
        <v>4</v>
      </c>
      <c r="K7" s="8">
        <v>4</v>
      </c>
      <c r="L7" s="8">
        <v>4</v>
      </c>
      <c r="M7" s="8">
        <v>4</v>
      </c>
    </row>
    <row r="8" spans="2:13" ht="15.75" x14ac:dyDescent="0.25">
      <c r="B8" s="6" t="s">
        <v>63</v>
      </c>
      <c r="C8" s="8"/>
      <c r="D8" s="8">
        <f>D6*D5*D7*1000</f>
        <v>477.84000000000003</v>
      </c>
      <c r="E8" s="8">
        <f t="shared" ref="E8:L8" si="1">E6*E5*E7*1000</f>
        <v>625.68000000000006</v>
      </c>
      <c r="F8" s="8">
        <f t="shared" si="1"/>
        <v>2581.0400000000004</v>
      </c>
      <c r="G8" s="8">
        <f t="shared" si="1"/>
        <v>2445.52</v>
      </c>
      <c r="H8" s="8">
        <f t="shared" si="1"/>
        <v>2887.28</v>
      </c>
      <c r="I8" s="8">
        <f t="shared" si="1"/>
        <v>3773.4400000000005</v>
      </c>
      <c r="J8" s="8">
        <f t="shared" si="1"/>
        <v>8687.1439717706526</v>
      </c>
      <c r="K8" s="8">
        <f t="shared" si="1"/>
        <v>12919.380200322852</v>
      </c>
      <c r="L8" s="8">
        <f t="shared" si="1"/>
        <v>19213.493560470335</v>
      </c>
      <c r="M8" s="8">
        <f>M6*M5*M7*1000</f>
        <v>28573.997287347425</v>
      </c>
    </row>
    <row r="9" spans="2:13" ht="15.75" x14ac:dyDescent="0.25">
      <c r="B9" s="6" t="s">
        <v>64</v>
      </c>
      <c r="C9" s="8"/>
      <c r="D9" s="8">
        <f>D8/1000</f>
        <v>0.47784000000000004</v>
      </c>
      <c r="E9" s="8">
        <f t="shared" ref="E9:M9" si="2">E8/1000</f>
        <v>0.62568000000000001</v>
      </c>
      <c r="F9" s="8">
        <f t="shared" si="2"/>
        <v>2.5810400000000002</v>
      </c>
      <c r="G9" s="8">
        <f t="shared" si="2"/>
        <v>2.4455200000000001</v>
      </c>
      <c r="H9" s="8">
        <f t="shared" si="2"/>
        <v>2.8872800000000001</v>
      </c>
      <c r="I9" s="8">
        <f t="shared" si="2"/>
        <v>3.7734400000000003</v>
      </c>
      <c r="J9" s="8">
        <f t="shared" si="2"/>
        <v>8.6871439717706522</v>
      </c>
      <c r="K9" s="8">
        <f t="shared" si="2"/>
        <v>12.919380200322852</v>
      </c>
      <c r="L9" s="8">
        <f t="shared" si="2"/>
        <v>19.213493560470337</v>
      </c>
      <c r="M9" s="8">
        <f t="shared" si="2"/>
        <v>28.573997287347424</v>
      </c>
    </row>
    <row r="10" spans="2:13" ht="15.75" x14ac:dyDescent="0.25">
      <c r="B10" s="6" t="s">
        <v>33</v>
      </c>
      <c r="C10" s="8"/>
      <c r="D10" s="41">
        <f>D4/$C$3</f>
        <v>2.343901070482842E-3</v>
      </c>
      <c r="E10" s="41">
        <f>E4/$C$3</f>
        <v>2.7674326765494577E-3</v>
      </c>
      <c r="F10" s="41">
        <f>F4/$C$3</f>
        <v>4.5145750121238391E-3</v>
      </c>
      <c r="G10" s="41">
        <f>G4/$C$3</f>
        <v>6.1699819506036225E-3</v>
      </c>
      <c r="H10" s="41">
        <f>H4/$C$3</f>
        <v>8.124422456235925E-3</v>
      </c>
      <c r="I10" s="41">
        <f>I4/I3</f>
        <v>1.0678717149363422E-2</v>
      </c>
      <c r="J10" s="41">
        <f>J4/J3</f>
        <v>1.6480192825662997E-2</v>
      </c>
      <c r="K10" s="41">
        <f>K4/K3</f>
        <v>2.5298570248758947E-2</v>
      </c>
      <c r="L10" s="41">
        <f>L4/L3</f>
        <v>3.8589671640808378E-2</v>
      </c>
      <c r="M10" s="41">
        <f>M4/M3</f>
        <v>5.8420184455689798E-2</v>
      </c>
    </row>
    <row r="11" spans="2:13" ht="16.350000000000001" thickBot="1" x14ac:dyDescent="0.3">
      <c r="B11" s="34" t="s">
        <v>32</v>
      </c>
      <c r="C11" s="35"/>
      <c r="D11" s="35"/>
      <c r="E11" s="35"/>
      <c r="F11" s="35"/>
      <c r="G11" s="35"/>
      <c r="H11" s="35"/>
      <c r="I11" s="42"/>
      <c r="J11" s="50"/>
      <c r="K11" s="50"/>
      <c r="L11" s="50"/>
      <c r="M11" s="50">
        <f>POWER(M4/I4,1/4)-1</f>
        <v>0.58800000000000008</v>
      </c>
    </row>
    <row r="12" spans="2:13" ht="15.75" x14ac:dyDescent="0.25">
      <c r="B12" s="46"/>
      <c r="C12" s="46"/>
      <c r="D12" s="46"/>
      <c r="E12" s="46"/>
      <c r="F12" s="46"/>
      <c r="G12" s="46"/>
      <c r="H12" s="46"/>
      <c r="I12" s="48"/>
      <c r="J12" s="49"/>
      <c r="K12" s="49"/>
      <c r="L12" s="49"/>
      <c r="M12" s="49"/>
    </row>
    <row r="13" spans="2:13" ht="15.75" x14ac:dyDescent="0.25">
      <c r="B13" s="46"/>
      <c r="C13" s="46"/>
      <c r="D13" s="46"/>
      <c r="E13" s="46"/>
      <c r="F13" s="46"/>
      <c r="G13" s="46"/>
      <c r="H13" s="46"/>
      <c r="I13" s="48"/>
      <c r="J13" s="49"/>
      <c r="K13" s="49"/>
      <c r="L13" s="49"/>
      <c r="M13" s="49"/>
    </row>
    <row r="14" spans="2:13" ht="15.75" x14ac:dyDescent="0.25">
      <c r="B14" s="46"/>
      <c r="C14" s="46"/>
      <c r="D14" s="46"/>
      <c r="E14" s="46"/>
      <c r="F14" s="46"/>
      <c r="G14" s="46"/>
      <c r="H14" s="46"/>
      <c r="I14" s="48"/>
      <c r="J14" s="49"/>
      <c r="K14" s="49"/>
      <c r="L14" s="49"/>
      <c r="M14" s="49"/>
    </row>
    <row r="15" spans="2:13" ht="18.149999999999999" thickBot="1" x14ac:dyDescent="0.3">
      <c r="B15" s="36"/>
      <c r="C15" s="47"/>
      <c r="D15" s="47"/>
      <c r="E15" s="47"/>
      <c r="F15" s="47"/>
      <c r="G15" s="47"/>
      <c r="H15" s="47"/>
      <c r="I15" s="47"/>
      <c r="J15" s="47"/>
      <c r="K15" s="47"/>
      <c r="L15" s="47"/>
      <c r="M15" s="47"/>
    </row>
    <row r="16" spans="2:13" ht="16.350000000000001" x14ac:dyDescent="0.25">
      <c r="B16" s="37"/>
      <c r="C16" s="38" t="s">
        <v>55</v>
      </c>
      <c r="D16" s="38">
        <v>2016</v>
      </c>
      <c r="E16" s="38">
        <v>2017</v>
      </c>
      <c r="F16" s="38">
        <v>2018</v>
      </c>
      <c r="G16" s="38">
        <v>2019</v>
      </c>
      <c r="H16" s="38">
        <v>2020</v>
      </c>
      <c r="I16" s="38">
        <v>2021</v>
      </c>
      <c r="J16" s="54" t="s">
        <v>58</v>
      </c>
      <c r="K16" s="54" t="s">
        <v>59</v>
      </c>
      <c r="L16" s="54" t="s">
        <v>60</v>
      </c>
      <c r="M16" s="54" t="s">
        <v>61</v>
      </c>
    </row>
    <row r="17" spans="2:13" ht="15.75" x14ac:dyDescent="0.25">
      <c r="B17" s="6" t="s">
        <v>40</v>
      </c>
      <c r="C17" s="8">
        <v>44550</v>
      </c>
      <c r="D17" s="8"/>
      <c r="E17" s="8"/>
      <c r="F17" s="8"/>
      <c r="G17" s="8"/>
      <c r="H17" s="8"/>
      <c r="I17" s="8">
        <v>44550</v>
      </c>
      <c r="J17" s="8">
        <f>(POWER($M$17/$I$17,1/4))*I17</f>
        <v>44407.340733857527</v>
      </c>
      <c r="K17" s="8">
        <f>(POWER($M$17/$I$17,1/4))*J17</f>
        <v>44265.138295239551</v>
      </c>
      <c r="L17" s="8">
        <f>(POWER($M$17/$I$17,1/4))*K17</f>
        <v>44123.391221280086</v>
      </c>
      <c r="M17" s="8">
        <f>32549.1367341099+11432.9613196877</f>
        <v>43982.098053797599</v>
      </c>
    </row>
    <row r="18" spans="2:13" ht="15.75" x14ac:dyDescent="0.25">
      <c r="B18" s="6" t="s">
        <v>19</v>
      </c>
      <c r="C18" s="8">
        <v>300</v>
      </c>
      <c r="D18" s="8"/>
      <c r="E18" s="8"/>
      <c r="F18" s="8"/>
      <c r="G18" s="8"/>
      <c r="H18" s="8"/>
      <c r="I18" s="8">
        <v>300</v>
      </c>
      <c r="J18" s="8">
        <v>300</v>
      </c>
      <c r="K18" s="8">
        <v>300</v>
      </c>
      <c r="L18" s="8">
        <v>300</v>
      </c>
      <c r="M18" s="8">
        <v>300</v>
      </c>
    </row>
    <row r="19" spans="2:13" ht="15.75" x14ac:dyDescent="0.25">
      <c r="B19" s="6" t="s">
        <v>18</v>
      </c>
      <c r="C19" s="8">
        <v>24</v>
      </c>
      <c r="D19" s="8"/>
      <c r="E19" s="8"/>
      <c r="F19" s="8"/>
      <c r="G19" s="8"/>
      <c r="H19" s="8"/>
      <c r="I19" s="8">
        <v>24</v>
      </c>
      <c r="J19" s="8">
        <v>24</v>
      </c>
      <c r="K19" s="8">
        <v>24</v>
      </c>
      <c r="L19" s="8">
        <v>24</v>
      </c>
      <c r="M19" s="8">
        <v>24</v>
      </c>
    </row>
    <row r="20" spans="2:13" ht="15.75" x14ac:dyDescent="0.25">
      <c r="B20" s="6" t="s">
        <v>54</v>
      </c>
      <c r="C20" s="8">
        <f>C17/C18/C19</f>
        <v>6.1875</v>
      </c>
      <c r="D20" s="8"/>
      <c r="E20" s="8"/>
      <c r="F20" s="8"/>
      <c r="G20" s="8"/>
      <c r="H20" s="8"/>
      <c r="I20" s="8">
        <f>I17/I18/I19</f>
        <v>6.1875</v>
      </c>
      <c r="J20" s="8">
        <f>J17/J18/J19</f>
        <v>6.1676862130357675</v>
      </c>
      <c r="K20" s="8">
        <f t="shared" ref="K20:M20" si="3">K17/K18/K19</f>
        <v>6.1479358743388266</v>
      </c>
      <c r="L20" s="8">
        <f t="shared" si="3"/>
        <v>6.1282487807333448</v>
      </c>
      <c r="M20" s="8">
        <f t="shared" si="3"/>
        <v>6.1086247296941112</v>
      </c>
    </row>
    <row r="21" spans="2:13" ht="15.75" x14ac:dyDescent="0.25">
      <c r="B21" s="31" t="s">
        <v>16</v>
      </c>
      <c r="C21" s="9">
        <v>0.7</v>
      </c>
      <c r="D21" s="9"/>
      <c r="E21" s="9"/>
      <c r="F21" s="9"/>
      <c r="G21" s="9"/>
      <c r="H21" s="9"/>
      <c r="I21" s="9">
        <v>0.7</v>
      </c>
      <c r="J21" s="9">
        <v>0.7</v>
      </c>
      <c r="K21" s="9">
        <v>0.7</v>
      </c>
      <c r="L21" s="9">
        <v>0.7</v>
      </c>
      <c r="M21" s="9">
        <v>0.7</v>
      </c>
    </row>
    <row r="22" spans="2:13" ht="15.75" x14ac:dyDescent="0.25">
      <c r="B22" s="6" t="s">
        <v>41</v>
      </c>
      <c r="C22" s="8">
        <f>C20/C21</f>
        <v>8.8392857142857153</v>
      </c>
      <c r="D22" s="8"/>
      <c r="E22" s="8"/>
      <c r="F22" s="8"/>
      <c r="G22" s="8"/>
      <c r="H22" s="8"/>
      <c r="I22" s="8">
        <f>I20/I21</f>
        <v>8.8392857142857153</v>
      </c>
      <c r="J22" s="8">
        <f>J20/J21</f>
        <v>8.8109803043368107</v>
      </c>
      <c r="K22" s="8">
        <f t="shared" ref="K22:M22" si="4">K20/K21</f>
        <v>8.7827655347697533</v>
      </c>
      <c r="L22" s="8">
        <f t="shared" si="4"/>
        <v>8.7546411153333494</v>
      </c>
      <c r="M22" s="8">
        <f t="shared" si="4"/>
        <v>8.7266067567058734</v>
      </c>
    </row>
    <row r="23" spans="2:13" ht="15.75" x14ac:dyDescent="0.25">
      <c r="B23" s="6" t="s">
        <v>20</v>
      </c>
      <c r="C23" s="8">
        <f>C22-C20</f>
        <v>2.6517857142857153</v>
      </c>
      <c r="D23" s="8"/>
      <c r="E23" s="8"/>
      <c r="F23" s="8"/>
      <c r="G23" s="8"/>
      <c r="H23" s="8"/>
      <c r="I23" s="8">
        <f>I22-I20</f>
        <v>2.6517857142857153</v>
      </c>
      <c r="J23" s="8">
        <f>J22-J20</f>
        <v>2.6432940913010432</v>
      </c>
      <c r="K23" s="8">
        <f t="shared" ref="K23:M23" si="5">K22-K20</f>
        <v>2.6348296604309267</v>
      </c>
      <c r="L23" s="8">
        <f t="shared" si="5"/>
        <v>2.6263923346000047</v>
      </c>
      <c r="M23" s="8">
        <f t="shared" si="5"/>
        <v>2.6179820270117622</v>
      </c>
    </row>
    <row r="24" spans="2:13" ht="15.75" x14ac:dyDescent="0.25">
      <c r="B24" s="31" t="s">
        <v>21</v>
      </c>
      <c r="C24" s="9">
        <v>0.5</v>
      </c>
      <c r="D24" s="9"/>
      <c r="E24" s="9"/>
      <c r="F24" s="9"/>
      <c r="G24" s="9"/>
      <c r="H24" s="9"/>
      <c r="I24" s="9">
        <v>0.5</v>
      </c>
      <c r="J24" s="9">
        <v>0.5</v>
      </c>
      <c r="K24" s="9">
        <v>0.5</v>
      </c>
      <c r="L24" s="9">
        <v>0.5</v>
      </c>
      <c r="M24" s="9">
        <v>0.5</v>
      </c>
    </row>
    <row r="25" spans="2:13" ht="15.75" x14ac:dyDescent="0.25">
      <c r="B25" s="6" t="s">
        <v>22</v>
      </c>
      <c r="C25" s="8">
        <f>C24*C23</f>
        <v>1.3258928571428577</v>
      </c>
      <c r="D25" s="8"/>
      <c r="E25" s="8"/>
      <c r="F25" s="8"/>
      <c r="G25" s="8"/>
      <c r="H25" s="8"/>
      <c r="I25" s="8">
        <f>I24*I23</f>
        <v>1.3258928571428577</v>
      </c>
      <c r="J25" s="8">
        <f>J24*J23</f>
        <v>1.3216470456505216</v>
      </c>
      <c r="K25" s="8">
        <f t="shared" ref="K25:M25" si="6">K24*K23</f>
        <v>1.3174148302154634</v>
      </c>
      <c r="L25" s="8">
        <f t="shared" si="6"/>
        <v>1.3131961673000023</v>
      </c>
      <c r="M25" s="8">
        <f t="shared" si="6"/>
        <v>1.3089910135058811</v>
      </c>
    </row>
    <row r="26" spans="2:13" ht="15.75" x14ac:dyDescent="0.25">
      <c r="B26" s="6" t="s">
        <v>23</v>
      </c>
      <c r="C26" s="8">
        <f>C25*100000000/1000000</f>
        <v>132.58928571428575</v>
      </c>
      <c r="D26" s="8"/>
      <c r="E26" s="8"/>
      <c r="F26" s="8"/>
      <c r="G26" s="8"/>
      <c r="H26" s="8"/>
      <c r="I26" s="8">
        <f>I25*100000000/1000000</f>
        <v>132.58928571428575</v>
      </c>
      <c r="J26" s="8">
        <f>J25*100000000/1000000</f>
        <v>132.16470456505218</v>
      </c>
      <c r="K26" s="8">
        <f t="shared" ref="K26:M26" si="7">K25*100000000/1000000</f>
        <v>131.74148302154634</v>
      </c>
      <c r="L26" s="8">
        <f t="shared" si="7"/>
        <v>131.31961673000023</v>
      </c>
      <c r="M26" s="8">
        <f t="shared" si="7"/>
        <v>130.89910135058813</v>
      </c>
    </row>
    <row r="27" spans="2:13" ht="15.75" x14ac:dyDescent="0.25">
      <c r="B27" s="6" t="s">
        <v>24</v>
      </c>
      <c r="C27" s="8">
        <v>4</v>
      </c>
      <c r="D27" s="8"/>
      <c r="E27" s="8"/>
      <c r="F27" s="8"/>
      <c r="G27" s="8"/>
      <c r="H27" s="8"/>
      <c r="I27" s="8">
        <v>4</v>
      </c>
      <c r="J27" s="8">
        <v>4</v>
      </c>
      <c r="K27" s="8">
        <v>4</v>
      </c>
      <c r="L27" s="8">
        <v>4</v>
      </c>
      <c r="M27" s="8">
        <v>4</v>
      </c>
    </row>
    <row r="28" spans="2:13" ht="15.75" x14ac:dyDescent="0.25">
      <c r="B28" s="32" t="s">
        <v>17</v>
      </c>
      <c r="C28" s="33">
        <f>C27*C26</f>
        <v>530.357142857143</v>
      </c>
      <c r="D28" s="33"/>
      <c r="E28" s="33"/>
      <c r="F28" s="33"/>
      <c r="G28" s="33"/>
      <c r="H28" s="33"/>
      <c r="I28" s="33">
        <f>I27*I26</f>
        <v>530.357142857143</v>
      </c>
      <c r="J28" s="33">
        <f>J27*J26</f>
        <v>528.6588182602087</v>
      </c>
      <c r="K28" s="33">
        <f t="shared" ref="K28:M28" si="8">K27*K26</f>
        <v>526.96593208618538</v>
      </c>
      <c r="L28" s="33">
        <f>L27*L26</f>
        <v>525.27846692000094</v>
      </c>
      <c r="M28" s="33">
        <f t="shared" si="8"/>
        <v>523.5964054023525</v>
      </c>
    </row>
    <row r="29" spans="2:13" ht="15.75" x14ac:dyDescent="0.25">
      <c r="B29" s="6" t="s">
        <v>25</v>
      </c>
      <c r="C29" s="8">
        <v>0.7</v>
      </c>
      <c r="D29" s="8"/>
      <c r="E29" s="8"/>
      <c r="F29" s="8"/>
      <c r="G29" s="8"/>
      <c r="H29" s="8"/>
      <c r="I29" s="8">
        <v>0.7</v>
      </c>
      <c r="J29" s="8">
        <v>0.7</v>
      </c>
      <c r="K29" s="8">
        <v>0.7</v>
      </c>
      <c r="L29" s="8">
        <v>0.7</v>
      </c>
      <c r="M29" s="8">
        <v>0.7</v>
      </c>
    </row>
    <row r="30" spans="2:13" ht="15.75" x14ac:dyDescent="0.25">
      <c r="B30" s="6" t="s">
        <v>26</v>
      </c>
      <c r="C30" s="9">
        <v>0.85</v>
      </c>
      <c r="D30" s="9"/>
      <c r="E30" s="9"/>
      <c r="F30" s="9"/>
      <c r="G30" s="9"/>
      <c r="H30" s="9"/>
      <c r="I30" s="9">
        <v>0.85</v>
      </c>
      <c r="J30" s="9">
        <v>0.85</v>
      </c>
      <c r="K30" s="9">
        <v>0.85</v>
      </c>
      <c r="L30" s="9">
        <v>0.85</v>
      </c>
      <c r="M30" s="9">
        <v>0.85</v>
      </c>
    </row>
    <row r="31" spans="2:13" ht="15.75" x14ac:dyDescent="0.25">
      <c r="B31" s="6" t="s">
        <v>27</v>
      </c>
      <c r="C31" s="8">
        <v>2</v>
      </c>
      <c r="D31" s="8"/>
      <c r="E31" s="8"/>
      <c r="F31" s="8"/>
      <c r="G31" s="8"/>
      <c r="H31" s="8"/>
      <c r="I31" s="8">
        <v>2.2000000000000002</v>
      </c>
      <c r="J31" s="8">
        <f>(POWER($M$112/$I$112,1/4))*I31</f>
        <v>2.0603302680507372</v>
      </c>
      <c r="K31" s="8">
        <f t="shared" ref="K31:L31" si="9">(POWER($M$112/$I$112,1/4))*J31</f>
        <v>1.9295276424754644</v>
      </c>
      <c r="L31" s="8">
        <f t="shared" si="9"/>
        <v>1.8070291840149</v>
      </c>
      <c r="M31" s="8">
        <f>I31/(1+30%)</f>
        <v>1.6923076923076923</v>
      </c>
    </row>
    <row r="32" spans="2:13" ht="15.75" x14ac:dyDescent="0.25">
      <c r="B32" s="6" t="s">
        <v>30</v>
      </c>
      <c r="C32" s="8">
        <f>C28*C31*C29*C30*C18</f>
        <v>189337.50000000003</v>
      </c>
      <c r="D32" s="8"/>
      <c r="E32" s="8"/>
      <c r="F32" s="8"/>
      <c r="G32" s="8"/>
      <c r="H32" s="8"/>
      <c r="I32" s="8">
        <f>I28*I31*I29*I30*I18</f>
        <v>208271.25000000006</v>
      </c>
      <c r="J32" s="8">
        <f>J28*J31*J29*J30*J18</f>
        <v>194424.30000491932</v>
      </c>
      <c r="K32" s="8">
        <f>K28*K31*K29*K30*K18</f>
        <v>181497.96686966097</v>
      </c>
      <c r="L32" s="8">
        <f>L28*L31*L29*L30*L18</f>
        <v>169431.04322343986</v>
      </c>
      <c r="M32" s="8">
        <f>M28*M31*M29*M30*M18</f>
        <v>158166.39107807988</v>
      </c>
    </row>
    <row r="33" spans="2:13" ht="15.75" x14ac:dyDescent="0.25">
      <c r="B33" s="6" t="s">
        <v>28</v>
      </c>
      <c r="C33" s="8">
        <v>2.2000000000000002</v>
      </c>
      <c r="D33" s="8"/>
      <c r="E33" s="8"/>
      <c r="F33" s="8"/>
      <c r="G33" s="8"/>
      <c r="H33" s="8"/>
      <c r="I33" s="40"/>
      <c r="J33" s="40"/>
      <c r="K33" s="40"/>
      <c r="L33" s="40"/>
      <c r="M33" s="40"/>
    </row>
    <row r="34" spans="2:13" ht="15.75" x14ac:dyDescent="0.25">
      <c r="B34" s="6" t="s">
        <v>31</v>
      </c>
      <c r="C34" s="8">
        <f>C28*1000*C33</f>
        <v>1166785.7142857146</v>
      </c>
      <c r="D34" s="8"/>
      <c r="E34" s="8"/>
      <c r="F34" s="8"/>
      <c r="G34" s="8"/>
      <c r="H34" s="8"/>
      <c r="I34" s="53"/>
      <c r="J34" s="40"/>
      <c r="K34" s="40"/>
      <c r="L34" s="40"/>
      <c r="M34" s="40"/>
    </row>
    <row r="35" spans="2:13" ht="15.75" x14ac:dyDescent="0.25">
      <c r="B35" s="6" t="s">
        <v>29</v>
      </c>
      <c r="C35" s="8">
        <f>C34/C32</f>
        <v>6.1624649859943981</v>
      </c>
      <c r="D35" s="8"/>
      <c r="E35" s="8"/>
      <c r="F35" s="8"/>
      <c r="G35" s="8"/>
      <c r="H35" s="8"/>
      <c r="I35" s="40"/>
      <c r="J35" s="40"/>
      <c r="K35" s="40"/>
      <c r="L35" s="40"/>
      <c r="M35" s="40"/>
    </row>
    <row r="36" spans="2:13" ht="15.75" x14ac:dyDescent="0.25">
      <c r="B36" s="6" t="s">
        <v>56</v>
      </c>
      <c r="D36" s="8"/>
      <c r="E36" s="8"/>
      <c r="F36" s="8"/>
      <c r="G36" s="8"/>
      <c r="H36" s="8"/>
      <c r="I36" s="40">
        <f>I26/I3*I4</f>
        <v>1.4158834791789898</v>
      </c>
      <c r="J36" s="40">
        <f t="shared" ref="J36:M36" si="10">J26/J3*J4</f>
        <v>2.1780998159788427</v>
      </c>
      <c r="K36" s="40">
        <f t="shared" si="10"/>
        <v>3.3328711628962742</v>
      </c>
      <c r="L36" s="40">
        <f t="shared" si="10"/>
        <v>5.0675808896075152</v>
      </c>
      <c r="M36" s="40">
        <f t="shared" si="10"/>
        <v>7.647149645985392</v>
      </c>
    </row>
    <row r="37" spans="2:13" ht="15.75" x14ac:dyDescent="0.25">
      <c r="B37" s="6" t="s">
        <v>57</v>
      </c>
      <c r="C37" s="8"/>
      <c r="D37" s="8"/>
      <c r="E37" s="8"/>
      <c r="F37" s="8"/>
      <c r="G37" s="8"/>
      <c r="H37" s="8"/>
      <c r="I37" s="40">
        <f>I26/I3*I5</f>
        <v>0.33867210886556542</v>
      </c>
      <c r="J37" s="40">
        <f>J26/J3*J5</f>
        <v>0.80650043563952101</v>
      </c>
      <c r="K37" s="40">
        <f>K26/K3*K5</f>
        <v>1.2340857958331295</v>
      </c>
      <c r="L37" s="40">
        <f>L26/L3*L5</f>
        <v>1.8764090447665109</v>
      </c>
      <c r="M37" s="40">
        <f>M26/M3*M5</f>
        <v>2.8315642265991259</v>
      </c>
    </row>
    <row r="38" spans="2:13" ht="15.75" x14ac:dyDescent="0.25">
      <c r="B38" s="6" t="s">
        <v>33</v>
      </c>
      <c r="C38" s="8"/>
      <c r="D38" s="8"/>
      <c r="E38" s="8"/>
      <c r="F38" s="8"/>
      <c r="G38" s="8"/>
      <c r="H38" s="8"/>
      <c r="I38" s="41"/>
      <c r="J38" s="41"/>
      <c r="K38" s="41"/>
      <c r="L38" s="41"/>
      <c r="M38" s="41"/>
    </row>
    <row r="39" spans="2:13" ht="16.350000000000001" thickBot="1" x14ac:dyDescent="0.3">
      <c r="B39" s="34" t="s">
        <v>32</v>
      </c>
      <c r="C39" s="35"/>
      <c r="D39" s="35"/>
      <c r="E39" s="35"/>
      <c r="F39" s="35"/>
      <c r="G39" s="35"/>
      <c r="H39" s="35"/>
      <c r="I39" s="42"/>
      <c r="J39" s="43"/>
      <c r="K39" s="43"/>
      <c r="L39" s="43"/>
      <c r="M39" s="43"/>
    </row>
    <row r="41" spans="2:13" ht="18.149999999999999" thickBot="1" x14ac:dyDescent="0.3">
      <c r="B41" s="36"/>
      <c r="C41" s="36"/>
      <c r="D41" s="36"/>
      <c r="E41" s="36"/>
      <c r="F41" s="36"/>
      <c r="G41" s="36"/>
      <c r="H41" s="36"/>
      <c r="I41" s="36"/>
      <c r="J41" s="36"/>
      <c r="K41" s="36"/>
      <c r="L41" s="36"/>
      <c r="M41" s="36"/>
    </row>
    <row r="42" spans="2:13" ht="16.350000000000001" x14ac:dyDescent="0.25">
      <c r="B42" s="37"/>
      <c r="C42" s="38" t="s">
        <v>55</v>
      </c>
      <c r="D42" s="38"/>
      <c r="E42" s="38"/>
      <c r="F42" s="38"/>
      <c r="G42" s="38"/>
      <c r="H42" s="38"/>
      <c r="I42" s="38">
        <v>2021</v>
      </c>
      <c r="J42" s="55" t="s">
        <v>58</v>
      </c>
      <c r="K42" s="55" t="s">
        <v>59</v>
      </c>
      <c r="L42" s="55" t="s">
        <v>60</v>
      </c>
      <c r="M42" s="55" t="s">
        <v>61</v>
      </c>
    </row>
    <row r="43" spans="2:13" ht="15.75" x14ac:dyDescent="0.25">
      <c r="B43" s="6" t="s">
        <v>65</v>
      </c>
      <c r="C43" s="8">
        <v>5190</v>
      </c>
      <c r="D43" s="8"/>
      <c r="E43" s="8"/>
      <c r="F43" s="8"/>
      <c r="G43" s="8"/>
      <c r="H43" s="8"/>
      <c r="I43" s="8">
        <v>5190</v>
      </c>
      <c r="J43" s="8">
        <f>(POWER($M$43/$I$43,1/4))*I43</f>
        <v>5703.605619873123</v>
      </c>
      <c r="K43" s="8">
        <f t="shared" ref="K43:L43" si="11">(POWER($M$43/$I$43,1/4))*J43</f>
        <v>6268.0379705295327</v>
      </c>
      <c r="L43" s="8">
        <f t="shared" si="11"/>
        <v>6888.3268967804179</v>
      </c>
      <c r="M43" s="8">
        <v>7570</v>
      </c>
    </row>
    <row r="44" spans="2:13" ht="15.75" x14ac:dyDescent="0.25">
      <c r="B44" s="6" t="s">
        <v>34</v>
      </c>
      <c r="C44" s="8">
        <v>365</v>
      </c>
      <c r="D44" s="8"/>
      <c r="E44" s="8"/>
      <c r="F44" s="8"/>
      <c r="G44" s="8"/>
      <c r="H44" s="8"/>
      <c r="I44" s="8">
        <v>365</v>
      </c>
      <c r="J44" s="8">
        <v>365</v>
      </c>
      <c r="K44" s="8">
        <v>365</v>
      </c>
      <c r="L44" s="8">
        <v>365</v>
      </c>
      <c r="M44" s="8">
        <v>365</v>
      </c>
    </row>
    <row r="45" spans="2:13" ht="15.75" x14ac:dyDescent="0.25">
      <c r="B45" s="6" t="s">
        <v>35</v>
      </c>
      <c r="C45" s="8">
        <v>12</v>
      </c>
      <c r="D45" s="8"/>
      <c r="E45" s="8"/>
      <c r="F45" s="8"/>
      <c r="G45" s="8"/>
      <c r="H45" s="8"/>
      <c r="I45" s="8">
        <v>12</v>
      </c>
      <c r="J45" s="8">
        <v>12</v>
      </c>
      <c r="K45" s="8">
        <v>12</v>
      </c>
      <c r="L45" s="8">
        <v>12</v>
      </c>
      <c r="M45" s="8">
        <v>12</v>
      </c>
    </row>
    <row r="46" spans="2:13" ht="15.75" x14ac:dyDescent="0.25">
      <c r="B46" s="6" t="s">
        <v>42</v>
      </c>
      <c r="C46" s="8">
        <f>C43/C44/C45</f>
        <v>1.1849315068493151</v>
      </c>
      <c r="D46" s="8"/>
      <c r="E46" s="8"/>
      <c r="F46" s="8"/>
      <c r="G46" s="8"/>
      <c r="H46" s="8"/>
      <c r="I46" s="8">
        <f t="shared" ref="I46:M46" si="12">I43/I44/I45</f>
        <v>1.1849315068493151</v>
      </c>
      <c r="J46" s="8">
        <f t="shared" si="12"/>
        <v>1.3021930638979733</v>
      </c>
      <c r="K46" s="8">
        <f t="shared" si="12"/>
        <v>1.431058897381172</v>
      </c>
      <c r="L46" s="8">
        <f t="shared" si="12"/>
        <v>1.5726773736941595</v>
      </c>
      <c r="M46" s="8">
        <f t="shared" si="12"/>
        <v>1.7283105022831051</v>
      </c>
    </row>
    <row r="47" spans="2:13" ht="15.75" x14ac:dyDescent="0.25">
      <c r="B47" s="31" t="s">
        <v>36</v>
      </c>
      <c r="C47" s="9">
        <v>0.7</v>
      </c>
      <c r="D47" s="9"/>
      <c r="E47" s="9"/>
      <c r="F47" s="9"/>
      <c r="G47" s="9"/>
      <c r="H47" s="9"/>
      <c r="I47" s="9">
        <v>0.7</v>
      </c>
      <c r="J47" s="9">
        <v>0.7</v>
      </c>
      <c r="K47" s="9">
        <v>0.7</v>
      </c>
      <c r="L47" s="9">
        <v>0.7</v>
      </c>
      <c r="M47" s="9">
        <v>0.7</v>
      </c>
    </row>
    <row r="48" spans="2:13" ht="15.75" x14ac:dyDescent="0.25">
      <c r="B48" s="6" t="s">
        <v>43</v>
      </c>
      <c r="C48" s="8">
        <f>C46/C47</f>
        <v>1.6927592954990218</v>
      </c>
      <c r="D48" s="8"/>
      <c r="E48" s="8"/>
      <c r="F48" s="8"/>
      <c r="G48" s="8"/>
      <c r="H48" s="8"/>
      <c r="I48" s="8">
        <f t="shared" ref="I48:M48" si="13">I46/I47</f>
        <v>1.6927592954990218</v>
      </c>
      <c r="J48" s="8">
        <f t="shared" si="13"/>
        <v>1.8602758055685333</v>
      </c>
      <c r="K48" s="8">
        <f t="shared" si="13"/>
        <v>2.0443698534016743</v>
      </c>
      <c r="L48" s="8">
        <f t="shared" si="13"/>
        <v>2.2466819624202281</v>
      </c>
      <c r="M48" s="8">
        <f t="shared" si="13"/>
        <v>2.4690150032615787</v>
      </c>
    </row>
    <row r="49" spans="2:13" ht="15.75" x14ac:dyDescent="0.25">
      <c r="B49" s="6" t="s">
        <v>20</v>
      </c>
      <c r="C49" s="8">
        <f>C48-C46</f>
        <v>0.50782778864970668</v>
      </c>
      <c r="D49" s="8"/>
      <c r="E49" s="8"/>
      <c r="F49" s="8"/>
      <c r="G49" s="8"/>
      <c r="H49" s="8"/>
      <c r="I49" s="8">
        <f t="shared" ref="I49:M49" si="14">I48-I46</f>
        <v>0.50782778864970668</v>
      </c>
      <c r="J49" s="8">
        <f t="shared" si="14"/>
        <v>0.55808274167056005</v>
      </c>
      <c r="K49" s="8">
        <f t="shared" si="14"/>
        <v>0.61331095602050234</v>
      </c>
      <c r="L49" s="8">
        <f t="shared" si="14"/>
        <v>0.67400458872606861</v>
      </c>
      <c r="M49" s="8">
        <f t="shared" si="14"/>
        <v>0.74070450097847362</v>
      </c>
    </row>
    <row r="50" spans="2:13" ht="15.75" x14ac:dyDescent="0.25">
      <c r="B50" s="31" t="s">
        <v>21</v>
      </c>
      <c r="C50" s="9">
        <v>0.5</v>
      </c>
      <c r="D50" s="9"/>
      <c r="E50" s="9"/>
      <c r="F50" s="9"/>
      <c r="G50" s="9"/>
      <c r="H50" s="9"/>
      <c r="I50" s="9">
        <v>0.5</v>
      </c>
      <c r="J50" s="9">
        <v>0.5</v>
      </c>
      <c r="K50" s="9">
        <v>0.5</v>
      </c>
      <c r="L50" s="9">
        <v>0.5</v>
      </c>
      <c r="M50" s="9">
        <v>0.5</v>
      </c>
    </row>
    <row r="51" spans="2:13" ht="15.75" x14ac:dyDescent="0.25">
      <c r="B51" s="6" t="s">
        <v>22</v>
      </c>
      <c r="C51" s="8">
        <f>C50*C49</f>
        <v>0.25391389432485334</v>
      </c>
      <c r="D51" s="8"/>
      <c r="E51" s="8"/>
      <c r="F51" s="8"/>
      <c r="G51" s="8"/>
      <c r="H51" s="8"/>
      <c r="I51" s="8">
        <f t="shared" ref="I51:M51" si="15">I50*I49</f>
        <v>0.25391389432485334</v>
      </c>
      <c r="J51" s="8">
        <f t="shared" si="15"/>
        <v>0.27904137083528002</v>
      </c>
      <c r="K51" s="8">
        <f t="shared" si="15"/>
        <v>0.30665547801025117</v>
      </c>
      <c r="L51" s="8">
        <f t="shared" si="15"/>
        <v>0.3370022943630343</v>
      </c>
      <c r="M51" s="8">
        <f t="shared" si="15"/>
        <v>0.37035225048923681</v>
      </c>
    </row>
    <row r="52" spans="2:13" ht="15.75" x14ac:dyDescent="0.25">
      <c r="B52" s="6" t="s">
        <v>23</v>
      </c>
      <c r="C52" s="8">
        <f>C51*100000000/1000000</f>
        <v>25.391389432485333</v>
      </c>
      <c r="D52" s="8"/>
      <c r="E52" s="8"/>
      <c r="F52" s="8"/>
      <c r="G52" s="8"/>
      <c r="H52" s="8"/>
      <c r="I52" s="8">
        <f t="shared" ref="I52:M52" si="16">I51*100000000/1000000</f>
        <v>25.391389432485333</v>
      </c>
      <c r="J52" s="8">
        <f t="shared" si="16"/>
        <v>27.904137083527999</v>
      </c>
      <c r="K52" s="8">
        <f t="shared" si="16"/>
        <v>30.66554780102512</v>
      </c>
      <c r="L52" s="8">
        <f t="shared" si="16"/>
        <v>33.700229436303431</v>
      </c>
      <c r="M52" s="8">
        <f t="shared" si="16"/>
        <v>37.035225048923678</v>
      </c>
    </row>
    <row r="53" spans="2:13" ht="15.75" x14ac:dyDescent="0.25">
      <c r="B53" s="6" t="s">
        <v>24</v>
      </c>
      <c r="C53" s="8">
        <v>4</v>
      </c>
      <c r="D53" s="8"/>
      <c r="E53" s="8"/>
      <c r="F53" s="8"/>
      <c r="G53" s="8"/>
      <c r="H53" s="8"/>
      <c r="I53" s="8">
        <v>4</v>
      </c>
      <c r="J53" s="8">
        <v>4</v>
      </c>
      <c r="K53" s="8">
        <v>4</v>
      </c>
      <c r="L53" s="8">
        <v>4</v>
      </c>
      <c r="M53" s="8">
        <v>4</v>
      </c>
    </row>
    <row r="54" spans="2:13" ht="15.75" x14ac:dyDescent="0.25">
      <c r="B54" s="32" t="s">
        <v>17</v>
      </c>
      <c r="C54" s="33">
        <f>C53*C52</f>
        <v>101.56555772994133</v>
      </c>
      <c r="D54" s="33"/>
      <c r="E54" s="33"/>
      <c r="F54" s="33"/>
      <c r="G54" s="33"/>
      <c r="H54" s="33"/>
      <c r="I54" s="33">
        <f t="shared" ref="I54:M54" si="17">I53*I52</f>
        <v>101.56555772994133</v>
      </c>
      <c r="J54" s="33">
        <f t="shared" si="17"/>
        <v>111.616548334112</v>
      </c>
      <c r="K54" s="33">
        <f t="shared" si="17"/>
        <v>122.66219120410048</v>
      </c>
      <c r="L54" s="33">
        <f t="shared" si="17"/>
        <v>134.80091774521372</v>
      </c>
      <c r="M54" s="33">
        <f t="shared" si="17"/>
        <v>148.14090019569471</v>
      </c>
    </row>
    <row r="55" spans="2:13" ht="15.75" x14ac:dyDescent="0.25">
      <c r="B55" s="6" t="s">
        <v>25</v>
      </c>
      <c r="C55" s="8">
        <v>0.7</v>
      </c>
      <c r="D55" s="8"/>
      <c r="E55" s="8"/>
      <c r="F55" s="8"/>
      <c r="G55" s="8"/>
      <c r="H55" s="8"/>
      <c r="I55" s="8">
        <v>0.7</v>
      </c>
      <c r="J55" s="8">
        <v>0.7</v>
      </c>
      <c r="K55" s="8">
        <v>0.7</v>
      </c>
      <c r="L55" s="8">
        <v>0.7</v>
      </c>
      <c r="M55" s="8">
        <v>0.7</v>
      </c>
    </row>
    <row r="56" spans="2:13" ht="15.75" x14ac:dyDescent="0.25">
      <c r="B56" s="6" t="s">
        <v>26</v>
      </c>
      <c r="C56" s="9">
        <v>0.85</v>
      </c>
      <c r="D56" s="9"/>
      <c r="E56" s="9"/>
      <c r="F56" s="9"/>
      <c r="G56" s="9"/>
      <c r="H56" s="9"/>
      <c r="I56" s="9">
        <v>0.85</v>
      </c>
      <c r="J56" s="9">
        <v>0.85</v>
      </c>
      <c r="K56" s="9">
        <v>0.85</v>
      </c>
      <c r="L56" s="9">
        <v>0.85</v>
      </c>
      <c r="M56" s="9">
        <v>0.85</v>
      </c>
    </row>
    <row r="57" spans="2:13" ht="15.75" x14ac:dyDescent="0.25">
      <c r="B57" s="6" t="s">
        <v>27</v>
      </c>
      <c r="C57" s="8">
        <v>2</v>
      </c>
      <c r="D57" s="8"/>
      <c r="E57" s="8"/>
      <c r="F57" s="8"/>
      <c r="G57" s="8"/>
      <c r="H57" s="8"/>
      <c r="I57" s="8">
        <v>2</v>
      </c>
      <c r="J57" s="8">
        <v>2</v>
      </c>
      <c r="K57" s="8">
        <v>2</v>
      </c>
      <c r="L57" s="8">
        <v>2</v>
      </c>
      <c r="M57" s="8">
        <v>2</v>
      </c>
    </row>
    <row r="58" spans="2:13" ht="15.75" x14ac:dyDescent="0.25">
      <c r="B58" s="6" t="s">
        <v>30</v>
      </c>
      <c r="C58" s="8">
        <f>C54*C57*C55*C56*C44</f>
        <v>44115.000000000015</v>
      </c>
      <c r="D58" s="8"/>
      <c r="E58" s="8"/>
      <c r="F58" s="8"/>
      <c r="G58" s="8"/>
      <c r="H58" s="8"/>
      <c r="I58" s="8">
        <f t="shared" ref="I58:M58" si="18">I54*I57*I55*I56*I44</f>
        <v>44115.000000000015</v>
      </c>
      <c r="J58" s="8">
        <f t="shared" si="18"/>
        <v>48480.647768921539</v>
      </c>
      <c r="K58" s="8">
        <f t="shared" si="18"/>
        <v>53278.322749501029</v>
      </c>
      <c r="L58" s="8">
        <f t="shared" si="18"/>
        <v>58550.778622633574</v>
      </c>
      <c r="M58" s="8">
        <f t="shared" si="18"/>
        <v>64345</v>
      </c>
    </row>
    <row r="59" spans="2:13" ht="15.75" x14ac:dyDescent="0.25">
      <c r="B59" s="6" t="s">
        <v>28</v>
      </c>
      <c r="C59" s="8">
        <v>2.2000000000000002</v>
      </c>
      <c r="D59" s="8"/>
      <c r="E59" s="8"/>
      <c r="F59" s="8"/>
      <c r="G59" s="8"/>
      <c r="H59" s="8"/>
      <c r="I59" s="8">
        <v>2.2000000000000002</v>
      </c>
      <c r="J59" s="8">
        <f>(POWER($M$112/$I$112,1/4))*I59</f>
        <v>2.0603302680507372</v>
      </c>
      <c r="K59" s="8">
        <f t="shared" ref="K59:L59" si="19">(POWER($M$112/$I$112,1/4))*J59</f>
        <v>1.9295276424754644</v>
      </c>
      <c r="L59" s="8">
        <f t="shared" si="19"/>
        <v>1.8070291840149</v>
      </c>
      <c r="M59" s="8">
        <f>I59/(1+30%)</f>
        <v>1.6923076923076923</v>
      </c>
    </row>
    <row r="60" spans="2:13" ht="15.75" x14ac:dyDescent="0.25">
      <c r="B60" s="6" t="s">
        <v>31</v>
      </c>
      <c r="C60" s="8">
        <f>C54*1000*C59</f>
        <v>223444.22700587093</v>
      </c>
      <c r="D60" s="46"/>
      <c r="E60" s="46"/>
      <c r="F60" s="46"/>
      <c r="G60" s="46"/>
      <c r="H60" s="46"/>
      <c r="I60" s="8">
        <f t="shared" ref="I60:M60" si="20">I54*1000*I59</f>
        <v>223444.22700587093</v>
      </c>
      <c r="J60" s="8">
        <f t="shared" si="20"/>
        <v>229966.95294811903</v>
      </c>
      <c r="K60" s="8">
        <f t="shared" si="20"/>
        <v>236680.08861492266</v>
      </c>
      <c r="L60" s="8">
        <f t="shared" si="20"/>
        <v>243589.1923975932</v>
      </c>
      <c r="M60" s="8">
        <f t="shared" si="20"/>
        <v>250699.98494656026</v>
      </c>
    </row>
    <row r="61" spans="2:13" ht="15.75" x14ac:dyDescent="0.25">
      <c r="B61" s="6" t="s">
        <v>29</v>
      </c>
      <c r="C61" s="8">
        <f>C60/C58</f>
        <v>5.0650397145159438</v>
      </c>
      <c r="D61" s="8"/>
      <c r="E61" s="8"/>
      <c r="F61" s="8"/>
      <c r="G61" s="8"/>
      <c r="H61" s="8"/>
      <c r="I61" s="8">
        <f t="shared" ref="I61:M61" si="21">I60/I58</f>
        <v>5.0650397145159438</v>
      </c>
      <c r="J61" s="8">
        <f t="shared" si="21"/>
        <v>4.7434793784983018</v>
      </c>
      <c r="K61" s="8">
        <f t="shared" si="21"/>
        <v>4.442333699724796</v>
      </c>
      <c r="L61" s="8">
        <f t="shared" si="21"/>
        <v>4.1603066283294581</v>
      </c>
      <c r="M61" s="8">
        <f t="shared" si="21"/>
        <v>3.8961843957814946</v>
      </c>
    </row>
    <row r="62" spans="2:13" ht="15.75" x14ac:dyDescent="0.25">
      <c r="B62" s="6" t="s">
        <v>56</v>
      </c>
      <c r="D62" s="8"/>
      <c r="E62" s="8"/>
      <c r="F62" s="8"/>
      <c r="G62" s="8"/>
      <c r="H62" s="8"/>
      <c r="I62" s="40">
        <f>I52/I3*I4</f>
        <v>0.2711474657788463</v>
      </c>
      <c r="J62" s="40">
        <f t="shared" ref="J62:M62" si="22">J52/J3*J4</f>
        <v>0.45986555977027499</v>
      </c>
      <c r="K62" s="40">
        <f t="shared" si="22"/>
        <v>0.77579451526090937</v>
      </c>
      <c r="L62" s="40">
        <f t="shared" si="22"/>
        <v>1.3004807881668543</v>
      </c>
      <c r="M62" s="40">
        <f t="shared" si="22"/>
        <v>2.1636046787161045</v>
      </c>
    </row>
    <row r="63" spans="2:13" ht="15.75" x14ac:dyDescent="0.25">
      <c r="B63" s="6" t="s">
        <v>57</v>
      </c>
      <c r="C63" s="8"/>
      <c r="D63" s="8"/>
      <c r="E63" s="8"/>
      <c r="F63" s="8"/>
      <c r="G63" s="8"/>
      <c r="H63" s="8"/>
      <c r="I63" s="40">
        <f>I52/I3*I5</f>
        <v>6.4857091278530871E-2</v>
      </c>
      <c r="J63" s="40">
        <f t="shared" ref="J63:M63" si="23">J52/J3*J5</f>
        <v>0.17027767578395572</v>
      </c>
      <c r="K63" s="40">
        <f t="shared" si="23"/>
        <v>0.28725892630567679</v>
      </c>
      <c r="L63" s="40">
        <f t="shared" si="23"/>
        <v>0.481538226348936</v>
      </c>
      <c r="M63" s="40">
        <f t="shared" si="23"/>
        <v>0.80113321856742437</v>
      </c>
    </row>
    <row r="64" spans="2:13" ht="15.75" x14ac:dyDescent="0.25">
      <c r="B64" s="6" t="s">
        <v>33</v>
      </c>
      <c r="C64" s="8"/>
      <c r="D64" s="8"/>
      <c r="E64" s="8"/>
      <c r="F64" s="8"/>
      <c r="G64" s="8"/>
      <c r="H64" s="8"/>
      <c r="I64" s="41">
        <f>I52/$C$26</f>
        <v>0.19150408191504084</v>
      </c>
      <c r="J64" s="41">
        <f>J52/$C$26</f>
        <v>0.21045544467037947</v>
      </c>
      <c r="K64" s="41">
        <f>K52/$C$26</f>
        <v>0.23128224604140152</v>
      </c>
      <c r="L64" s="41">
        <f>L52/$C$26</f>
        <v>0.25417008059703589</v>
      </c>
      <c r="M64" s="41">
        <f>M52/$C$26</f>
        <v>0.27932290945989569</v>
      </c>
    </row>
    <row r="65" spans="2:13" ht="16.350000000000001" thickBot="1" x14ac:dyDescent="0.3">
      <c r="B65" s="34" t="s">
        <v>32</v>
      </c>
      <c r="C65" s="35"/>
      <c r="D65" s="35"/>
      <c r="E65" s="35"/>
      <c r="F65" s="35"/>
      <c r="G65" s="35"/>
      <c r="H65" s="35"/>
      <c r="I65" s="42"/>
      <c r="J65" s="43">
        <f>J52/I52-1</f>
        <v>9.8960620399445309E-2</v>
      </c>
      <c r="K65" s="43">
        <f t="shared" ref="K65:M65" si="24">K52/J52-1</f>
        <v>9.8960620399446197E-2</v>
      </c>
      <c r="L65" s="43">
        <f t="shared" si="24"/>
        <v>9.8960620399445975E-2</v>
      </c>
      <c r="M65" s="43">
        <f t="shared" si="24"/>
        <v>9.8960620399445531E-2</v>
      </c>
    </row>
    <row r="67" spans="2:13" ht="18.149999999999999" thickBot="1" x14ac:dyDescent="0.3">
      <c r="B67" s="36"/>
      <c r="C67" s="36"/>
      <c r="D67" s="36"/>
      <c r="E67" s="36"/>
      <c r="F67" s="36"/>
      <c r="G67" s="36"/>
      <c r="H67" s="36"/>
      <c r="I67" s="36"/>
      <c r="J67" s="36"/>
      <c r="K67" s="36"/>
      <c r="L67" s="36"/>
      <c r="M67" s="36"/>
    </row>
    <row r="68" spans="2:13" ht="16.350000000000001" x14ac:dyDescent="0.25">
      <c r="B68" s="37"/>
      <c r="C68" s="38" t="s">
        <v>55</v>
      </c>
      <c r="D68" s="38"/>
      <c r="E68" s="38"/>
      <c r="F68" s="38"/>
      <c r="G68" s="38"/>
      <c r="H68" s="38"/>
      <c r="I68" s="38">
        <v>2021</v>
      </c>
      <c r="J68" s="56" t="s">
        <v>58</v>
      </c>
      <c r="K68" s="56" t="s">
        <v>59</v>
      </c>
      <c r="L68" s="56" t="s">
        <v>60</v>
      </c>
      <c r="M68" s="56" t="s">
        <v>61</v>
      </c>
    </row>
    <row r="69" spans="2:13" ht="15.75" x14ac:dyDescent="0.25">
      <c r="B69" s="6" t="s">
        <v>44</v>
      </c>
      <c r="C69" s="8">
        <v>2260</v>
      </c>
      <c r="D69" s="8"/>
      <c r="E69" s="8"/>
      <c r="F69" s="8"/>
      <c r="G69" s="8"/>
      <c r="H69" s="8"/>
      <c r="I69" s="8">
        <v>2260</v>
      </c>
      <c r="J69" s="8">
        <f>(POWER($M$69/$I$69,1/4))*I69</f>
        <v>2738.9375037047839</v>
      </c>
      <c r="K69" s="8">
        <f t="shared" ref="K69:L69" si="25">(POWER($M$69/$I$69,1/4))*J69</f>
        <v>3319.3710837170765</v>
      </c>
      <c r="L69" s="8">
        <f t="shared" si="25"/>
        <v>4022.8097123477401</v>
      </c>
      <c r="M69" s="8">
        <v>4875.3205271756997</v>
      </c>
    </row>
    <row r="70" spans="2:13" ht="15.75" x14ac:dyDescent="0.25">
      <c r="B70" s="6" t="s">
        <v>37</v>
      </c>
      <c r="C70" s="8">
        <v>365</v>
      </c>
      <c r="D70" s="8"/>
      <c r="E70" s="8"/>
      <c r="F70" s="8"/>
      <c r="G70" s="8"/>
      <c r="H70" s="8"/>
      <c r="I70" s="8">
        <v>365</v>
      </c>
      <c r="J70" s="8">
        <v>365</v>
      </c>
      <c r="K70" s="8">
        <v>365</v>
      </c>
      <c r="L70" s="8">
        <v>365</v>
      </c>
      <c r="M70" s="8">
        <v>365</v>
      </c>
    </row>
    <row r="71" spans="2:13" ht="15.75" x14ac:dyDescent="0.25">
      <c r="B71" s="6" t="s">
        <v>38</v>
      </c>
      <c r="C71" s="8">
        <v>24</v>
      </c>
      <c r="D71" s="8"/>
      <c r="E71" s="8"/>
      <c r="F71" s="8"/>
      <c r="G71" s="8"/>
      <c r="H71" s="8"/>
      <c r="I71" s="8">
        <v>24</v>
      </c>
      <c r="J71" s="8">
        <v>24</v>
      </c>
      <c r="K71" s="8">
        <v>24</v>
      </c>
      <c r="L71" s="8">
        <v>24</v>
      </c>
      <c r="M71" s="8">
        <v>24</v>
      </c>
    </row>
    <row r="72" spans="2:13" ht="15.75" x14ac:dyDescent="0.25">
      <c r="B72" s="6" t="s">
        <v>45</v>
      </c>
      <c r="C72" s="8">
        <f>C69/C70/C71</f>
        <v>0.25799086757990869</v>
      </c>
      <c r="D72" s="8"/>
      <c r="E72" s="8"/>
      <c r="F72" s="8"/>
      <c r="G72" s="8"/>
      <c r="H72" s="8"/>
      <c r="I72" s="8">
        <f>I69/I70/I71</f>
        <v>0.25799086757990869</v>
      </c>
      <c r="J72" s="8">
        <f t="shared" ref="J72:M72" si="26">J69/J70/J71</f>
        <v>0.31266409859643651</v>
      </c>
      <c r="K72" s="8">
        <f t="shared" si="26"/>
        <v>0.37892363969373016</v>
      </c>
      <c r="L72" s="8">
        <f t="shared" si="26"/>
        <v>0.45922485300773291</v>
      </c>
      <c r="M72" s="8">
        <f t="shared" si="26"/>
        <v>0.55654343917530824</v>
      </c>
    </row>
    <row r="73" spans="2:13" ht="15.75" x14ac:dyDescent="0.25">
      <c r="B73" s="31" t="s">
        <v>39</v>
      </c>
      <c r="C73" s="9">
        <v>0.7</v>
      </c>
      <c r="D73" s="9"/>
      <c r="E73" s="9"/>
      <c r="F73" s="9"/>
      <c r="G73" s="9"/>
      <c r="H73" s="9"/>
      <c r="I73" s="9">
        <v>0.7</v>
      </c>
      <c r="J73" s="9">
        <v>0.7</v>
      </c>
      <c r="K73" s="9">
        <v>0.7</v>
      </c>
      <c r="L73" s="9">
        <v>0.7</v>
      </c>
      <c r="M73" s="9">
        <v>0.7</v>
      </c>
    </row>
    <row r="74" spans="2:13" ht="15.75" x14ac:dyDescent="0.25">
      <c r="B74" s="6" t="s">
        <v>46</v>
      </c>
      <c r="C74" s="8">
        <f>C72/C73</f>
        <v>0.36855838225701243</v>
      </c>
      <c r="D74" s="8"/>
      <c r="E74" s="8"/>
      <c r="F74" s="8"/>
      <c r="G74" s="8"/>
      <c r="H74" s="8"/>
      <c r="I74" s="8">
        <f>I72/I73</f>
        <v>0.36855838225701243</v>
      </c>
      <c r="J74" s="8">
        <f t="shared" ref="J74:M74" si="27">J72/J73</f>
        <v>0.44666299799490933</v>
      </c>
      <c r="K74" s="8">
        <f t="shared" si="27"/>
        <v>0.54131948527675744</v>
      </c>
      <c r="L74" s="8">
        <f t="shared" si="27"/>
        <v>0.65603550429676138</v>
      </c>
      <c r="M74" s="8">
        <f t="shared" si="27"/>
        <v>0.79506205596472612</v>
      </c>
    </row>
    <row r="75" spans="2:13" ht="15.75" x14ac:dyDescent="0.25">
      <c r="B75" s="6" t="s">
        <v>20</v>
      </c>
      <c r="C75" s="8">
        <f>C74-C72</f>
        <v>0.11056751467710374</v>
      </c>
      <c r="D75" s="8"/>
      <c r="E75" s="8"/>
      <c r="F75" s="8"/>
      <c r="G75" s="8"/>
      <c r="H75" s="8"/>
      <c r="I75" s="8">
        <f>I74-I72</f>
        <v>0.11056751467710374</v>
      </c>
      <c r="J75" s="8">
        <f t="shared" ref="J75:M75" si="28">J74-J72</f>
        <v>0.13399889939847281</v>
      </c>
      <c r="K75" s="8">
        <f t="shared" si="28"/>
        <v>0.16239584558302728</v>
      </c>
      <c r="L75" s="8">
        <f t="shared" si="28"/>
        <v>0.19681065128902847</v>
      </c>
      <c r="M75" s="8">
        <f t="shared" si="28"/>
        <v>0.23851861678941788</v>
      </c>
    </row>
    <row r="76" spans="2:13" ht="15.75" x14ac:dyDescent="0.25">
      <c r="B76" s="31" t="s">
        <v>21</v>
      </c>
      <c r="C76" s="9">
        <v>0.5</v>
      </c>
      <c r="D76" s="9"/>
      <c r="E76" s="9"/>
      <c r="F76" s="9"/>
      <c r="G76" s="9"/>
      <c r="H76" s="9"/>
      <c r="I76" s="9">
        <v>0.5</v>
      </c>
      <c r="J76" s="9">
        <v>0.5</v>
      </c>
      <c r="K76" s="9">
        <v>0.5</v>
      </c>
      <c r="L76" s="9">
        <v>0.5</v>
      </c>
      <c r="M76" s="9">
        <v>0.5</v>
      </c>
    </row>
    <row r="77" spans="2:13" ht="15.75" x14ac:dyDescent="0.25">
      <c r="B77" s="6" t="s">
        <v>22</v>
      </c>
      <c r="C77" s="8">
        <f>C76*C75</f>
        <v>5.528375733855187E-2</v>
      </c>
      <c r="D77" s="8"/>
      <c r="E77" s="8"/>
      <c r="F77" s="8"/>
      <c r="G77" s="8"/>
      <c r="H77" s="8"/>
      <c r="I77" s="8">
        <f>I76*I75</f>
        <v>5.528375733855187E-2</v>
      </c>
      <c r="J77" s="8">
        <f t="shared" ref="J77:M77" si="29">J76*J75</f>
        <v>6.6999449699236407E-2</v>
      </c>
      <c r="K77" s="8">
        <f t="shared" si="29"/>
        <v>8.1197922791513638E-2</v>
      </c>
      <c r="L77" s="8">
        <f t="shared" si="29"/>
        <v>9.8405325644514235E-2</v>
      </c>
      <c r="M77" s="8">
        <f t="shared" si="29"/>
        <v>0.11925930839470894</v>
      </c>
    </row>
    <row r="78" spans="2:13" ht="15.75" x14ac:dyDescent="0.25">
      <c r="B78" s="6" t="s">
        <v>23</v>
      </c>
      <c r="C78" s="8">
        <f>C77*100000000/1000000</f>
        <v>5.5283757338551869</v>
      </c>
      <c r="D78" s="8"/>
      <c r="E78" s="8"/>
      <c r="F78" s="8"/>
      <c r="G78" s="8"/>
      <c r="H78" s="8"/>
      <c r="I78" s="8">
        <f>I77*100000000/1000000</f>
        <v>5.5283757338551869</v>
      </c>
      <c r="J78" s="8">
        <f t="shared" ref="J78:M78" si="30">J77*100000000/1000000</f>
        <v>6.6999449699236404</v>
      </c>
      <c r="K78" s="8">
        <f t="shared" si="30"/>
        <v>8.1197922791513637</v>
      </c>
      <c r="L78" s="8">
        <f t="shared" si="30"/>
        <v>9.8405325644514239</v>
      </c>
      <c r="M78" s="8">
        <f t="shared" si="30"/>
        <v>11.925930839470894</v>
      </c>
    </row>
    <row r="79" spans="2:13" ht="15.75" x14ac:dyDescent="0.25">
      <c r="B79" s="6" t="s">
        <v>24</v>
      </c>
      <c r="C79" s="8">
        <v>4</v>
      </c>
      <c r="D79" s="8"/>
      <c r="E79" s="8"/>
      <c r="F79" s="8"/>
      <c r="G79" s="8"/>
      <c r="H79" s="8"/>
      <c r="I79" s="8">
        <v>4</v>
      </c>
      <c r="J79" s="8">
        <v>4</v>
      </c>
      <c r="K79" s="8">
        <v>4</v>
      </c>
      <c r="L79" s="8">
        <v>4</v>
      </c>
      <c r="M79" s="8">
        <v>4</v>
      </c>
    </row>
    <row r="80" spans="2:13" ht="15.75" x14ac:dyDescent="0.25">
      <c r="B80" s="32" t="s">
        <v>17</v>
      </c>
      <c r="C80" s="33">
        <f>C79*C78</f>
        <v>22.113502935420748</v>
      </c>
      <c r="D80" s="33"/>
      <c r="E80" s="33"/>
      <c r="F80" s="33"/>
      <c r="G80" s="33"/>
      <c r="H80" s="33"/>
      <c r="I80" s="33">
        <f>I79*I78</f>
        <v>22.113502935420748</v>
      </c>
      <c r="J80" s="33">
        <f t="shared" ref="J80:M80" si="31">J79*J78</f>
        <v>26.799779879694562</v>
      </c>
      <c r="K80" s="33">
        <f t="shared" si="31"/>
        <v>32.479169116605455</v>
      </c>
      <c r="L80" s="33">
        <f t="shared" si="31"/>
        <v>39.362130257805696</v>
      </c>
      <c r="M80" s="33">
        <f t="shared" si="31"/>
        <v>47.703723357883575</v>
      </c>
    </row>
    <row r="81" spans="2:581" ht="15.75" x14ac:dyDescent="0.25">
      <c r="B81" s="6" t="s">
        <v>25</v>
      </c>
      <c r="C81" s="8">
        <v>0.7</v>
      </c>
      <c r="D81" s="8"/>
      <c r="E81" s="8"/>
      <c r="F81" s="8"/>
      <c r="G81" s="8"/>
      <c r="H81" s="8"/>
      <c r="I81" s="8">
        <v>0.7</v>
      </c>
      <c r="J81" s="8">
        <v>0.7</v>
      </c>
      <c r="K81" s="8">
        <v>0.7</v>
      </c>
      <c r="L81" s="8">
        <v>0.7</v>
      </c>
      <c r="M81" s="8">
        <v>0.7</v>
      </c>
      <c r="VI81" s="30" t="s">
        <v>53</v>
      </c>
    </row>
    <row r="82" spans="2:581" ht="15.75" x14ac:dyDescent="0.25">
      <c r="B82" s="6" t="s">
        <v>26</v>
      </c>
      <c r="C82" s="9">
        <v>0.85</v>
      </c>
      <c r="D82" s="9"/>
      <c r="E82" s="9"/>
      <c r="F82" s="9"/>
      <c r="G82" s="9"/>
      <c r="H82" s="9"/>
      <c r="I82" s="9">
        <v>0.85</v>
      </c>
      <c r="J82" s="9">
        <v>0.85</v>
      </c>
      <c r="K82" s="9">
        <v>0.85</v>
      </c>
      <c r="L82" s="9">
        <v>0.85</v>
      </c>
      <c r="M82" s="9">
        <v>0.85</v>
      </c>
    </row>
    <row r="83" spans="2:581" ht="15.75" x14ac:dyDescent="0.25">
      <c r="B83" s="6" t="s">
        <v>27</v>
      </c>
      <c r="C83" s="8">
        <v>2</v>
      </c>
      <c r="D83" s="8"/>
      <c r="E83" s="8"/>
      <c r="F83" s="8"/>
      <c r="G83" s="8"/>
      <c r="H83" s="8"/>
      <c r="I83" s="8">
        <v>2</v>
      </c>
      <c r="J83" s="8">
        <v>2</v>
      </c>
      <c r="K83" s="8">
        <v>2</v>
      </c>
      <c r="L83" s="8">
        <v>2</v>
      </c>
      <c r="M83" s="8">
        <v>2</v>
      </c>
    </row>
    <row r="84" spans="2:581" ht="15.75" x14ac:dyDescent="0.25">
      <c r="B84" s="6" t="s">
        <v>30</v>
      </c>
      <c r="C84" s="8">
        <f>C80*C83*C81*C82*C70</f>
        <v>9605</v>
      </c>
      <c r="D84" s="8"/>
      <c r="E84" s="8"/>
      <c r="F84" s="8"/>
      <c r="G84" s="8"/>
      <c r="H84" s="8"/>
      <c r="I84" s="8">
        <f>I80*I83*I81*I82*I70</f>
        <v>9605</v>
      </c>
      <c r="J84" s="8">
        <f t="shared" ref="J84:M84" si="32">J80*J83*J81*J82*J70</f>
        <v>11640.484390745331</v>
      </c>
      <c r="K84" s="8">
        <f t="shared" si="32"/>
        <v>14107.327105797576</v>
      </c>
      <c r="L84" s="8">
        <f t="shared" si="32"/>
        <v>17096.941277477905</v>
      </c>
      <c r="M84" s="8">
        <f t="shared" si="32"/>
        <v>20720.112240496728</v>
      </c>
    </row>
    <row r="85" spans="2:581" ht="15.75" x14ac:dyDescent="0.25">
      <c r="B85" s="6" t="s">
        <v>28</v>
      </c>
      <c r="C85" s="8">
        <v>2.2000000000000002</v>
      </c>
      <c r="D85" s="8"/>
      <c r="E85" s="8"/>
      <c r="F85" s="8"/>
      <c r="G85" s="8"/>
      <c r="H85" s="8"/>
      <c r="I85" s="8">
        <v>2.2000000000000002</v>
      </c>
      <c r="J85" s="8">
        <f>(POWER($M$112/$I$112,1/4))*I85</f>
        <v>2.0603302680507372</v>
      </c>
      <c r="K85" s="8">
        <f t="shared" ref="K85:L85" si="33">(POWER($M$112/$I$112,1/4))*J85</f>
        <v>1.9295276424754644</v>
      </c>
      <c r="L85" s="8">
        <f t="shared" si="33"/>
        <v>1.8070291840149</v>
      </c>
      <c r="M85" s="8">
        <f>I85/(1+30%)</f>
        <v>1.6923076923076923</v>
      </c>
    </row>
    <row r="86" spans="2:581" ht="15.75" x14ac:dyDescent="0.25">
      <c r="B86" s="6" t="s">
        <v>31</v>
      </c>
      <c r="C86" s="8">
        <f>C80*1000*C85</f>
        <v>48649.706457925648</v>
      </c>
      <c r="D86" s="46"/>
      <c r="E86" s="46"/>
      <c r="F86" s="46"/>
      <c r="G86" s="46"/>
      <c r="H86" s="46"/>
      <c r="I86" s="8">
        <f>I80*1000*I85</f>
        <v>48649.706457925648</v>
      </c>
      <c r="J86" s="8">
        <f t="shared" ref="J86:M86" si="34">J80*1000*J85</f>
        <v>55216.397663231844</v>
      </c>
      <c r="K86" s="8">
        <f t="shared" si="34"/>
        <v>62669.454615125636</v>
      </c>
      <c r="L86" s="8">
        <f t="shared" si="34"/>
        <v>71128.518120850829</v>
      </c>
      <c r="M86" s="8">
        <f t="shared" si="34"/>
        <v>80729.377990264504</v>
      </c>
    </row>
    <row r="87" spans="2:581" ht="15.75" x14ac:dyDescent="0.25">
      <c r="B87" s="6" t="s">
        <v>29</v>
      </c>
      <c r="C87" s="8">
        <f>C86/C84</f>
        <v>5.0650397145159447</v>
      </c>
      <c r="D87" s="8"/>
      <c r="E87" s="8"/>
      <c r="F87" s="8"/>
      <c r="G87" s="8"/>
      <c r="H87" s="8"/>
      <c r="I87" s="8">
        <f>I86/I84</f>
        <v>5.0650397145159447</v>
      </c>
      <c r="J87" s="8">
        <f t="shared" ref="J87:M87" si="35">J86/J84</f>
        <v>4.7434793784983018</v>
      </c>
      <c r="K87" s="8">
        <f t="shared" si="35"/>
        <v>4.4423336997247951</v>
      </c>
      <c r="L87" s="8">
        <f t="shared" si="35"/>
        <v>4.1603066283294572</v>
      </c>
      <c r="M87" s="8">
        <f t="shared" si="35"/>
        <v>3.896184395781495</v>
      </c>
    </row>
    <row r="88" spans="2:581" ht="15.75" x14ac:dyDescent="0.25">
      <c r="B88" s="6" t="s">
        <v>56</v>
      </c>
      <c r="D88" s="8"/>
      <c r="E88" s="8"/>
      <c r="F88" s="8"/>
      <c r="G88" s="8"/>
      <c r="H88" s="8"/>
      <c r="I88" s="40">
        <f>I78/I3*I4</f>
        <v>5.9035960757243974E-2</v>
      </c>
      <c r="J88" s="40">
        <f t="shared" ref="J88:M88" si="36">J78/J3*J4</f>
        <v>0.11041638502567248</v>
      </c>
      <c r="K88" s="40">
        <f t="shared" si="36"/>
        <v>0.20541913537944131</v>
      </c>
      <c r="L88" s="40">
        <f t="shared" si="36"/>
        <v>0.37974292043286251</v>
      </c>
      <c r="M88" s="40">
        <f t="shared" si="36"/>
        <v>0.69671507944768907</v>
      </c>
    </row>
    <row r="89" spans="2:581" ht="15.75" x14ac:dyDescent="0.25">
      <c r="B89" s="6" t="s">
        <v>57</v>
      </c>
      <c r="C89" s="8"/>
      <c r="D89" s="8"/>
      <c r="E89" s="8"/>
      <c r="F89" s="8"/>
      <c r="G89" s="8"/>
      <c r="H89" s="8"/>
      <c r="I89" s="40">
        <f>I78/I3*I5</f>
        <v>1.4121100798601131E-2</v>
      </c>
      <c r="J89" s="40">
        <f t="shared" ref="J89:M89" si="37">J78/J3*J5</f>
        <v>4.0884656420085277E-2</v>
      </c>
      <c r="K89" s="40">
        <f t="shared" si="37"/>
        <v>7.6061997231178527E-2</v>
      </c>
      <c r="L89" s="40">
        <f t="shared" si="37"/>
        <v>0.14061009900158891</v>
      </c>
      <c r="M89" s="40">
        <f t="shared" si="37"/>
        <v>0.25797762387609657</v>
      </c>
    </row>
    <row r="90" spans="2:581" ht="15.75" x14ac:dyDescent="0.25">
      <c r="B90" s="6" t="s">
        <v>33</v>
      </c>
      <c r="C90" s="9"/>
      <c r="D90" s="9"/>
      <c r="E90" s="9"/>
      <c r="F90" s="9"/>
      <c r="G90" s="9"/>
      <c r="H90" s="9"/>
      <c r="I90" s="44">
        <f>I78/$C$26</f>
        <v>4.1695493750288269E-2</v>
      </c>
      <c r="J90" s="44">
        <f>J78/$C$26</f>
        <v>5.0531571490333167E-2</v>
      </c>
      <c r="K90" s="44">
        <f>K78/$C$26</f>
        <v>6.1240184192926095E-2</v>
      </c>
      <c r="L90" s="44">
        <f>L78/$C$26</f>
        <v>7.4218158061855832E-2</v>
      </c>
      <c r="M90" s="44">
        <f>M78/$C$26</f>
        <v>8.9946414412171022E-2</v>
      </c>
    </row>
    <row r="91" spans="2:581" ht="16.350000000000001" thickBot="1" x14ac:dyDescent="0.3">
      <c r="B91" s="34" t="s">
        <v>32</v>
      </c>
      <c r="C91" s="39"/>
      <c r="D91" s="39"/>
      <c r="E91" s="39"/>
      <c r="F91" s="39"/>
      <c r="G91" s="39"/>
      <c r="H91" s="39"/>
      <c r="I91" s="43"/>
      <c r="J91" s="43">
        <f t="shared" ref="J91:M91" si="38">J78/I78-1</f>
        <v>0.21191924942689555</v>
      </c>
      <c r="K91" s="43">
        <f t="shared" si="38"/>
        <v>0.21191924942689577</v>
      </c>
      <c r="L91" s="43">
        <f t="shared" si="38"/>
        <v>0.21191924942689577</v>
      </c>
      <c r="M91" s="43">
        <f t="shared" si="38"/>
        <v>0.21191924942689555</v>
      </c>
    </row>
    <row r="94" spans="2:581" ht="18.149999999999999" thickBot="1" x14ac:dyDescent="0.3">
      <c r="B94" s="36"/>
      <c r="C94" s="36"/>
      <c r="D94" s="36"/>
      <c r="E94" s="36"/>
      <c r="F94" s="36"/>
      <c r="G94" s="36"/>
      <c r="H94" s="36"/>
      <c r="I94" s="36"/>
      <c r="J94" s="36"/>
      <c r="K94" s="36"/>
      <c r="L94" s="36"/>
      <c r="M94" s="36"/>
    </row>
    <row r="95" spans="2:581" ht="16.350000000000001" x14ac:dyDescent="0.25">
      <c r="B95" s="37"/>
      <c r="C95" s="38" t="s">
        <v>55</v>
      </c>
      <c r="D95" s="38"/>
      <c r="E95" s="38"/>
      <c r="F95" s="38"/>
      <c r="G95" s="38"/>
      <c r="H95" s="38"/>
      <c r="I95" s="38">
        <v>2021</v>
      </c>
      <c r="J95" s="57" t="s">
        <v>58</v>
      </c>
      <c r="K95" s="57" t="s">
        <v>59</v>
      </c>
      <c r="L95" s="57" t="s">
        <v>60</v>
      </c>
      <c r="M95" s="57" t="s">
        <v>61</v>
      </c>
    </row>
    <row r="96" spans="2:581" ht="15.75" x14ac:dyDescent="0.25">
      <c r="B96" s="6" t="s">
        <v>47</v>
      </c>
      <c r="C96" s="8">
        <v>220</v>
      </c>
      <c r="D96" s="8"/>
      <c r="E96" s="8"/>
      <c r="F96" s="8"/>
      <c r="G96" s="8"/>
      <c r="H96" s="8"/>
      <c r="I96" s="8">
        <f>C96</f>
        <v>220</v>
      </c>
      <c r="J96" s="8">
        <f>(POWER($M$96/$I$96,1/4))*I96</f>
        <v>300.91212797082375</v>
      </c>
      <c r="K96" s="8">
        <f t="shared" ref="K96" si="39">(POWER($M$96/$I$96,1/4))*J96</f>
        <v>411.58231254513362</v>
      </c>
      <c r="L96" s="8">
        <f>(POWER($M$96/$I$96,1/4))*K96</f>
        <v>562.9550431959492</v>
      </c>
      <c r="M96" s="8">
        <v>770</v>
      </c>
    </row>
    <row r="97" spans="2:13" ht="15.75" x14ac:dyDescent="0.25">
      <c r="B97" s="6" t="s">
        <v>48</v>
      </c>
      <c r="C97" s="8">
        <v>360</v>
      </c>
      <c r="D97" s="8"/>
      <c r="E97" s="8"/>
      <c r="F97" s="8"/>
      <c r="G97" s="8"/>
      <c r="H97" s="8"/>
      <c r="I97" s="8">
        <v>360</v>
      </c>
      <c r="J97" s="8">
        <v>360</v>
      </c>
      <c r="K97" s="8">
        <v>360</v>
      </c>
      <c r="L97" s="8">
        <v>360</v>
      </c>
      <c r="M97" s="8">
        <v>360</v>
      </c>
    </row>
    <row r="98" spans="2:13" ht="15.75" x14ac:dyDescent="0.25">
      <c r="B98" s="6" t="s">
        <v>49</v>
      </c>
      <c r="C98" s="8">
        <v>3</v>
      </c>
      <c r="D98" s="8"/>
      <c r="E98" s="8"/>
      <c r="F98" s="8"/>
      <c r="G98" s="8"/>
      <c r="H98" s="8"/>
      <c r="I98" s="8">
        <v>3</v>
      </c>
      <c r="J98" s="8">
        <v>3</v>
      </c>
      <c r="K98" s="8">
        <v>3</v>
      </c>
      <c r="L98" s="8">
        <v>3</v>
      </c>
      <c r="M98" s="8">
        <v>3</v>
      </c>
    </row>
    <row r="99" spans="2:13" ht="15.75" x14ac:dyDescent="0.25">
      <c r="B99" s="6" t="s">
        <v>50</v>
      </c>
      <c r="C99" s="8">
        <f>C96/C97/C98</f>
        <v>0.20370370370370372</v>
      </c>
      <c r="D99" s="8"/>
      <c r="E99" s="8"/>
      <c r="F99" s="8"/>
      <c r="G99" s="8"/>
      <c r="H99" s="8"/>
      <c r="I99" s="8">
        <f t="shared" ref="I99:M99" si="40">I96/I97/I98</f>
        <v>0.20370370370370372</v>
      </c>
      <c r="J99" s="8">
        <f t="shared" si="40"/>
        <v>0.27862234071372566</v>
      </c>
      <c r="K99" s="8">
        <f t="shared" si="40"/>
        <v>0.38109473383808673</v>
      </c>
      <c r="L99" s="8">
        <f t="shared" si="40"/>
        <v>0.52125466962587896</v>
      </c>
      <c r="M99" s="8">
        <f t="shared" si="40"/>
        <v>0.71296296296296291</v>
      </c>
    </row>
    <row r="100" spans="2:13" ht="15.75" x14ac:dyDescent="0.25">
      <c r="B100" s="31" t="s">
        <v>51</v>
      </c>
      <c r="C100" s="9">
        <v>0.7</v>
      </c>
      <c r="D100" s="9"/>
      <c r="E100" s="9"/>
      <c r="F100" s="9"/>
      <c r="G100" s="9"/>
      <c r="H100" s="9"/>
      <c r="I100" s="9">
        <v>0.7</v>
      </c>
      <c r="J100" s="9">
        <v>0.7</v>
      </c>
      <c r="K100" s="9">
        <v>0.7</v>
      </c>
      <c r="L100" s="9">
        <v>0.7</v>
      </c>
      <c r="M100" s="9">
        <v>0.7</v>
      </c>
    </row>
    <row r="101" spans="2:13" ht="15.75" x14ac:dyDescent="0.25">
      <c r="B101" s="6" t="s">
        <v>52</v>
      </c>
      <c r="C101" s="8">
        <f>C99/C100</f>
        <v>0.29100529100529104</v>
      </c>
      <c r="D101" s="8"/>
      <c r="E101" s="8"/>
      <c r="F101" s="8"/>
      <c r="G101" s="8"/>
      <c r="H101" s="8"/>
      <c r="I101" s="8">
        <f t="shared" ref="I101:M101" si="41">I99/I100</f>
        <v>0.29100529100529104</v>
      </c>
      <c r="J101" s="8">
        <f>J99/J100</f>
        <v>0.39803191530532239</v>
      </c>
      <c r="K101" s="8">
        <f t="shared" si="41"/>
        <v>0.54442104834012395</v>
      </c>
      <c r="L101" s="8">
        <f t="shared" si="41"/>
        <v>0.74464952803697004</v>
      </c>
      <c r="M101" s="8">
        <f t="shared" si="41"/>
        <v>1.0185185185185186</v>
      </c>
    </row>
    <row r="102" spans="2:13" ht="15.75" x14ac:dyDescent="0.25">
      <c r="B102" s="6" t="s">
        <v>20</v>
      </c>
      <c r="C102" s="8">
        <f>C101-C99</f>
        <v>8.7301587301587324E-2</v>
      </c>
      <c r="D102" s="8"/>
      <c r="E102" s="8"/>
      <c r="F102" s="8"/>
      <c r="G102" s="8"/>
      <c r="H102" s="8"/>
      <c r="I102" s="8">
        <f t="shared" ref="I102:M102" si="42">I101-I99</f>
        <v>8.7301587301587324E-2</v>
      </c>
      <c r="J102" s="8">
        <f>J101-J99</f>
        <v>0.11940957459159673</v>
      </c>
      <c r="K102" s="8">
        <f t="shared" si="42"/>
        <v>0.16332631450203722</v>
      </c>
      <c r="L102" s="8">
        <f t="shared" si="42"/>
        <v>0.22339485841109108</v>
      </c>
      <c r="M102" s="8">
        <f t="shared" si="42"/>
        <v>0.30555555555555569</v>
      </c>
    </row>
    <row r="103" spans="2:13" ht="15.75" x14ac:dyDescent="0.25">
      <c r="B103" s="31" t="s">
        <v>21</v>
      </c>
      <c r="C103" s="9">
        <v>0.5</v>
      </c>
      <c r="D103" s="9"/>
      <c r="E103" s="9"/>
      <c r="F103" s="9"/>
      <c r="G103" s="9"/>
      <c r="H103" s="9"/>
      <c r="I103" s="9">
        <v>0.5</v>
      </c>
      <c r="J103" s="9">
        <v>0.5</v>
      </c>
      <c r="K103" s="9">
        <v>0.5</v>
      </c>
      <c r="L103" s="9">
        <v>0.5</v>
      </c>
      <c r="M103" s="9">
        <v>0.5</v>
      </c>
    </row>
    <row r="104" spans="2:13" ht="15.75" x14ac:dyDescent="0.25">
      <c r="B104" s="6" t="s">
        <v>22</v>
      </c>
      <c r="C104" s="8">
        <f>C103*C102</f>
        <v>4.3650793650793662E-2</v>
      </c>
      <c r="D104" s="8"/>
      <c r="E104" s="8"/>
      <c r="F104" s="8"/>
      <c r="G104" s="8"/>
      <c r="H104" s="8"/>
      <c r="I104" s="8">
        <f t="shared" ref="I104:M104" si="43">I103*I102</f>
        <v>4.3650793650793662E-2</v>
      </c>
      <c r="J104" s="8">
        <f t="shared" si="43"/>
        <v>5.9704787295798367E-2</v>
      </c>
      <c r="K104" s="8">
        <f t="shared" si="43"/>
        <v>8.1663157251018609E-2</v>
      </c>
      <c r="L104" s="8">
        <f t="shared" si="43"/>
        <v>0.11169742920554554</v>
      </c>
      <c r="M104" s="8">
        <f t="shared" si="43"/>
        <v>0.15277777777777785</v>
      </c>
    </row>
    <row r="105" spans="2:13" ht="15.75" x14ac:dyDescent="0.25">
      <c r="B105" s="6" t="s">
        <v>23</v>
      </c>
      <c r="C105" s="8">
        <f>C104*100000000/1000000</f>
        <v>4.3650793650793664</v>
      </c>
      <c r="D105" s="8"/>
      <c r="E105" s="8"/>
      <c r="F105" s="8"/>
      <c r="G105" s="8"/>
      <c r="H105" s="8"/>
      <c r="I105" s="8">
        <f>I104*100000000/1000000</f>
        <v>4.3650793650793664</v>
      </c>
      <c r="J105" s="8">
        <f>J104*100000000/1000000</f>
        <v>5.9704787295798374</v>
      </c>
      <c r="K105" s="8">
        <f t="shared" ref="K105:M105" si="44">K104*100000000/1000000</f>
        <v>8.1663157251018603</v>
      </c>
      <c r="L105" s="8">
        <f>L104*100000000/1000000</f>
        <v>11.169742920554555</v>
      </c>
      <c r="M105" s="8">
        <f t="shared" si="44"/>
        <v>15.277777777777786</v>
      </c>
    </row>
    <row r="106" spans="2:13" ht="15.75" x14ac:dyDescent="0.25">
      <c r="B106" s="6" t="s">
        <v>24</v>
      </c>
      <c r="C106" s="8">
        <v>4</v>
      </c>
      <c r="D106" s="8"/>
      <c r="E106" s="8"/>
      <c r="F106" s="8"/>
      <c r="G106" s="8"/>
      <c r="H106" s="8"/>
      <c r="I106" s="8">
        <v>4</v>
      </c>
      <c r="J106" s="8">
        <v>4</v>
      </c>
      <c r="K106" s="8">
        <v>4</v>
      </c>
      <c r="L106" s="8">
        <v>4</v>
      </c>
      <c r="M106" s="8">
        <v>4</v>
      </c>
    </row>
    <row r="107" spans="2:13" ht="15.75" x14ac:dyDescent="0.25">
      <c r="B107" s="32" t="s">
        <v>17</v>
      </c>
      <c r="C107" s="33">
        <f>C106*C105</f>
        <v>17.460317460317466</v>
      </c>
      <c r="D107" s="33"/>
      <c r="E107" s="33"/>
      <c r="F107" s="33"/>
      <c r="G107" s="33"/>
      <c r="H107" s="33"/>
      <c r="I107" s="33">
        <f t="shared" ref="I107:M107" si="45">I106*I105</f>
        <v>17.460317460317466</v>
      </c>
      <c r="J107" s="33">
        <f t="shared" si="45"/>
        <v>23.88191491831935</v>
      </c>
      <c r="K107" s="33">
        <f t="shared" si="45"/>
        <v>32.665262900407441</v>
      </c>
      <c r="L107" s="33">
        <f t="shared" si="45"/>
        <v>44.678971682218219</v>
      </c>
      <c r="M107" s="33">
        <f t="shared" si="45"/>
        <v>61.111111111111143</v>
      </c>
    </row>
    <row r="108" spans="2:13" ht="15.75" x14ac:dyDescent="0.25">
      <c r="B108" s="6" t="s">
        <v>25</v>
      </c>
      <c r="C108" s="8">
        <v>0.7</v>
      </c>
      <c r="D108" s="8"/>
      <c r="E108" s="8"/>
      <c r="F108" s="8"/>
      <c r="G108" s="8"/>
      <c r="H108" s="8"/>
      <c r="I108" s="8">
        <v>0.7</v>
      </c>
      <c r="J108" s="8">
        <v>0.7</v>
      </c>
      <c r="K108" s="8">
        <v>0.7</v>
      </c>
      <c r="L108" s="8">
        <v>0.7</v>
      </c>
      <c r="M108" s="8">
        <v>0.7</v>
      </c>
    </row>
    <row r="109" spans="2:13" ht="15.75" x14ac:dyDescent="0.25">
      <c r="B109" s="6" t="s">
        <v>26</v>
      </c>
      <c r="C109" s="9">
        <v>0.85</v>
      </c>
      <c r="D109" s="9"/>
      <c r="E109" s="9"/>
      <c r="F109" s="9"/>
      <c r="G109" s="9"/>
      <c r="H109" s="9"/>
      <c r="I109" s="9">
        <v>0.85</v>
      </c>
      <c r="J109" s="9">
        <v>0.85</v>
      </c>
      <c r="K109" s="9">
        <v>0.85</v>
      </c>
      <c r="L109" s="9">
        <v>0.85</v>
      </c>
      <c r="M109" s="9">
        <v>0.85</v>
      </c>
    </row>
    <row r="110" spans="2:13" ht="15.75" x14ac:dyDescent="0.25">
      <c r="B110" s="6" t="s">
        <v>27</v>
      </c>
      <c r="C110" s="8">
        <v>2</v>
      </c>
      <c r="D110" s="8"/>
      <c r="E110" s="8"/>
      <c r="F110" s="8"/>
      <c r="G110" s="8"/>
      <c r="H110" s="8"/>
      <c r="I110" s="8">
        <v>2</v>
      </c>
      <c r="J110" s="8">
        <v>2</v>
      </c>
      <c r="K110" s="8">
        <v>2</v>
      </c>
      <c r="L110" s="8">
        <v>2</v>
      </c>
      <c r="M110" s="8">
        <v>2</v>
      </c>
    </row>
    <row r="111" spans="2:13" ht="15.75" x14ac:dyDescent="0.25">
      <c r="B111" s="6" t="s">
        <v>30</v>
      </c>
      <c r="C111" s="8">
        <f>C107*C110*C108*C109*C97</f>
        <v>7480.0000000000018</v>
      </c>
      <c r="D111" s="8"/>
      <c r="E111" s="8"/>
      <c r="F111" s="8"/>
      <c r="G111" s="8"/>
      <c r="H111" s="8"/>
      <c r="I111" s="8">
        <f>I107*I110*I108*I109*I97</f>
        <v>7480.0000000000018</v>
      </c>
      <c r="J111" s="8">
        <f t="shared" ref="J111:M111" si="46">J107*J110*J108*J109*J97</f>
        <v>10231.012351008008</v>
      </c>
      <c r="K111" s="8">
        <f t="shared" si="46"/>
        <v>13993.798626534548</v>
      </c>
      <c r="L111" s="8">
        <f t="shared" si="46"/>
        <v>19140.471468662286</v>
      </c>
      <c r="M111" s="8">
        <f t="shared" si="46"/>
        <v>26180.000000000011</v>
      </c>
    </row>
    <row r="112" spans="2:13" ht="15.75" x14ac:dyDescent="0.25">
      <c r="B112" s="6" t="s">
        <v>28</v>
      </c>
      <c r="C112" s="8">
        <v>2.2000000000000002</v>
      </c>
      <c r="D112" s="8"/>
      <c r="E112" s="8"/>
      <c r="F112" s="8"/>
      <c r="G112" s="8"/>
      <c r="H112" s="8"/>
      <c r="I112" s="8">
        <v>2.2000000000000002</v>
      </c>
      <c r="J112" s="8">
        <f>(POWER($M$112/$I$112,1/4))*I112</f>
        <v>2.0603302680507372</v>
      </c>
      <c r="K112" s="8">
        <f t="shared" ref="K112:L112" si="47">(POWER($M$112/$I$112,1/4))*J112</f>
        <v>1.9295276424754644</v>
      </c>
      <c r="L112" s="8">
        <f t="shared" si="47"/>
        <v>1.8070291840149</v>
      </c>
      <c r="M112" s="8">
        <f>I112/(1+30%)</f>
        <v>1.6923076923076923</v>
      </c>
    </row>
    <row r="113" spans="2:13" ht="15.75" x14ac:dyDescent="0.25">
      <c r="B113" s="6" t="s">
        <v>31</v>
      </c>
      <c r="C113" s="8">
        <f>C107*1000*C112</f>
        <v>38412.698412698432</v>
      </c>
      <c r="D113" s="46"/>
      <c r="E113" s="46"/>
      <c r="F113" s="46"/>
      <c r="G113" s="46"/>
      <c r="H113" s="46"/>
      <c r="I113" s="8">
        <f t="shared" ref="I113:M113" si="48">I107*1000*I112</f>
        <v>38412.698412698432</v>
      </c>
      <c r="J113" s="8">
        <f t="shared" si="48"/>
        <v>49204.632165225805</v>
      </c>
      <c r="K113" s="8">
        <f t="shared" si="48"/>
        <v>63028.527715064418</v>
      </c>
      <c r="L113" s="8">
        <f t="shared" si="48"/>
        <v>80736.205741543599</v>
      </c>
      <c r="M113" s="8">
        <f t="shared" si="48"/>
        <v>103418.80341880348</v>
      </c>
    </row>
    <row r="114" spans="2:13" ht="15.75" x14ac:dyDescent="0.25">
      <c r="B114" s="6" t="s">
        <v>29</v>
      </c>
      <c r="C114" s="8">
        <f>C113/C111</f>
        <v>5.1353874883286661</v>
      </c>
      <c r="D114" s="8"/>
      <c r="E114" s="8"/>
      <c r="F114" s="8"/>
      <c r="G114" s="8"/>
      <c r="H114" s="8"/>
      <c r="I114" s="8">
        <f t="shared" ref="I114:M114" si="49">I113/I111</f>
        <v>5.1353874883286661</v>
      </c>
      <c r="J114" s="8">
        <f t="shared" si="49"/>
        <v>4.8093610365330006</v>
      </c>
      <c r="K114" s="8">
        <f t="shared" si="49"/>
        <v>4.5040327788876384</v>
      </c>
      <c r="L114" s="8">
        <f t="shared" si="49"/>
        <v>4.218088664834033</v>
      </c>
      <c r="M114" s="8">
        <f t="shared" si="49"/>
        <v>3.9502980679451274</v>
      </c>
    </row>
    <row r="115" spans="2:13" ht="15.75" x14ac:dyDescent="0.25">
      <c r="B115" s="6" t="s">
        <v>56</v>
      </c>
      <c r="D115" s="8"/>
      <c r="E115" s="8"/>
      <c r="F115" s="8"/>
      <c r="G115" s="8"/>
      <c r="H115" s="8"/>
      <c r="I115" s="40">
        <f>I105/I3*I4</f>
        <v>4.6613447874205426E-2</v>
      </c>
      <c r="J115" s="40">
        <f t="shared" ref="J115:L115" si="50">J105/J3*J4</f>
        <v>9.8394640724995167E-2</v>
      </c>
      <c r="K115" s="40">
        <f t="shared" si="50"/>
        <v>0.20659611204503428</v>
      </c>
      <c r="L115" s="40">
        <f t="shared" si="50"/>
        <v>0.43103671161644425</v>
      </c>
      <c r="M115" s="40">
        <f>M105/M3*M4</f>
        <v>0.89253059585081673</v>
      </c>
    </row>
    <row r="116" spans="2:13" ht="15.75" x14ac:dyDescent="0.25">
      <c r="B116" s="6" t="s">
        <v>57</v>
      </c>
      <c r="C116" s="8"/>
      <c r="D116" s="8"/>
      <c r="E116" s="8"/>
      <c r="F116" s="8"/>
      <c r="G116" s="8"/>
      <c r="H116" s="8"/>
      <c r="I116" s="40">
        <f>I105/I3*I5</f>
        <v>1.1149699057302564E-2</v>
      </c>
      <c r="J116" s="40">
        <f t="shared" ref="J116:M116" si="51">J105/J3*J5</f>
        <v>3.6433280066937752E-2</v>
      </c>
      <c r="K116" s="40">
        <f t="shared" si="51"/>
        <v>7.6497804711889272E-2</v>
      </c>
      <c r="L116" s="40">
        <f t="shared" si="51"/>
        <v>0.15960301412498065</v>
      </c>
      <c r="M116" s="40">
        <f t="shared" si="51"/>
        <v>0.33048362113367785</v>
      </c>
    </row>
    <row r="117" spans="2:13" ht="15.75" x14ac:dyDescent="0.25">
      <c r="B117" s="6" t="s">
        <v>33</v>
      </c>
      <c r="C117" s="8"/>
      <c r="D117" s="8"/>
      <c r="E117" s="8"/>
      <c r="F117" s="8"/>
      <c r="G117" s="8"/>
      <c r="H117" s="8"/>
      <c r="I117" s="41">
        <f>I105/$C$26</f>
        <v>3.292181069958848E-2</v>
      </c>
      <c r="J117" s="41">
        <f>J105/$C$26</f>
        <v>4.5029873246662737E-2</v>
      </c>
      <c r="K117" s="41">
        <f>K105/$C$26</f>
        <v>6.1591068095044318E-2</v>
      </c>
      <c r="L117" s="41">
        <f>L105/$C$26</f>
        <v>8.4243178929435003E-2</v>
      </c>
      <c r="M117" s="41">
        <f>M105/$C$26</f>
        <v>0.1152263374485597</v>
      </c>
    </row>
    <row r="118" spans="2:13" ht="16.350000000000001" thickBot="1" x14ac:dyDescent="0.3">
      <c r="B118" s="34" t="s">
        <v>32</v>
      </c>
      <c r="C118" s="35"/>
      <c r="D118" s="35"/>
      <c r="E118" s="35"/>
      <c r="F118" s="35"/>
      <c r="G118" s="35"/>
      <c r="H118" s="35"/>
      <c r="I118" s="42"/>
      <c r="J118" s="43">
        <f>J105/I105-1</f>
        <v>0.36778239986738059</v>
      </c>
      <c r="K118" s="43">
        <f t="shared" ref="K118:M118" si="52">K105/J105-1</f>
        <v>0.36778239986738082</v>
      </c>
      <c r="L118" s="43">
        <f t="shared" si="52"/>
        <v>0.36778239986738104</v>
      </c>
      <c r="M118" s="43">
        <f t="shared" si="52"/>
        <v>0.36778239986737993</v>
      </c>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F6AFB-1912-43B2-9D14-D9930EE893B4}">
  <dimension ref="B2:T23"/>
  <sheetViews>
    <sheetView showGridLines="0" topLeftCell="A11" workbookViewId="0">
      <selection activeCell="A15" sqref="A15:XFD23"/>
    </sheetView>
  </sheetViews>
  <sheetFormatPr defaultRowHeight="13.35" x14ac:dyDescent="0.25"/>
  <cols>
    <col min="1" max="1" width="8.88671875" style="58"/>
    <col min="2" max="2" width="9.21875" style="58" customWidth="1"/>
    <col min="3" max="16384" width="8.88671875" style="58"/>
  </cols>
  <sheetData>
    <row r="2" spans="2:20" x14ac:dyDescent="0.25">
      <c r="B2" s="253" t="s">
        <v>90</v>
      </c>
      <c r="C2" s="254"/>
      <c r="D2" s="254"/>
      <c r="E2" s="254"/>
      <c r="F2" s="254"/>
      <c r="G2" s="254"/>
      <c r="H2" s="254"/>
      <c r="I2" s="254"/>
      <c r="J2" s="254"/>
      <c r="K2" s="254"/>
      <c r="L2" s="254"/>
    </row>
    <row r="3" spans="2:20" s="102" customFormat="1" ht="12.1" x14ac:dyDescent="0.25">
      <c r="B3" s="101"/>
      <c r="C3" s="101">
        <v>2016</v>
      </c>
      <c r="D3" s="101">
        <v>2017</v>
      </c>
      <c r="E3" s="101">
        <v>2018</v>
      </c>
      <c r="F3" s="101">
        <v>2019</v>
      </c>
      <c r="G3" s="101">
        <v>2020</v>
      </c>
      <c r="H3" s="101">
        <v>2021</v>
      </c>
      <c r="I3" s="101" t="s">
        <v>85</v>
      </c>
      <c r="J3" s="101" t="s">
        <v>86</v>
      </c>
      <c r="K3" s="101" t="s">
        <v>60</v>
      </c>
      <c r="L3" s="101" t="s">
        <v>61</v>
      </c>
    </row>
    <row r="4" spans="2:20" x14ac:dyDescent="0.3">
      <c r="B4" s="59" t="s">
        <v>89</v>
      </c>
      <c r="C4" s="59">
        <v>0.24299999999999999</v>
      </c>
      <c r="D4" s="60">
        <v>0.38979999999999998</v>
      </c>
      <c r="E4" s="60">
        <v>1.1000000000000001</v>
      </c>
      <c r="F4" s="60">
        <v>1.7096</v>
      </c>
      <c r="G4" s="60">
        <v>3.2690000000000001</v>
      </c>
      <c r="H4" s="99">
        <f>SUM(H5:H6)</f>
        <v>6.7748843085656469</v>
      </c>
      <c r="I4" s="99">
        <f>SUM(I5:I6)</f>
        <v>10.871361404261311</v>
      </c>
      <c r="J4" s="99">
        <f t="shared" ref="J4" si="0">SUM(J5:J6)</f>
        <v>16.284781292758613</v>
      </c>
      <c r="K4" s="99">
        <f>SUM(K5:K6)</f>
        <v>23.044781923571843</v>
      </c>
      <c r="L4" s="99">
        <f>SUM(L5:L6)</f>
        <v>30.606157962758857</v>
      </c>
    </row>
    <row r="5" spans="2:20" x14ac:dyDescent="0.25">
      <c r="B5" s="61" t="s">
        <v>87</v>
      </c>
      <c r="C5" s="99">
        <f>C4-C6</f>
        <v>0.18798456774476696</v>
      </c>
      <c r="D5" s="99">
        <f>D4-D6</f>
        <v>0.29654781688517179</v>
      </c>
      <c r="E5" s="99">
        <f>E4-E6</f>
        <v>0.8896324034563714</v>
      </c>
      <c r="F5" s="99">
        <f t="shared" ref="F5" si="1">F4-F6</f>
        <v>1.2695658796888867</v>
      </c>
      <c r="G5" s="99">
        <f>G4-G6</f>
        <v>2.5765269957513599</v>
      </c>
      <c r="H5" s="100">
        <v>5.78</v>
      </c>
      <c r="I5" s="99">
        <f>H5*1.6</f>
        <v>9.2480000000000011</v>
      </c>
      <c r="J5" s="99">
        <f>I5*1.45</f>
        <v>13.409600000000001</v>
      </c>
      <c r="K5" s="99">
        <f>J5*1.38</f>
        <v>18.505248000000002</v>
      </c>
      <c r="L5" s="100">
        <v>24</v>
      </c>
    </row>
    <row r="6" spans="2:20" x14ac:dyDescent="0.25">
      <c r="B6" s="61" t="s">
        <v>88</v>
      </c>
      <c r="C6" s="99">
        <f>'01Bottom-Up'!C7</f>
        <v>5.5015432255233046E-2</v>
      </c>
      <c r="D6" s="99">
        <f>'01Bottom-Up'!D7</f>
        <v>9.3252183114828177E-2</v>
      </c>
      <c r="E6" s="99">
        <f>'01Bottom-Up'!E7</f>
        <v>0.21036759654362869</v>
      </c>
      <c r="F6" s="99">
        <f>'01Bottom-Up'!F7</f>
        <v>0.44003412031111344</v>
      </c>
      <c r="G6" s="99">
        <f>'01Bottom-Up'!G7</f>
        <v>0.69247300424864</v>
      </c>
      <c r="H6" s="99">
        <f>'01Bottom-Up'!H7</f>
        <v>0.99488430856564636</v>
      </c>
      <c r="I6" s="99">
        <f>'01Bottom-Up'!I7</f>
        <v>1.6233614042613105</v>
      </c>
      <c r="J6" s="99">
        <f>'01Bottom-Up'!J7</f>
        <v>2.8751812927586129</v>
      </c>
      <c r="K6" s="99">
        <f>'01Bottom-Up'!K7</f>
        <v>4.5395339235718408</v>
      </c>
      <c r="L6" s="99">
        <f>'01Bottom-Up'!L7</f>
        <v>6.6061579627588589</v>
      </c>
    </row>
    <row r="8" spans="2:20" x14ac:dyDescent="0.25">
      <c r="B8" s="253" t="s">
        <v>91</v>
      </c>
      <c r="C8" s="254"/>
      <c r="D8" s="254"/>
      <c r="E8" s="254"/>
      <c r="F8" s="254"/>
      <c r="G8" s="254"/>
      <c r="H8" s="254"/>
      <c r="I8" s="254"/>
      <c r="J8" s="254"/>
      <c r="K8" s="254"/>
      <c r="L8" s="254"/>
    </row>
    <row r="9" spans="2:20" s="102" customFormat="1" ht="12.1" x14ac:dyDescent="0.25">
      <c r="B9" s="101"/>
      <c r="C9" s="101">
        <v>2016</v>
      </c>
      <c r="D9" s="101">
        <v>2017</v>
      </c>
      <c r="E9" s="101">
        <v>2018</v>
      </c>
      <c r="F9" s="101">
        <v>2019</v>
      </c>
      <c r="G9" s="101">
        <v>2020</v>
      </c>
      <c r="H9" s="101">
        <v>2021</v>
      </c>
      <c r="I9" s="101" t="s">
        <v>85</v>
      </c>
      <c r="J9" s="101" t="s">
        <v>86</v>
      </c>
      <c r="K9" s="101" t="s">
        <v>60</v>
      </c>
      <c r="L9" s="101" t="s">
        <v>61</v>
      </c>
    </row>
    <row r="10" spans="2:20" x14ac:dyDescent="0.3">
      <c r="B10" s="59" t="s">
        <v>89</v>
      </c>
      <c r="C10" s="59">
        <v>0.1</v>
      </c>
      <c r="D10" s="103">
        <f>D4-C4</f>
        <v>0.14679999999999999</v>
      </c>
      <c r="E10" s="103">
        <f t="shared" ref="E10:L10" si="2">E4-D4</f>
        <v>0.71020000000000016</v>
      </c>
      <c r="F10" s="103">
        <f t="shared" si="2"/>
        <v>0.60959999999999992</v>
      </c>
      <c r="G10" s="103">
        <f t="shared" si="2"/>
        <v>1.5594000000000001</v>
      </c>
      <c r="H10" s="103">
        <f>H4-G4</f>
        <v>3.5058843085656468</v>
      </c>
      <c r="I10" s="103">
        <f>I4-H4</f>
        <v>4.096477095695664</v>
      </c>
      <c r="J10" s="103">
        <f t="shared" si="2"/>
        <v>5.4134198884973017</v>
      </c>
      <c r="K10" s="103">
        <f t="shared" si="2"/>
        <v>6.7600006308132308</v>
      </c>
      <c r="L10" s="103">
        <f t="shared" si="2"/>
        <v>7.5613760391870137</v>
      </c>
    </row>
    <row r="11" spans="2:20" x14ac:dyDescent="0.25">
      <c r="B11" s="61" t="s">
        <v>87</v>
      </c>
      <c r="C11" s="99">
        <f>C10-C12</f>
        <v>8.4900000000000003E-2</v>
      </c>
      <c r="D11" s="99">
        <f t="shared" ref="D11:L11" si="3">D10-D12</f>
        <v>0.10856324914040485</v>
      </c>
      <c r="E11" s="99">
        <f t="shared" si="3"/>
        <v>0.59308458657119967</v>
      </c>
      <c r="F11" s="99">
        <f t="shared" si="3"/>
        <v>0.37993347623251517</v>
      </c>
      <c r="G11" s="99">
        <f t="shared" si="3"/>
        <v>1.3069611160624737</v>
      </c>
      <c r="H11" s="99">
        <f t="shared" si="3"/>
        <v>3.2034730042486403</v>
      </c>
      <c r="I11" s="99">
        <f t="shared" si="3"/>
        <v>3.468</v>
      </c>
      <c r="J11" s="99">
        <f t="shared" si="3"/>
        <v>4.1615999999999991</v>
      </c>
      <c r="K11" s="99">
        <f t="shared" si="3"/>
        <v>5.0956480000000024</v>
      </c>
      <c r="L11" s="99">
        <f t="shared" si="3"/>
        <v>5.4947519999999956</v>
      </c>
    </row>
    <row r="12" spans="2:20" x14ac:dyDescent="0.3">
      <c r="B12" s="61" t="s">
        <v>88</v>
      </c>
      <c r="C12" s="99">
        <f>'01 Bottom-Up旧版本'!C8</f>
        <v>1.5099999999999999E-2</v>
      </c>
      <c r="D12" s="103">
        <f>D6-C6</f>
        <v>3.8236750859595131E-2</v>
      </c>
      <c r="E12" s="103">
        <f>E6-D6</f>
        <v>0.11711541342880051</v>
      </c>
      <c r="F12" s="103">
        <f t="shared" ref="F12:K12" si="4">F6-E6</f>
        <v>0.22966652376748475</v>
      </c>
      <c r="G12" s="103">
        <f t="shared" si="4"/>
        <v>0.25243888393752656</v>
      </c>
      <c r="H12" s="103">
        <f>H6-G6</f>
        <v>0.30241130431700636</v>
      </c>
      <c r="I12" s="103">
        <f t="shared" si="4"/>
        <v>0.62847709569566412</v>
      </c>
      <c r="J12" s="103">
        <f t="shared" si="4"/>
        <v>1.2518198884973024</v>
      </c>
      <c r="K12" s="103">
        <f t="shared" si="4"/>
        <v>1.6643526308132279</v>
      </c>
      <c r="L12" s="103">
        <f>L6-K6</f>
        <v>2.0666240391870181</v>
      </c>
      <c r="P12" s="305"/>
      <c r="Q12" s="306"/>
      <c r="R12" s="306"/>
      <c r="S12" s="306"/>
      <c r="T12" s="306"/>
    </row>
    <row r="13" spans="2:20" x14ac:dyDescent="0.25">
      <c r="P13" s="305"/>
      <c r="Q13" s="306"/>
      <c r="R13" s="306"/>
      <c r="S13" s="306"/>
      <c r="T13" s="306"/>
    </row>
    <row r="14" spans="2:20" x14ac:dyDescent="0.25">
      <c r="P14" s="305"/>
      <c r="Q14" s="306"/>
      <c r="R14" s="306"/>
      <c r="S14" s="306"/>
      <c r="T14" s="306"/>
    </row>
    <row r="15" spans="2:20" hidden="1" x14ac:dyDescent="0.25">
      <c r="B15" s="334" t="s">
        <v>318</v>
      </c>
      <c r="C15" s="335"/>
      <c r="D15" s="335"/>
      <c r="E15" s="335"/>
      <c r="F15" s="335"/>
      <c r="G15" s="335"/>
      <c r="H15" s="335"/>
      <c r="I15" s="335"/>
      <c r="J15" s="335"/>
      <c r="K15" s="335"/>
      <c r="L15" s="335"/>
      <c r="P15" s="306"/>
      <c r="Q15" s="306"/>
      <c r="R15" s="306"/>
      <c r="S15" s="306"/>
      <c r="T15" s="306"/>
    </row>
    <row r="16" spans="2:20" hidden="1" x14ac:dyDescent="0.25">
      <c r="B16" s="101"/>
      <c r="C16" s="101">
        <v>2016</v>
      </c>
      <c r="D16" s="101">
        <v>2017</v>
      </c>
      <c r="E16" s="101">
        <v>2018</v>
      </c>
      <c r="F16" s="101">
        <v>2019</v>
      </c>
      <c r="G16" s="101">
        <v>2020</v>
      </c>
      <c r="H16" s="101">
        <v>2021</v>
      </c>
      <c r="I16" s="101" t="s">
        <v>85</v>
      </c>
      <c r="J16" s="101" t="s">
        <v>86</v>
      </c>
      <c r="K16" s="101" t="s">
        <v>60</v>
      </c>
      <c r="L16" s="101" t="s">
        <v>61</v>
      </c>
      <c r="P16" s="306"/>
      <c r="Q16" s="306"/>
      <c r="R16" s="306"/>
      <c r="S16" s="306"/>
      <c r="T16" s="306"/>
    </row>
    <row r="17" spans="2:20" hidden="1" x14ac:dyDescent="0.3">
      <c r="B17" s="59" t="s">
        <v>89</v>
      </c>
      <c r="C17" s="59">
        <v>34.54</v>
      </c>
      <c r="D17" s="60">
        <v>53.06</v>
      </c>
      <c r="E17" s="60">
        <v>44.26</v>
      </c>
      <c r="F17" s="60">
        <v>30.1</v>
      </c>
      <c r="G17" s="60">
        <v>48.2</v>
      </c>
      <c r="H17" s="336">
        <v>54.88</v>
      </c>
      <c r="I17" s="99"/>
      <c r="J17" s="99"/>
      <c r="K17" s="99"/>
      <c r="L17" s="99"/>
      <c r="P17" s="306"/>
      <c r="Q17" s="306"/>
      <c r="R17" s="306"/>
      <c r="S17" s="306"/>
      <c r="T17" s="306"/>
    </row>
    <row r="18" spans="2:20" hidden="1" x14ac:dyDescent="0.25">
      <c r="B18" s="61" t="s">
        <v>319</v>
      </c>
      <c r="C18" s="336">
        <f t="shared" ref="C18:F18" si="5">C17-C19</f>
        <v>30.31</v>
      </c>
      <c r="D18" s="336">
        <f t="shared" si="5"/>
        <v>33.620000000000005</v>
      </c>
      <c r="E18" s="336">
        <f t="shared" si="5"/>
        <v>23.299999999999997</v>
      </c>
      <c r="F18" s="336">
        <f t="shared" si="5"/>
        <v>17.910000000000004</v>
      </c>
      <c r="G18" s="336">
        <f>G17-G19</f>
        <v>32.680000000000007</v>
      </c>
      <c r="H18" s="336">
        <v>25.6</v>
      </c>
      <c r="I18" s="99"/>
      <c r="J18" s="99"/>
      <c r="K18" s="99"/>
      <c r="L18" s="100"/>
      <c r="P18" s="306"/>
      <c r="Q18" s="306"/>
      <c r="R18" s="306"/>
      <c r="S18" s="306"/>
      <c r="T18" s="306"/>
    </row>
    <row r="19" spans="2:20" hidden="1" x14ac:dyDescent="0.25">
      <c r="B19" s="61" t="s">
        <v>320</v>
      </c>
      <c r="C19" s="336">
        <v>4.2300000000000004</v>
      </c>
      <c r="D19" s="336">
        <v>19.440000000000001</v>
      </c>
      <c r="E19" s="336">
        <v>20.96</v>
      </c>
      <c r="F19" s="336">
        <v>12.19</v>
      </c>
      <c r="G19" s="336">
        <v>15.52</v>
      </c>
      <c r="H19" s="336">
        <f>H17-H18</f>
        <v>29.28</v>
      </c>
      <c r="I19" s="99">
        <f>H19*(1+25%)</f>
        <v>36.6</v>
      </c>
      <c r="J19" s="99">
        <f>I19*(1+22%)</f>
        <v>44.652000000000001</v>
      </c>
      <c r="K19" s="99">
        <f>J19*(1+18%)</f>
        <v>52.689360000000001</v>
      </c>
      <c r="L19" s="99">
        <f>K19*(1+14%)</f>
        <v>60.065870400000009</v>
      </c>
      <c r="P19" s="306"/>
      <c r="Q19" s="306"/>
      <c r="R19" s="306"/>
      <c r="S19" s="306"/>
      <c r="T19" s="306"/>
    </row>
    <row r="20" spans="2:20" hidden="1" x14ac:dyDescent="0.25">
      <c r="B20" s="58" t="s">
        <v>321</v>
      </c>
      <c r="P20" s="306"/>
      <c r="Q20" s="306"/>
      <c r="R20" s="306"/>
      <c r="S20" s="306"/>
      <c r="T20" s="306"/>
    </row>
    <row r="21" spans="2:20" hidden="1" x14ac:dyDescent="0.25">
      <c r="D21" s="307"/>
      <c r="E21" s="307"/>
      <c r="F21" s="307"/>
      <c r="G21" s="339" t="s">
        <v>322</v>
      </c>
      <c r="H21" s="340">
        <v>0.1</v>
      </c>
      <c r="I21" s="340">
        <v>0.1</v>
      </c>
      <c r="J21" s="340">
        <v>0.1</v>
      </c>
      <c r="K21" s="340">
        <v>0.1</v>
      </c>
      <c r="L21" s="340">
        <v>0.1</v>
      </c>
      <c r="P21" s="306"/>
      <c r="Q21" s="306"/>
      <c r="R21" s="306"/>
      <c r="S21" s="306"/>
      <c r="T21" s="306"/>
    </row>
    <row r="22" spans="2:20" hidden="1" x14ac:dyDescent="0.25">
      <c r="G22" s="341" t="s">
        <v>323</v>
      </c>
      <c r="H22" s="340">
        <v>0.1</v>
      </c>
      <c r="I22" s="340">
        <v>0.16</v>
      </c>
      <c r="J22" s="340">
        <v>0.28000000000000003</v>
      </c>
      <c r="K22" s="340">
        <v>0.32</v>
      </c>
      <c r="L22" s="340">
        <v>0.35</v>
      </c>
    </row>
    <row r="23" spans="2:20" hidden="1" x14ac:dyDescent="0.25">
      <c r="G23" s="341" t="s">
        <v>324</v>
      </c>
      <c r="H23" s="342">
        <f>H21*H22*H19</f>
        <v>0.29280000000000006</v>
      </c>
      <c r="I23" s="342">
        <f t="shared" ref="I23:L23" si="6">I21*I22*I19</f>
        <v>0.58560000000000001</v>
      </c>
      <c r="J23" s="342">
        <f t="shared" si="6"/>
        <v>1.2502560000000003</v>
      </c>
      <c r="K23" s="342">
        <f t="shared" si="6"/>
        <v>1.6860595200000001</v>
      </c>
      <c r="L23" s="342">
        <f t="shared" si="6"/>
        <v>2.1023054640000001</v>
      </c>
    </row>
  </sheetData>
  <phoneticPr fontId="7" type="noConversion"/>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33BFF-94DC-4F35-8A1C-1EB2C07C0C93}">
  <dimension ref="A1:M69"/>
  <sheetViews>
    <sheetView zoomScale="70" zoomScaleNormal="70" workbookViewId="0">
      <selection activeCell="E27" sqref="E27"/>
    </sheetView>
  </sheetViews>
  <sheetFormatPr defaultColWidth="8.6640625" defaultRowHeight="15.75" x14ac:dyDescent="0.25"/>
  <cols>
    <col min="1" max="1" width="8.6640625" style="4"/>
    <col min="2" max="2" width="36.77734375" style="4" bestFit="1" customWidth="1"/>
    <col min="3" max="12" width="11.6640625" style="4" bestFit="1" customWidth="1"/>
    <col min="13" max="16384" width="8.6640625" style="4"/>
  </cols>
  <sheetData>
    <row r="1" spans="1:13" ht="18.149999999999999" thickBot="1" x14ac:dyDescent="0.3">
      <c r="B1" s="36"/>
      <c r="C1" s="36"/>
      <c r="D1" s="36"/>
      <c r="E1" s="36"/>
      <c r="F1" s="36"/>
      <c r="G1" s="36"/>
      <c r="H1" s="36"/>
      <c r="I1" s="36"/>
      <c r="J1" s="36"/>
      <c r="K1" s="36"/>
      <c r="L1" s="36"/>
    </row>
    <row r="2" spans="1:13" ht="16.350000000000001" x14ac:dyDescent="0.25">
      <c r="B2" s="37"/>
      <c r="C2" s="38">
        <v>2016</v>
      </c>
      <c r="D2" s="38">
        <v>2017</v>
      </c>
      <c r="E2" s="38">
        <v>2018</v>
      </c>
      <c r="F2" s="38">
        <v>2019</v>
      </c>
      <c r="G2" s="38">
        <v>2020</v>
      </c>
      <c r="H2" s="38">
        <v>2021</v>
      </c>
      <c r="I2" s="57" t="s">
        <v>58</v>
      </c>
      <c r="J2" s="57" t="s">
        <v>59</v>
      </c>
      <c r="K2" s="57" t="s">
        <v>60</v>
      </c>
      <c r="L2" s="57" t="s">
        <v>61</v>
      </c>
    </row>
    <row r="3" spans="1:13" x14ac:dyDescent="0.25">
      <c r="B3" s="62" t="s">
        <v>62</v>
      </c>
      <c r="C3" s="63">
        <f>C28+C46+C64</f>
        <v>140.47787797619051</v>
      </c>
      <c r="D3" s="63">
        <f t="shared" ref="D3:L3" si="0">D28+D46+D64</f>
        <v>140.47787797619051</v>
      </c>
      <c r="E3" s="63">
        <f t="shared" si="0"/>
        <v>140.47787797619051</v>
      </c>
      <c r="F3" s="63">
        <f t="shared" si="0"/>
        <v>140.47787797619051</v>
      </c>
      <c r="G3" s="63">
        <f t="shared" si="0"/>
        <v>140.47787797619051</v>
      </c>
      <c r="H3" s="63">
        <f t="shared" si="0"/>
        <v>145.24558354166669</v>
      </c>
      <c r="I3" s="63">
        <f t="shared" si="0"/>
        <v>150.53526543065476</v>
      </c>
      <c r="J3" s="63">
        <f t="shared" si="0"/>
        <v>156.42089593058637</v>
      </c>
      <c r="K3" s="63">
        <f t="shared" si="0"/>
        <v>162.98960404625018</v>
      </c>
      <c r="L3" s="63">
        <f t="shared" si="0"/>
        <v>170.34427908861468</v>
      </c>
    </row>
    <row r="4" spans="1:13" x14ac:dyDescent="0.25">
      <c r="A4" s="4" t="s">
        <v>83</v>
      </c>
      <c r="B4" s="64" t="s">
        <v>73</v>
      </c>
      <c r="C4" s="65">
        <f>D4-D5</f>
        <v>0.39348035358928551</v>
      </c>
      <c r="D4" s="65">
        <f>E4-E5</f>
        <v>0.46458035358928551</v>
      </c>
      <c r="E4" s="65">
        <f>F4-F5</f>
        <v>0.75788035358928552</v>
      </c>
      <c r="F4" s="65">
        <f>G4-G5</f>
        <v>1.0357803535892856</v>
      </c>
      <c r="G4" s="65">
        <f>H4-H5</f>
        <v>1.3638803535892856</v>
      </c>
      <c r="H4" s="65">
        <f>11.4/(1+58.8%)^4</f>
        <v>1.7926803535892857</v>
      </c>
      <c r="I4" s="65">
        <f>H4*(1+58.8%)</f>
        <v>2.8467764014997856</v>
      </c>
      <c r="J4" s="65">
        <f>I4*(1+58.8%)</f>
        <v>4.5206809255816598</v>
      </c>
      <c r="K4" s="65">
        <f>J4*(1+58.8%)</f>
        <v>7.1788413098236763</v>
      </c>
      <c r="L4" s="65">
        <v>11.4</v>
      </c>
    </row>
    <row r="5" spans="1:13" x14ac:dyDescent="0.25">
      <c r="A5" s="4" t="s">
        <v>83</v>
      </c>
      <c r="B5" s="64" t="s">
        <v>74</v>
      </c>
      <c r="C5" s="66">
        <v>5.4300000000000001E-2</v>
      </c>
      <c r="D5" s="66">
        <v>7.1099999999999997E-2</v>
      </c>
      <c r="E5" s="66">
        <v>0.29330000000000001</v>
      </c>
      <c r="F5" s="66">
        <v>0.27789999999999998</v>
      </c>
      <c r="G5" s="66">
        <v>0.3281</v>
      </c>
      <c r="H5" s="66">
        <v>0.42880000000000001</v>
      </c>
      <c r="I5" s="66">
        <f>I4-H4</f>
        <v>1.0540960479104999</v>
      </c>
      <c r="J5" s="66">
        <f>J4-I4</f>
        <v>1.6739045240818742</v>
      </c>
      <c r="K5" s="66">
        <f>K4-J4</f>
        <v>2.6581603842420165</v>
      </c>
      <c r="L5" s="66">
        <f>L4-K4</f>
        <v>4.2211586901763241</v>
      </c>
    </row>
    <row r="6" spans="1:13" s="240" customFormat="1" ht="16.350000000000001" x14ac:dyDescent="0.25">
      <c r="A6" s="240" t="s">
        <v>84</v>
      </c>
      <c r="B6" s="241" t="s">
        <v>75</v>
      </c>
      <c r="C6" s="242">
        <f>C32+C50+C68</f>
        <v>0.13428571428571434</v>
      </c>
      <c r="D6" s="242">
        <f t="shared" ref="D6:L6" si="1">D32+D50+D68</f>
        <v>0.20204778779761914</v>
      </c>
      <c r="E6" s="242">
        <f t="shared" si="1"/>
        <v>0.46000348244047645</v>
      </c>
      <c r="F6" s="242">
        <f t="shared" si="1"/>
        <v>0.80091989136904806</v>
      </c>
      <c r="G6" s="242">
        <f t="shared" si="1"/>
        <v>1.0391401693452387</v>
      </c>
      <c r="H6" s="242">
        <f t="shared" si="1"/>
        <v>1.3655641400892859</v>
      </c>
      <c r="I6" s="242">
        <f t="shared" si="1"/>
        <v>2.1551170399000004</v>
      </c>
      <c r="J6" s="242">
        <f t="shared" si="1"/>
        <v>3.4223743988912516</v>
      </c>
      <c r="K6" s="242">
        <f t="shared" si="1"/>
        <v>5.3365249541800566</v>
      </c>
      <c r="L6" s="242">
        <f t="shared" si="1"/>
        <v>7.6030192686602094</v>
      </c>
    </row>
    <row r="7" spans="1:13" ht="16.350000000000001" x14ac:dyDescent="0.25">
      <c r="A7" s="4" t="s">
        <v>84</v>
      </c>
      <c r="B7" s="64" t="s">
        <v>76</v>
      </c>
      <c r="C7" s="68">
        <f>C30+C48+C66</f>
        <v>0.05</v>
      </c>
      <c r="D7" s="68">
        <f t="shared" ref="D7:K7" si="2">D30+D48+D66</f>
        <v>6.7762073511904788E-2</v>
      </c>
      <c r="E7" s="68">
        <f t="shared" si="2"/>
        <v>0.25795569464285728</v>
      </c>
      <c r="F7" s="68">
        <f t="shared" si="2"/>
        <v>0.34091640892857161</v>
      </c>
      <c r="G7" s="68">
        <f t="shared" si="2"/>
        <v>0.23822027797619061</v>
      </c>
      <c r="H7" s="68">
        <f t="shared" si="2"/>
        <v>0.30539688964583339</v>
      </c>
      <c r="I7" s="68">
        <f t="shared" si="2"/>
        <v>0.76314709984136908</v>
      </c>
      <c r="J7" s="68">
        <f t="shared" si="2"/>
        <v>1.2302049102120454</v>
      </c>
      <c r="K7" s="68">
        <f t="shared" si="2"/>
        <v>1.8609911272002679</v>
      </c>
      <c r="L7" s="68">
        <f>L30+L48+L66</f>
        <v>2.1909325330187324</v>
      </c>
      <c r="M7" s="16"/>
    </row>
    <row r="8" spans="1:13" x14ac:dyDescent="0.25">
      <c r="B8" s="64" t="s">
        <v>28</v>
      </c>
      <c r="C8" s="63">
        <v>2.2000000000000002</v>
      </c>
      <c r="D8" s="63">
        <v>2.2000000000000002</v>
      </c>
      <c r="E8" s="63">
        <v>2.2000000000000002</v>
      </c>
      <c r="F8" s="63">
        <v>2.2000000000000002</v>
      </c>
      <c r="G8" s="63">
        <v>2.2000000000000002</v>
      </c>
      <c r="H8" s="63">
        <v>2.2000000000000002</v>
      </c>
      <c r="I8" s="63">
        <f>(POWER($L$8/$H$8,1/4))*H8</f>
        <v>2.0603302680507372</v>
      </c>
      <c r="J8" s="63">
        <f t="shared" ref="J8:K8" si="3">(POWER($L$8/$H$8,1/4))*I8</f>
        <v>1.9295276424754644</v>
      </c>
      <c r="K8" s="63">
        <f t="shared" si="3"/>
        <v>1.8070291840149</v>
      </c>
      <c r="L8" s="63">
        <f>H8/(1+30%)</f>
        <v>1.6923076923076923</v>
      </c>
    </row>
    <row r="9" spans="1:13" x14ac:dyDescent="0.25">
      <c r="B9" s="64" t="s">
        <v>24</v>
      </c>
      <c r="C9" s="63">
        <v>4</v>
      </c>
      <c r="D9" s="63">
        <v>4</v>
      </c>
      <c r="E9" s="63">
        <v>4</v>
      </c>
      <c r="F9" s="63">
        <v>4</v>
      </c>
      <c r="G9" s="63">
        <v>4</v>
      </c>
      <c r="H9" s="63">
        <v>4</v>
      </c>
      <c r="I9" s="63">
        <v>4</v>
      </c>
      <c r="J9" s="63">
        <v>4</v>
      </c>
      <c r="K9" s="63">
        <v>4</v>
      </c>
      <c r="L9" s="63">
        <v>4</v>
      </c>
    </row>
    <row r="10" spans="1:13" x14ac:dyDescent="0.25">
      <c r="B10" s="64" t="s">
        <v>63</v>
      </c>
      <c r="C10" s="63">
        <f t="shared" ref="C10:L10" si="4">C8*C5*C9*1000</f>
        <v>477.84000000000003</v>
      </c>
      <c r="D10" s="63">
        <f t="shared" si="4"/>
        <v>625.68000000000006</v>
      </c>
      <c r="E10" s="63">
        <f t="shared" si="4"/>
        <v>2581.0400000000004</v>
      </c>
      <c r="F10" s="63">
        <f t="shared" si="4"/>
        <v>2445.52</v>
      </c>
      <c r="G10" s="63">
        <f t="shared" si="4"/>
        <v>2887.28</v>
      </c>
      <c r="H10" s="63">
        <f t="shared" si="4"/>
        <v>3773.4400000000005</v>
      </c>
      <c r="I10" s="63">
        <f t="shared" si="4"/>
        <v>8687.1439717706526</v>
      </c>
      <c r="J10" s="63">
        <f t="shared" si="4"/>
        <v>12919.380200322852</v>
      </c>
      <c r="K10" s="63">
        <f t="shared" si="4"/>
        <v>19213.493560470335</v>
      </c>
      <c r="L10" s="63">
        <f t="shared" si="4"/>
        <v>28573.997287347425</v>
      </c>
    </row>
    <row r="11" spans="1:13" ht="16.350000000000001" x14ac:dyDescent="0.25">
      <c r="B11" s="64" t="s">
        <v>92</v>
      </c>
      <c r="C11" s="67">
        <f>C10/1000</f>
        <v>0.47784000000000004</v>
      </c>
      <c r="D11" s="67">
        <f t="shared" ref="D11:L11" si="5">D10/1000</f>
        <v>0.62568000000000001</v>
      </c>
      <c r="E11" s="67">
        <f t="shared" si="5"/>
        <v>2.5810400000000002</v>
      </c>
      <c r="F11" s="67">
        <f t="shared" si="5"/>
        <v>2.4455200000000001</v>
      </c>
      <c r="G11" s="67">
        <f t="shared" si="5"/>
        <v>2.8872800000000001</v>
      </c>
      <c r="H11" s="67">
        <f t="shared" si="5"/>
        <v>3.7734400000000003</v>
      </c>
      <c r="I11" s="67">
        <f t="shared" si="5"/>
        <v>8.6871439717706522</v>
      </c>
      <c r="J11" s="67">
        <f t="shared" si="5"/>
        <v>12.919380200322852</v>
      </c>
      <c r="K11" s="67">
        <f t="shared" si="5"/>
        <v>19.213493560470337</v>
      </c>
      <c r="L11" s="67">
        <f t="shared" si="5"/>
        <v>28.573997287347424</v>
      </c>
    </row>
    <row r="12" spans="1:13" ht="16.350000000000001" x14ac:dyDescent="0.25">
      <c r="B12" s="64" t="s">
        <v>93</v>
      </c>
      <c r="C12" s="67">
        <f>C9*C8*C7</f>
        <v>0.44000000000000006</v>
      </c>
      <c r="D12" s="67">
        <f t="shared" ref="D12:L12" si="6">D9*D8*D7</f>
        <v>0.59630624690476219</v>
      </c>
      <c r="E12" s="67">
        <f t="shared" si="6"/>
        <v>2.2700101128571442</v>
      </c>
      <c r="F12" s="67">
        <f t="shared" si="6"/>
        <v>3.0000643985714306</v>
      </c>
      <c r="G12" s="67">
        <f t="shared" si="6"/>
        <v>2.0963384461904777</v>
      </c>
      <c r="H12" s="67">
        <f t="shared" si="6"/>
        <v>2.6874926288833341</v>
      </c>
      <c r="I12" s="67">
        <f t="shared" si="6"/>
        <v>6.2893402751132426</v>
      </c>
      <c r="J12" s="67">
        <f t="shared" si="6"/>
        <v>9.4948575206527526</v>
      </c>
      <c r="K12" s="67">
        <f t="shared" si="6"/>
        <v>13.451461112174677</v>
      </c>
      <c r="L12" s="67">
        <f t="shared" si="6"/>
        <v>14.830927915819112</v>
      </c>
    </row>
    <row r="13" spans="1:13" x14ac:dyDescent="0.25">
      <c r="B13" s="64" t="s">
        <v>33</v>
      </c>
      <c r="C13" s="69">
        <f>C6/C3</f>
        <v>9.5592072018965376E-4</v>
      </c>
      <c r="D13" s="69">
        <f t="shared" ref="D13:J13" si="7">D6/D3</f>
        <v>1.4382890082655154E-3</v>
      </c>
      <c r="E13" s="69">
        <f t="shared" si="7"/>
        <v>3.2745617250741934E-3</v>
      </c>
      <c r="F13" s="69">
        <f t="shared" si="7"/>
        <v>5.701395144257485E-3</v>
      </c>
      <c r="G13" s="69">
        <f>G6/G3</f>
        <v>7.3971801419249923E-3</v>
      </c>
      <c r="H13" s="69">
        <f t="shared" si="7"/>
        <v>9.401760155396021E-3</v>
      </c>
      <c r="I13" s="69">
        <f t="shared" si="7"/>
        <v>1.4316359915629018E-2</v>
      </c>
      <c r="J13" s="69">
        <f t="shared" si="7"/>
        <v>2.1879266056690858E-2</v>
      </c>
      <c r="K13" s="69">
        <f>K6/K3</f>
        <v>3.2741505112594521E-2</v>
      </c>
      <c r="L13" s="69">
        <f>L6/L3</f>
        <v>4.4633252782766177E-2</v>
      </c>
    </row>
    <row r="14" spans="1:13" ht="16.350000000000001" thickBot="1" x14ac:dyDescent="0.3">
      <c r="B14" s="70" t="s">
        <v>32</v>
      </c>
      <c r="C14" s="71"/>
      <c r="D14" s="71"/>
      <c r="E14" s="71"/>
      <c r="F14" s="71"/>
      <c r="G14" s="71"/>
      <c r="H14" s="72"/>
      <c r="I14" s="73"/>
      <c r="J14" s="73"/>
      <c r="K14" s="73"/>
      <c r="L14" s="73">
        <f>POWER(L4/H4,1/4)-1</f>
        <v>0.58800000000000008</v>
      </c>
    </row>
    <row r="17" spans="1:12" x14ac:dyDescent="0.25">
      <c r="A17" s="4" t="s">
        <v>67</v>
      </c>
      <c r="B17" s="4" t="s">
        <v>69</v>
      </c>
      <c r="G17" s="4" t="s">
        <v>80</v>
      </c>
    </row>
    <row r="18" spans="1:12" ht="18.149999999999999" thickBot="1" x14ac:dyDescent="0.3">
      <c r="B18" s="36"/>
      <c r="C18" s="74"/>
      <c r="D18" s="74"/>
      <c r="E18" s="74"/>
      <c r="F18" s="74"/>
      <c r="G18" s="74"/>
      <c r="H18" s="74"/>
      <c r="I18" s="74"/>
      <c r="J18" s="74"/>
      <c r="K18" s="74"/>
      <c r="L18" s="74"/>
    </row>
    <row r="19" spans="1:12" ht="16.350000000000001" x14ac:dyDescent="0.25">
      <c r="B19" s="37"/>
      <c r="C19" s="38">
        <v>2016</v>
      </c>
      <c r="D19" s="38">
        <v>2017</v>
      </c>
      <c r="E19" s="38">
        <v>2018</v>
      </c>
      <c r="F19" s="38">
        <v>2019</v>
      </c>
      <c r="G19" s="38">
        <v>2020</v>
      </c>
      <c r="H19" s="38">
        <v>2021</v>
      </c>
      <c r="I19" s="57" t="s">
        <v>58</v>
      </c>
      <c r="J19" s="57" t="s">
        <v>59</v>
      </c>
      <c r="K19" s="57" t="s">
        <v>60</v>
      </c>
      <c r="L19" s="75" t="s">
        <v>61</v>
      </c>
    </row>
    <row r="20" spans="1:12" x14ac:dyDescent="0.25">
      <c r="B20" s="64" t="s">
        <v>72</v>
      </c>
      <c r="C20" s="76">
        <v>26543</v>
      </c>
      <c r="D20" s="76">
        <v>26543</v>
      </c>
      <c r="E20" s="76">
        <v>26543</v>
      </c>
      <c r="F20" s="76">
        <v>26543</v>
      </c>
      <c r="G20" s="76">
        <v>26543</v>
      </c>
      <c r="H20" s="63">
        <f>G20*(1-0.3%)</f>
        <v>26463.370999999999</v>
      </c>
      <c r="I20" s="63">
        <f t="shared" ref="I20:L20" si="8">H20*(1-0.3%)</f>
        <v>26383.980886999998</v>
      </c>
      <c r="J20" s="63">
        <f t="shared" si="8"/>
        <v>26304.828944338999</v>
      </c>
      <c r="K20" s="63">
        <f t="shared" si="8"/>
        <v>26225.91445750598</v>
      </c>
      <c r="L20" s="63">
        <f t="shared" si="8"/>
        <v>26147.236714133462</v>
      </c>
    </row>
    <row r="21" spans="1:12" x14ac:dyDescent="0.25">
      <c r="B21" s="64" t="s">
        <v>19</v>
      </c>
      <c r="C21" s="63">
        <v>300</v>
      </c>
      <c r="D21" s="63">
        <v>300</v>
      </c>
      <c r="E21" s="63">
        <v>300</v>
      </c>
      <c r="F21" s="63">
        <v>300</v>
      </c>
      <c r="G21" s="63">
        <v>300</v>
      </c>
      <c r="H21" s="63">
        <v>300</v>
      </c>
      <c r="I21" s="63">
        <v>300</v>
      </c>
      <c r="J21" s="63">
        <v>300</v>
      </c>
      <c r="K21" s="63">
        <v>300</v>
      </c>
      <c r="L21" s="77">
        <v>300</v>
      </c>
    </row>
    <row r="22" spans="1:12" x14ac:dyDescent="0.25">
      <c r="B22" s="64" t="s">
        <v>18</v>
      </c>
      <c r="C22" s="63">
        <v>24</v>
      </c>
      <c r="D22" s="63">
        <v>24</v>
      </c>
      <c r="E22" s="63">
        <v>24</v>
      </c>
      <c r="F22" s="63">
        <v>24</v>
      </c>
      <c r="G22" s="63">
        <v>24</v>
      </c>
      <c r="H22" s="63">
        <v>24</v>
      </c>
      <c r="I22" s="63">
        <v>24</v>
      </c>
      <c r="J22" s="63">
        <v>24</v>
      </c>
      <c r="K22" s="63">
        <v>24</v>
      </c>
      <c r="L22" s="77">
        <v>24</v>
      </c>
    </row>
    <row r="23" spans="1:12" x14ac:dyDescent="0.25">
      <c r="B23" s="64" t="s">
        <v>54</v>
      </c>
      <c r="C23" s="63">
        <f>C20/C21/C22</f>
        <v>3.6865277777777781</v>
      </c>
      <c r="D23" s="63">
        <f t="shared" ref="D23:G23" si="9">D20/D21/D22</f>
        <v>3.6865277777777781</v>
      </c>
      <c r="E23" s="63">
        <f t="shared" si="9"/>
        <v>3.6865277777777781</v>
      </c>
      <c r="F23" s="63">
        <f t="shared" si="9"/>
        <v>3.6865277777777781</v>
      </c>
      <c r="G23" s="63">
        <f t="shared" si="9"/>
        <v>3.6865277777777781</v>
      </c>
      <c r="H23" s="63">
        <f>H20/H21/H22</f>
        <v>3.6754681944444445</v>
      </c>
      <c r="I23" s="63">
        <f>I20/I21/I22</f>
        <v>3.6644417898611112</v>
      </c>
      <c r="J23" s="63">
        <f t="shared" ref="J23:L23" si="10">J20/J21/J22</f>
        <v>3.6534484644915275</v>
      </c>
      <c r="K23" s="63">
        <f t="shared" si="10"/>
        <v>3.6424881190980525</v>
      </c>
      <c r="L23" s="77">
        <f t="shared" si="10"/>
        <v>3.6315606547407584</v>
      </c>
    </row>
    <row r="24" spans="1:12" x14ac:dyDescent="0.25">
      <c r="B24" s="78" t="s">
        <v>16</v>
      </c>
      <c r="C24" s="79">
        <v>0.7</v>
      </c>
      <c r="D24" s="79">
        <v>0.7</v>
      </c>
      <c r="E24" s="79">
        <v>0.7</v>
      </c>
      <c r="F24" s="79">
        <v>0.7</v>
      </c>
      <c r="G24" s="79">
        <v>0.7</v>
      </c>
      <c r="H24" s="79">
        <v>0.7</v>
      </c>
      <c r="I24" s="79">
        <v>0.7</v>
      </c>
      <c r="J24" s="79">
        <v>0.7</v>
      </c>
      <c r="K24" s="79">
        <v>0.7</v>
      </c>
      <c r="L24" s="80">
        <v>0.7</v>
      </c>
    </row>
    <row r="25" spans="1:12" x14ac:dyDescent="0.25">
      <c r="B25" s="64" t="s">
        <v>41</v>
      </c>
      <c r="C25" s="63">
        <f t="shared" ref="C25:G25" si="11">C23/C24</f>
        <v>5.266468253968255</v>
      </c>
      <c r="D25" s="63">
        <f t="shared" si="11"/>
        <v>5.266468253968255</v>
      </c>
      <c r="E25" s="63">
        <f t="shared" si="11"/>
        <v>5.266468253968255</v>
      </c>
      <c r="F25" s="63">
        <f t="shared" si="11"/>
        <v>5.266468253968255</v>
      </c>
      <c r="G25" s="63">
        <f t="shared" si="11"/>
        <v>5.266468253968255</v>
      </c>
      <c r="H25" s="63">
        <f>H23/H24</f>
        <v>5.2506688492063498</v>
      </c>
      <c r="I25" s="63">
        <f>I23/I24</f>
        <v>5.2349168426587305</v>
      </c>
      <c r="J25" s="63">
        <f t="shared" ref="J25:L25" si="12">J23/J24</f>
        <v>5.2192120921307543</v>
      </c>
      <c r="K25" s="63">
        <f t="shared" si="12"/>
        <v>5.2035544558543609</v>
      </c>
      <c r="L25" s="77">
        <f t="shared" si="12"/>
        <v>5.1879437924867977</v>
      </c>
    </row>
    <row r="26" spans="1:12" x14ac:dyDescent="0.25">
      <c r="B26" s="64" t="s">
        <v>20</v>
      </c>
      <c r="C26" s="63">
        <f t="shared" ref="C26:G26" si="13">C25-C23</f>
        <v>1.579940476190477</v>
      </c>
      <c r="D26" s="63">
        <f t="shared" si="13"/>
        <v>1.579940476190477</v>
      </c>
      <c r="E26" s="63">
        <f t="shared" si="13"/>
        <v>1.579940476190477</v>
      </c>
      <c r="F26" s="63">
        <f t="shared" si="13"/>
        <v>1.579940476190477</v>
      </c>
      <c r="G26" s="63">
        <f t="shared" si="13"/>
        <v>1.579940476190477</v>
      </c>
      <c r="H26" s="63">
        <f>H25-H23</f>
        <v>1.5752006547619053</v>
      </c>
      <c r="I26" s="63">
        <f>I25-I23</f>
        <v>1.5704750527976192</v>
      </c>
      <c r="J26" s="63">
        <f t="shared" ref="J26:L26" si="14">J25-J23</f>
        <v>1.5657636276392268</v>
      </c>
      <c r="K26" s="63">
        <f t="shared" si="14"/>
        <v>1.5610663367563085</v>
      </c>
      <c r="L26" s="77">
        <f t="shared" si="14"/>
        <v>1.5563831377460393</v>
      </c>
    </row>
    <row r="27" spans="1:12" x14ac:dyDescent="0.25">
      <c r="B27" s="81" t="s">
        <v>21</v>
      </c>
      <c r="C27" s="82">
        <v>0.5</v>
      </c>
      <c r="D27" s="82">
        <v>0.5</v>
      </c>
      <c r="E27" s="82">
        <v>0.5</v>
      </c>
      <c r="F27" s="82">
        <v>0.5</v>
      </c>
      <c r="G27" s="82">
        <v>0.5</v>
      </c>
      <c r="H27" s="82">
        <v>0.5</v>
      </c>
      <c r="I27" s="82">
        <v>0.5</v>
      </c>
      <c r="J27" s="82">
        <v>0.5</v>
      </c>
      <c r="K27" s="82">
        <v>0.5</v>
      </c>
      <c r="L27" s="83">
        <v>0.5</v>
      </c>
    </row>
    <row r="28" spans="1:12" x14ac:dyDescent="0.25">
      <c r="B28" s="64" t="s">
        <v>66</v>
      </c>
      <c r="C28" s="63">
        <f>C27*C26*100000000/1000000</f>
        <v>78.997023809523853</v>
      </c>
      <c r="D28" s="63">
        <f>D27*D26*100000000/1000000</f>
        <v>78.997023809523853</v>
      </c>
      <c r="E28" s="63">
        <f t="shared" ref="E28:G28" si="15">E27*E26*100000000/1000000</f>
        <v>78.997023809523853</v>
      </c>
      <c r="F28" s="63">
        <f t="shared" si="15"/>
        <v>78.997023809523853</v>
      </c>
      <c r="G28" s="63">
        <f t="shared" si="15"/>
        <v>78.997023809523853</v>
      </c>
      <c r="H28" s="63">
        <f>H27*H26*100000000/1000000</f>
        <v>78.760032738095262</v>
      </c>
      <c r="I28" s="63">
        <f>I27*I26*100000000/1000000</f>
        <v>78.523752639880954</v>
      </c>
      <c r="J28" s="63">
        <f>J27*J26*100000000/1000000</f>
        <v>78.288181381961351</v>
      </c>
      <c r="K28" s="63">
        <f>K27*K26*100000000/1000000</f>
        <v>78.053316837815416</v>
      </c>
      <c r="L28" s="77">
        <f>L27*L26*100000000/1000000</f>
        <v>77.819156887301972</v>
      </c>
    </row>
    <row r="29" spans="1:12" x14ac:dyDescent="0.25">
      <c r="B29" s="64" t="s">
        <v>33</v>
      </c>
      <c r="C29" s="97">
        <v>1E-3</v>
      </c>
      <c r="D29" s="97">
        <v>1.5E-3</v>
      </c>
      <c r="E29" s="97">
        <v>3.0000000000000001E-3</v>
      </c>
      <c r="F29" s="97">
        <v>6.6E-3</v>
      </c>
      <c r="G29" s="97">
        <v>8.8999999999999999E-3</v>
      </c>
      <c r="H29" s="97">
        <v>1.2E-2</v>
      </c>
      <c r="I29" s="97">
        <v>0.02</v>
      </c>
      <c r="J29" s="97">
        <v>3.3000000000000002E-2</v>
      </c>
      <c r="K29" s="97">
        <v>5.2999999999999999E-2</v>
      </c>
      <c r="L29" s="98">
        <v>7.8E-2</v>
      </c>
    </row>
    <row r="30" spans="1:12" x14ac:dyDescent="0.25">
      <c r="B30" s="64" t="s">
        <v>57</v>
      </c>
      <c r="C30" s="85">
        <v>0.03</v>
      </c>
      <c r="D30" s="86">
        <f>(D29-C29)*D28</f>
        <v>3.9498511904761925E-2</v>
      </c>
      <c r="E30" s="87">
        <f>(E29-D29)*E28</f>
        <v>0.11849553571428578</v>
      </c>
      <c r="F30" s="87">
        <f>(F29-E29)*F28</f>
        <v>0.28438928571428584</v>
      </c>
      <c r="G30" s="87">
        <f t="shared" ref="G30" si="16">(G29-F29)*G28</f>
        <v>0.18169315476190487</v>
      </c>
      <c r="H30" s="87">
        <f>(H29-G29)*H28</f>
        <v>0.24415610148809533</v>
      </c>
      <c r="I30" s="87">
        <f t="shared" ref="I30:J30" si="17">(I29-H29)*I28</f>
        <v>0.62819002111904765</v>
      </c>
      <c r="J30" s="87">
        <f t="shared" si="17"/>
        <v>1.0177463579654977</v>
      </c>
      <c r="K30" s="87">
        <f>(K29-J29)*K28</f>
        <v>1.561066336756308</v>
      </c>
      <c r="L30" s="88">
        <f>(L29-K29)*L28</f>
        <v>1.9454789221825495</v>
      </c>
    </row>
    <row r="31" spans="1:12" ht="16.350000000000001" x14ac:dyDescent="0.25">
      <c r="B31" s="89" t="s">
        <v>79</v>
      </c>
      <c r="C31" s="90">
        <f>C30/(C30+C48+C66)</f>
        <v>0.6</v>
      </c>
      <c r="D31" s="90">
        <f t="shared" ref="D31:L31" si="18">D30/(D30+D48+D66)</f>
        <v>0.58289998900081808</v>
      </c>
      <c r="E31" s="90">
        <f>E30/(E30+E48+E66)</f>
        <v>0.45936390696217916</v>
      </c>
      <c r="F31" s="90">
        <f t="shared" si="18"/>
        <v>0.83419066453287305</v>
      </c>
      <c r="G31" s="90">
        <f t="shared" si="18"/>
        <v>0.7627106991289152</v>
      </c>
      <c r="H31" s="90">
        <f t="shared" si="18"/>
        <v>0.79947147389497464</v>
      </c>
      <c r="I31" s="90">
        <f t="shared" si="18"/>
        <v>0.8231571885022243</v>
      </c>
      <c r="J31" s="90">
        <f t="shared" si="18"/>
        <v>0.82729824073785641</v>
      </c>
      <c r="K31" s="90">
        <f t="shared" si="18"/>
        <v>0.83883599117682206</v>
      </c>
      <c r="L31" s="90">
        <f t="shared" si="18"/>
        <v>0.88796843027476091</v>
      </c>
    </row>
    <row r="32" spans="1:12" x14ac:dyDescent="0.25">
      <c r="B32" s="63" t="s">
        <v>56</v>
      </c>
      <c r="C32" s="87">
        <f t="shared" ref="C32:H32" si="19">C29*C28</f>
        <v>7.899702380952385E-2</v>
      </c>
      <c r="D32" s="87">
        <f t="shared" si="19"/>
        <v>0.11849553571428578</v>
      </c>
      <c r="E32" s="87">
        <f t="shared" si="19"/>
        <v>0.23699107142857156</v>
      </c>
      <c r="F32" s="87">
        <f t="shared" si="19"/>
        <v>0.52138035714285746</v>
      </c>
      <c r="G32" s="87">
        <f t="shared" si="19"/>
        <v>0.7030735119047623</v>
      </c>
      <c r="H32" s="87">
        <f t="shared" si="19"/>
        <v>0.94512039285714311</v>
      </c>
      <c r="I32" s="87">
        <f t="shared" ref="I32:L32" si="20">I29*I28</f>
        <v>1.570475052797619</v>
      </c>
      <c r="J32" s="87">
        <f t="shared" si="20"/>
        <v>2.5835099856047248</v>
      </c>
      <c r="K32" s="87">
        <f t="shared" si="20"/>
        <v>4.1368257924042169</v>
      </c>
      <c r="L32" s="87">
        <f t="shared" si="20"/>
        <v>6.0698942372095539</v>
      </c>
    </row>
    <row r="33" spans="1:12" ht="16.350000000000001" x14ac:dyDescent="0.25">
      <c r="B33" s="91" t="s">
        <v>68</v>
      </c>
      <c r="C33" s="92">
        <f>C32/(C32+C50+C69)</f>
        <v>0.58827570921985817</v>
      </c>
      <c r="D33" s="92">
        <f t="shared" ref="D33:L33" si="21">D32/(D32+D50+D69)</f>
        <v>0.57945933092560142</v>
      </c>
      <c r="E33" s="92">
        <f t="shared" si="21"/>
        <v>0.51276328055769937</v>
      </c>
      <c r="F33" s="92">
        <f t="shared" si="21"/>
        <v>0.6503520112243607</v>
      </c>
      <c r="G33" s="92">
        <f t="shared" si="21"/>
        <v>0.67669792074513757</v>
      </c>
      <c r="H33" s="92">
        <f t="shared" si="21"/>
        <v>0.69312792739200946</v>
      </c>
      <c r="I33" s="92">
        <f t="shared" si="21"/>
        <v>0.73202018558202497</v>
      </c>
      <c r="J33" s="92">
        <f t="shared" si="21"/>
        <v>0.76006132637406532</v>
      </c>
      <c r="K33" s="92">
        <f t="shared" si="21"/>
        <v>0.78150927659941072</v>
      </c>
      <c r="L33" s="92">
        <f t="shared" si="21"/>
        <v>0.80574419296553468</v>
      </c>
    </row>
    <row r="35" spans="1:12" x14ac:dyDescent="0.25">
      <c r="A35" s="4" t="s">
        <v>70</v>
      </c>
      <c r="B35" s="4" t="s">
        <v>71</v>
      </c>
      <c r="G35" s="4" t="s">
        <v>81</v>
      </c>
    </row>
    <row r="36" spans="1:12" ht="18.149999999999999" thickBot="1" x14ac:dyDescent="0.3">
      <c r="B36" s="36"/>
      <c r="C36" s="74"/>
      <c r="D36" s="74"/>
      <c r="E36" s="74"/>
      <c r="F36" s="74"/>
      <c r="G36" s="74"/>
      <c r="H36" s="74"/>
      <c r="I36" s="74"/>
      <c r="J36" s="74"/>
      <c r="K36" s="74"/>
      <c r="L36" s="74"/>
    </row>
    <row r="37" spans="1:12" ht="16.350000000000001" x14ac:dyDescent="0.25">
      <c r="B37" s="37"/>
      <c r="C37" s="38">
        <v>2016</v>
      </c>
      <c r="D37" s="38">
        <v>2017</v>
      </c>
      <c r="E37" s="38">
        <v>2018</v>
      </c>
      <c r="F37" s="38">
        <v>2019</v>
      </c>
      <c r="G37" s="38">
        <v>2020</v>
      </c>
      <c r="H37" s="38">
        <v>2021</v>
      </c>
      <c r="I37" s="57" t="s">
        <v>58</v>
      </c>
      <c r="J37" s="57" t="s">
        <v>59</v>
      </c>
      <c r="K37" s="57" t="s">
        <v>60</v>
      </c>
      <c r="L37" s="75" t="s">
        <v>61</v>
      </c>
    </row>
    <row r="38" spans="1:12" x14ac:dyDescent="0.25">
      <c r="B38" s="64" t="s">
        <v>72</v>
      </c>
      <c r="C38" s="76">
        <v>18577</v>
      </c>
      <c r="D38" s="76">
        <v>18577</v>
      </c>
      <c r="E38" s="76">
        <v>18577</v>
      </c>
      <c r="F38" s="76">
        <v>18577</v>
      </c>
      <c r="G38" s="76">
        <v>18577</v>
      </c>
      <c r="H38" s="63">
        <f>G38*(1+6.7%)</f>
        <v>19821.659</v>
      </c>
      <c r="I38" s="63">
        <f t="shared" ref="I38:L38" si="22">H38*(1+6.7%)</f>
        <v>21149.710153</v>
      </c>
      <c r="J38" s="63">
        <f t="shared" si="22"/>
        <v>22566.740733250997</v>
      </c>
      <c r="K38" s="63">
        <f t="shared" si="22"/>
        <v>24078.712362378814</v>
      </c>
      <c r="L38" s="63">
        <f t="shared" si="22"/>
        <v>25691.986090658193</v>
      </c>
    </row>
    <row r="39" spans="1:12" x14ac:dyDescent="0.25">
      <c r="B39" s="64" t="s">
        <v>19</v>
      </c>
      <c r="C39" s="63">
        <v>300</v>
      </c>
      <c r="D39" s="63">
        <v>300</v>
      </c>
      <c r="E39" s="63">
        <v>300</v>
      </c>
      <c r="F39" s="63">
        <v>300</v>
      </c>
      <c r="G39" s="63">
        <v>300</v>
      </c>
      <c r="H39" s="63">
        <v>300</v>
      </c>
      <c r="I39" s="63">
        <v>300</v>
      </c>
      <c r="J39" s="63">
        <v>300</v>
      </c>
      <c r="K39" s="63">
        <v>300</v>
      </c>
      <c r="L39" s="77">
        <v>300</v>
      </c>
    </row>
    <row r="40" spans="1:12" x14ac:dyDescent="0.25">
      <c r="B40" s="64" t="s">
        <v>18</v>
      </c>
      <c r="C40" s="63">
        <v>24</v>
      </c>
      <c r="D40" s="63">
        <v>24</v>
      </c>
      <c r="E40" s="63">
        <v>24</v>
      </c>
      <c r="F40" s="63">
        <v>24</v>
      </c>
      <c r="G40" s="63">
        <v>24</v>
      </c>
      <c r="H40" s="63">
        <v>24</v>
      </c>
      <c r="I40" s="63">
        <v>24</v>
      </c>
      <c r="J40" s="63">
        <v>24</v>
      </c>
      <c r="K40" s="63">
        <v>24</v>
      </c>
      <c r="L40" s="77">
        <v>24</v>
      </c>
    </row>
    <row r="41" spans="1:12" x14ac:dyDescent="0.25">
      <c r="B41" s="64" t="s">
        <v>54</v>
      </c>
      <c r="C41" s="63">
        <f>C38/C39/C40</f>
        <v>2.580138888888889</v>
      </c>
      <c r="D41" s="63">
        <f t="shared" ref="D41" si="23">D38/D39/D40</f>
        <v>2.580138888888889</v>
      </c>
      <c r="E41" s="63">
        <f t="shared" ref="E41" si="24">E38/E39/E40</f>
        <v>2.580138888888889</v>
      </c>
      <c r="F41" s="63">
        <f t="shared" ref="F41" si="25">F38/F39/F40</f>
        <v>2.580138888888889</v>
      </c>
      <c r="G41" s="63">
        <f t="shared" ref="G41" si="26">G38/G39/G40</f>
        <v>2.580138888888889</v>
      </c>
      <c r="H41" s="63">
        <f>H38/H39/H40</f>
        <v>2.7530081944444444</v>
      </c>
      <c r="I41" s="63">
        <f>I38/I39/I40</f>
        <v>2.9374597434722225</v>
      </c>
      <c r="J41" s="63">
        <f t="shared" ref="J41:L41" si="27">J38/J39/J40</f>
        <v>3.1342695462848607</v>
      </c>
      <c r="K41" s="63">
        <f t="shared" si="27"/>
        <v>3.3442656058859463</v>
      </c>
      <c r="L41" s="77">
        <f t="shared" si="27"/>
        <v>3.5683314014803043</v>
      </c>
    </row>
    <row r="42" spans="1:12" x14ac:dyDescent="0.25">
      <c r="B42" s="78" t="s">
        <v>16</v>
      </c>
      <c r="C42" s="79">
        <v>0.7</v>
      </c>
      <c r="D42" s="79">
        <v>0.7</v>
      </c>
      <c r="E42" s="79">
        <v>0.7</v>
      </c>
      <c r="F42" s="79">
        <v>0.7</v>
      </c>
      <c r="G42" s="79">
        <v>0.7</v>
      </c>
      <c r="H42" s="79">
        <v>0.7</v>
      </c>
      <c r="I42" s="79">
        <v>0.7</v>
      </c>
      <c r="J42" s="79">
        <v>0.7</v>
      </c>
      <c r="K42" s="79">
        <v>0.7</v>
      </c>
      <c r="L42" s="80">
        <v>0.7</v>
      </c>
    </row>
    <row r="43" spans="1:12" x14ac:dyDescent="0.25">
      <c r="B43" s="64" t="s">
        <v>41</v>
      </c>
      <c r="C43" s="63">
        <f t="shared" ref="C43" si="28">C41/C42</f>
        <v>3.6859126984126989</v>
      </c>
      <c r="D43" s="63">
        <f t="shared" ref="D43" si="29">D41/D42</f>
        <v>3.6859126984126989</v>
      </c>
      <c r="E43" s="63">
        <f t="shared" ref="E43" si="30">E41/E42</f>
        <v>3.6859126984126989</v>
      </c>
      <c r="F43" s="63">
        <f t="shared" ref="F43" si="31">F41/F42</f>
        <v>3.6859126984126989</v>
      </c>
      <c r="G43" s="63">
        <f t="shared" ref="G43" si="32">G41/G42</f>
        <v>3.6859126984126989</v>
      </c>
      <c r="H43" s="63">
        <f>H41/H42</f>
        <v>3.9328688492063493</v>
      </c>
      <c r="I43" s="63">
        <f>I41/I42</f>
        <v>4.1963710621031751</v>
      </c>
      <c r="J43" s="63">
        <f t="shared" ref="J43:L43" si="33">J41/J42</f>
        <v>4.4775279232640868</v>
      </c>
      <c r="K43" s="63">
        <f t="shared" si="33"/>
        <v>4.7775222941227806</v>
      </c>
      <c r="L43" s="77">
        <f t="shared" si="33"/>
        <v>5.0976162878290063</v>
      </c>
    </row>
    <row r="44" spans="1:12" x14ac:dyDescent="0.25">
      <c r="B44" s="64" t="s">
        <v>20</v>
      </c>
      <c r="C44" s="63">
        <f t="shared" ref="C44" si="34">C43-C41</f>
        <v>1.1057738095238099</v>
      </c>
      <c r="D44" s="63">
        <f t="shared" ref="D44" si="35">D43-D41</f>
        <v>1.1057738095238099</v>
      </c>
      <c r="E44" s="63">
        <f t="shared" ref="E44" si="36">E43-E41</f>
        <v>1.1057738095238099</v>
      </c>
      <c r="F44" s="63">
        <f t="shared" ref="F44" si="37">F43-F41</f>
        <v>1.1057738095238099</v>
      </c>
      <c r="G44" s="63">
        <f t="shared" ref="G44" si="38">G43-G41</f>
        <v>1.1057738095238099</v>
      </c>
      <c r="H44" s="63">
        <f>H43-H41</f>
        <v>1.1798606547619048</v>
      </c>
      <c r="I44" s="63">
        <f>I43-I41</f>
        <v>1.2589113186309526</v>
      </c>
      <c r="J44" s="63">
        <f t="shared" ref="J44:L44" si="39">J43-J41</f>
        <v>1.3432583769792261</v>
      </c>
      <c r="K44" s="63">
        <f t="shared" si="39"/>
        <v>1.4332566882368343</v>
      </c>
      <c r="L44" s="77">
        <f t="shared" si="39"/>
        <v>1.5292848863487021</v>
      </c>
    </row>
    <row r="45" spans="1:12" x14ac:dyDescent="0.25">
      <c r="B45" s="81" t="s">
        <v>21</v>
      </c>
      <c r="C45" s="82">
        <v>0.5</v>
      </c>
      <c r="D45" s="82">
        <v>0.5</v>
      </c>
      <c r="E45" s="82">
        <v>0.5</v>
      </c>
      <c r="F45" s="82">
        <v>0.5</v>
      </c>
      <c r="G45" s="82">
        <v>0.5</v>
      </c>
      <c r="H45" s="82">
        <v>0.5</v>
      </c>
      <c r="I45" s="82">
        <v>0.5</v>
      </c>
      <c r="J45" s="82">
        <v>0.5</v>
      </c>
      <c r="K45" s="82">
        <v>0.5</v>
      </c>
      <c r="L45" s="83">
        <v>0.5</v>
      </c>
    </row>
    <row r="46" spans="1:12" x14ac:dyDescent="0.25">
      <c r="B46" s="64" t="s">
        <v>66</v>
      </c>
      <c r="C46" s="63">
        <f>C45*C44*100000000/1000000</f>
        <v>55.288690476190496</v>
      </c>
      <c r="D46" s="63">
        <f t="shared" ref="D46" si="40">D45*D44*100000000/1000000</f>
        <v>55.288690476190496</v>
      </c>
      <c r="E46" s="63">
        <f t="shared" ref="E46" si="41">E45*E44*100000000/1000000</f>
        <v>55.288690476190496</v>
      </c>
      <c r="F46" s="63">
        <f t="shared" ref="F46" si="42">F45*F44*100000000/1000000</f>
        <v>55.288690476190496</v>
      </c>
      <c r="G46" s="63">
        <f t="shared" ref="G46" si="43">G45*G44*100000000/1000000</f>
        <v>55.288690476190496</v>
      </c>
      <c r="H46" s="63">
        <f>H45*H44*100000000/1000000</f>
        <v>58.993032738095238</v>
      </c>
      <c r="I46" s="63">
        <f>I45*I44*100000000/1000000</f>
        <v>62.945565931547634</v>
      </c>
      <c r="J46" s="63">
        <f>J45*J44*100000000/1000000</f>
        <v>67.162918848961311</v>
      </c>
      <c r="K46" s="63">
        <f>K45*K44*100000000/1000000</f>
        <v>71.662834411841715</v>
      </c>
      <c r="L46" s="77">
        <f>L45*L44*100000000/1000000</f>
        <v>76.464244317435103</v>
      </c>
    </row>
    <row r="47" spans="1:12" x14ac:dyDescent="0.25">
      <c r="B47" s="64" t="s">
        <v>33</v>
      </c>
      <c r="C47" s="97">
        <v>1E-3</v>
      </c>
      <c r="D47" s="97">
        <v>1.5E-3</v>
      </c>
      <c r="E47" s="97">
        <v>4.0000000000000001E-3</v>
      </c>
      <c r="F47" s="97">
        <v>5.0000000000000001E-3</v>
      </c>
      <c r="G47" s="97">
        <v>6.0000000000000001E-3</v>
      </c>
      <c r="H47" s="97">
        <v>7.0000000000000001E-3</v>
      </c>
      <c r="I47" s="97">
        <v>8.9999999999999993E-3</v>
      </c>
      <c r="J47" s="97">
        <v>1.2E-2</v>
      </c>
      <c r="K47" s="97">
        <v>1.6E-2</v>
      </c>
      <c r="L47" s="98">
        <v>1.9E-2</v>
      </c>
    </row>
    <row r="48" spans="1:12" x14ac:dyDescent="0.25">
      <c r="B48" s="64" t="s">
        <v>57</v>
      </c>
      <c r="C48" s="85">
        <v>0.02</v>
      </c>
      <c r="D48" s="86">
        <f>(D47-C47)*D46</f>
        <v>2.7644345238095249E-2</v>
      </c>
      <c r="E48" s="87">
        <f t="shared" ref="E48" si="44">(E47-D47)*E46</f>
        <v>0.13822172619047624</v>
      </c>
      <c r="F48" s="87">
        <f t="shared" ref="F48" si="45">(F47-E47)*F46</f>
        <v>5.5288690476190498E-2</v>
      </c>
      <c r="G48" s="87">
        <f t="shared" ref="G48" si="46">(G47-F47)*G46</f>
        <v>5.5288690476190498E-2</v>
      </c>
      <c r="H48" s="87">
        <f>(H47-G47)*H46</f>
        <v>5.8993032738095239E-2</v>
      </c>
      <c r="I48" s="87">
        <f t="shared" ref="I48" si="47">(I47-H47)*I46</f>
        <v>0.12589113186309522</v>
      </c>
      <c r="J48" s="87">
        <f t="shared" ref="J48" si="48">(J47-I47)*J46</f>
        <v>0.201488756546884</v>
      </c>
      <c r="K48" s="87">
        <f t="shared" ref="K48" si="49">(K47-J47)*K46</f>
        <v>0.28665133764736689</v>
      </c>
      <c r="L48" s="88">
        <f>(L47-K47)*L46</f>
        <v>0.22939273295230525</v>
      </c>
    </row>
    <row r="49" spans="1:12" ht="16.350000000000001" x14ac:dyDescent="0.25">
      <c r="B49" s="89" t="s">
        <v>79</v>
      </c>
      <c r="C49" s="90">
        <f>C48/(C48+C66+C30)</f>
        <v>0.39999999999999997</v>
      </c>
      <c r="D49" s="90">
        <f t="shared" ref="D49:L49" si="50">D48/(D48+D66+D30)</f>
        <v>0.40796191446589292</v>
      </c>
      <c r="E49" s="90">
        <f t="shared" si="50"/>
        <v>0.53583514169689428</v>
      </c>
      <c r="F49" s="90">
        <f t="shared" si="50"/>
        <v>0.16217667741471056</v>
      </c>
      <c r="G49" s="90">
        <f t="shared" si="50"/>
        <v>0.23209061355270702</v>
      </c>
      <c r="H49" s="90">
        <f t="shared" si="50"/>
        <v>0.19316841375335889</v>
      </c>
      <c r="I49" s="90">
        <f t="shared" si="50"/>
        <v>0.16496312688505727</v>
      </c>
      <c r="J49" s="90">
        <f t="shared" si="50"/>
        <v>0.16378471169665076</v>
      </c>
      <c r="K49" s="90">
        <f t="shared" si="50"/>
        <v>0.15403154451284995</v>
      </c>
      <c r="L49" s="90">
        <f t="shared" si="50"/>
        <v>0.10470095701041103</v>
      </c>
    </row>
    <row r="50" spans="1:12" x14ac:dyDescent="0.25">
      <c r="B50" s="64" t="s">
        <v>56</v>
      </c>
      <c r="C50" s="87">
        <f t="shared" ref="C50:G50" si="51">C47*C46</f>
        <v>5.5288690476190498E-2</v>
      </c>
      <c r="D50" s="87">
        <f t="shared" si="51"/>
        <v>8.2933035714285744E-2</v>
      </c>
      <c r="E50" s="87">
        <f t="shared" si="51"/>
        <v>0.22115476190476199</v>
      </c>
      <c r="F50" s="87">
        <f t="shared" si="51"/>
        <v>0.27644345238095247</v>
      </c>
      <c r="G50" s="87">
        <f t="shared" si="51"/>
        <v>0.33173214285714298</v>
      </c>
      <c r="H50" s="87">
        <f>H47*H46</f>
        <v>0.41295122916666666</v>
      </c>
      <c r="I50" s="87">
        <f t="shared" ref="I50:L50" si="52">I47*I46</f>
        <v>0.56651009338392866</v>
      </c>
      <c r="J50" s="87">
        <f t="shared" si="52"/>
        <v>0.80595502618753578</v>
      </c>
      <c r="K50" s="87">
        <f t="shared" si="52"/>
        <v>1.1466053505894676</v>
      </c>
      <c r="L50" s="88">
        <f t="shared" si="52"/>
        <v>1.4528206420312668</v>
      </c>
    </row>
    <row r="51" spans="1:12" ht="16.95" thickBot="1" x14ac:dyDescent="0.3">
      <c r="B51" s="93" t="s">
        <v>68</v>
      </c>
      <c r="C51" s="94">
        <f>C50/(C50+C32+C68)</f>
        <v>0.41172429078014183</v>
      </c>
      <c r="D51" s="94">
        <f t="shared" ref="D51:L51" si="53">D50/(D50+D32+D68)</f>
        <v>0.41046247829922045</v>
      </c>
      <c r="E51" s="94">
        <f t="shared" si="53"/>
        <v>0.48076758187016333</v>
      </c>
      <c r="F51" s="94">
        <f t="shared" si="53"/>
        <v>0.34515743129867255</v>
      </c>
      <c r="G51" s="94">
        <f t="shared" si="53"/>
        <v>0.3192371468674598</v>
      </c>
      <c r="H51" s="94">
        <f t="shared" si="53"/>
        <v>0.30240339288615642</v>
      </c>
      <c r="I51" s="94">
        <f t="shared" si="53"/>
        <v>0.26286743731106843</v>
      </c>
      <c r="J51" s="94">
        <f t="shared" si="53"/>
        <v>0.23549586697721953</v>
      </c>
      <c r="K51" s="94">
        <f t="shared" si="53"/>
        <v>0.2148599248451637</v>
      </c>
      <c r="L51" s="94">
        <f t="shared" si="53"/>
        <v>0.19108469815666801</v>
      </c>
    </row>
    <row r="53" spans="1:12" x14ac:dyDescent="0.25">
      <c r="A53" s="4" t="s">
        <v>77</v>
      </c>
      <c r="B53" s="4" t="s">
        <v>78</v>
      </c>
      <c r="G53" s="4" t="s">
        <v>82</v>
      </c>
    </row>
    <row r="54" spans="1:12" ht="18.149999999999999" thickBot="1" x14ac:dyDescent="0.3">
      <c r="B54" s="36"/>
      <c r="C54" s="74"/>
      <c r="D54" s="74"/>
      <c r="E54" s="74"/>
      <c r="F54" s="74"/>
      <c r="G54" s="74"/>
      <c r="H54" s="74"/>
      <c r="I54" s="74"/>
      <c r="J54" s="74"/>
      <c r="K54" s="74"/>
      <c r="L54" s="74"/>
    </row>
    <row r="55" spans="1:12" ht="16.350000000000001" x14ac:dyDescent="0.25">
      <c r="B55" s="37"/>
      <c r="C55" s="38">
        <v>2016</v>
      </c>
      <c r="D55" s="38">
        <v>2017</v>
      </c>
      <c r="E55" s="38">
        <v>2018</v>
      </c>
      <c r="F55" s="38">
        <v>2019</v>
      </c>
      <c r="G55" s="38">
        <v>2020</v>
      </c>
      <c r="H55" s="38">
        <v>2021</v>
      </c>
      <c r="I55" s="57" t="s">
        <v>58</v>
      </c>
      <c r="J55" s="57" t="s">
        <v>59</v>
      </c>
      <c r="K55" s="57" t="s">
        <v>60</v>
      </c>
      <c r="L55" s="75" t="s">
        <v>61</v>
      </c>
    </row>
    <row r="56" spans="1:12" x14ac:dyDescent="0.25">
      <c r="B56" s="64" t="s">
        <v>72</v>
      </c>
      <c r="C56" s="76">
        <f>75134*0.05%+2043</f>
        <v>2080.567</v>
      </c>
      <c r="D56" s="76">
        <f>75134*0.05%+2043</f>
        <v>2080.567</v>
      </c>
      <c r="E56" s="76">
        <f t="shared" ref="E56" si="54">75134*0.05%+2043</f>
        <v>2080.567</v>
      </c>
      <c r="F56" s="76">
        <f>75134*0.05%+2043</f>
        <v>2080.567</v>
      </c>
      <c r="G56" s="76">
        <f>75134*0.05%+2043</f>
        <v>2080.567</v>
      </c>
      <c r="H56" s="63">
        <f>G56*(1+21%)</f>
        <v>2517.4860699999999</v>
      </c>
      <c r="I56" s="63">
        <f>H56*(1+21%)</f>
        <v>3046.1581446999999</v>
      </c>
      <c r="J56" s="63">
        <f t="shared" ref="J56:L56" si="55">I56*(1+21%)</f>
        <v>3685.8513550869998</v>
      </c>
      <c r="K56" s="63">
        <f t="shared" si="55"/>
        <v>4459.8801396552699</v>
      </c>
      <c r="L56" s="63">
        <f t="shared" si="55"/>
        <v>5396.4549689828764</v>
      </c>
    </row>
    <row r="57" spans="1:12" x14ac:dyDescent="0.25">
      <c r="B57" s="64" t="s">
        <v>19</v>
      </c>
      <c r="C57" s="63">
        <v>300</v>
      </c>
      <c r="D57" s="63">
        <v>300</v>
      </c>
      <c r="E57" s="63">
        <v>300</v>
      </c>
      <c r="F57" s="63">
        <v>300</v>
      </c>
      <c r="G57" s="63">
        <v>300</v>
      </c>
      <c r="H57" s="63">
        <v>300</v>
      </c>
      <c r="I57" s="63">
        <v>300</v>
      </c>
      <c r="J57" s="63">
        <v>300</v>
      </c>
      <c r="K57" s="63">
        <v>300</v>
      </c>
      <c r="L57" s="77">
        <v>300</v>
      </c>
    </row>
    <row r="58" spans="1:12" x14ac:dyDescent="0.25">
      <c r="B58" s="64" t="s">
        <v>18</v>
      </c>
      <c r="C58" s="63">
        <v>24</v>
      </c>
      <c r="D58" s="63">
        <v>24</v>
      </c>
      <c r="E58" s="63">
        <v>24</v>
      </c>
      <c r="F58" s="63">
        <v>24</v>
      </c>
      <c r="G58" s="63">
        <v>24</v>
      </c>
      <c r="H58" s="63">
        <v>24</v>
      </c>
      <c r="I58" s="63">
        <v>24</v>
      </c>
      <c r="J58" s="63">
        <v>24</v>
      </c>
      <c r="K58" s="63">
        <v>24</v>
      </c>
      <c r="L58" s="77">
        <v>24</v>
      </c>
    </row>
    <row r="59" spans="1:12" x14ac:dyDescent="0.25">
      <c r="B59" s="64" t="s">
        <v>54</v>
      </c>
      <c r="C59" s="63">
        <f>C56/C57/C58</f>
        <v>0.28896763888888888</v>
      </c>
      <c r="D59" s="63">
        <f t="shared" ref="D59" si="56">D56/D57/D58</f>
        <v>0.28896763888888888</v>
      </c>
      <c r="E59" s="63">
        <f t="shared" ref="E59" si="57">E56/E57/E58</f>
        <v>0.28896763888888888</v>
      </c>
      <c r="F59" s="63">
        <f t="shared" ref="F59" si="58">F56/F57/F58</f>
        <v>0.28896763888888888</v>
      </c>
      <c r="G59" s="63">
        <f t="shared" ref="G59" si="59">G56/G57/G58</f>
        <v>0.28896763888888888</v>
      </c>
      <c r="H59" s="63">
        <f>H56/H57/H58</f>
        <v>0.34965084305555555</v>
      </c>
      <c r="I59" s="63">
        <f>I56/I57/I58</f>
        <v>0.42307752009722216</v>
      </c>
      <c r="J59" s="63">
        <f t="shared" ref="J59:L59" si="60">J56/J57/J58</f>
        <v>0.51192379931763887</v>
      </c>
      <c r="K59" s="63">
        <f t="shared" si="60"/>
        <v>0.61942779717434304</v>
      </c>
      <c r="L59" s="77">
        <f t="shared" si="60"/>
        <v>0.74950763458095515</v>
      </c>
    </row>
    <row r="60" spans="1:12" x14ac:dyDescent="0.25">
      <c r="B60" s="78" t="s">
        <v>16</v>
      </c>
      <c r="C60" s="79">
        <v>0.7</v>
      </c>
      <c r="D60" s="79">
        <v>0.7</v>
      </c>
      <c r="E60" s="79">
        <v>0.7</v>
      </c>
      <c r="F60" s="79">
        <v>0.7</v>
      </c>
      <c r="G60" s="79">
        <v>0.7</v>
      </c>
      <c r="H60" s="79">
        <v>0.7</v>
      </c>
      <c r="I60" s="79">
        <v>0.7</v>
      </c>
      <c r="J60" s="79">
        <v>0.7</v>
      </c>
      <c r="K60" s="79">
        <v>0.7</v>
      </c>
      <c r="L60" s="80">
        <v>0.7</v>
      </c>
    </row>
    <row r="61" spans="1:12" x14ac:dyDescent="0.25">
      <c r="B61" s="64" t="s">
        <v>41</v>
      </c>
      <c r="C61" s="63">
        <f t="shared" ref="C61" si="61">C59/C60</f>
        <v>0.41281091269841269</v>
      </c>
      <c r="D61" s="63">
        <f t="shared" ref="D61" si="62">D59/D60</f>
        <v>0.41281091269841269</v>
      </c>
      <c r="E61" s="63">
        <f t="shared" ref="E61" si="63">E59/E60</f>
        <v>0.41281091269841269</v>
      </c>
      <c r="F61" s="63">
        <f t="shared" ref="F61" si="64">F59/F60</f>
        <v>0.41281091269841269</v>
      </c>
      <c r="G61" s="63">
        <f t="shared" ref="G61" si="65">G59/G60</f>
        <v>0.41281091269841269</v>
      </c>
      <c r="H61" s="63">
        <f>H59/H60</f>
        <v>0.49950120436507939</v>
      </c>
      <c r="I61" s="63">
        <f>I59/I60</f>
        <v>0.60439645728174596</v>
      </c>
      <c r="J61" s="63">
        <f t="shared" ref="J61:L61" si="66">J59/J60</f>
        <v>0.73131971331091272</v>
      </c>
      <c r="K61" s="63">
        <f t="shared" si="66"/>
        <v>0.88489685310620436</v>
      </c>
      <c r="L61" s="77">
        <f t="shared" si="66"/>
        <v>1.0707251922585075</v>
      </c>
    </row>
    <row r="62" spans="1:12" x14ac:dyDescent="0.25">
      <c r="B62" s="64" t="s">
        <v>20</v>
      </c>
      <c r="C62" s="63">
        <f t="shared" ref="C62" si="67">C61-C59</f>
        <v>0.12384327380952381</v>
      </c>
      <c r="D62" s="63">
        <f t="shared" ref="D62" si="68">D61-D59</f>
        <v>0.12384327380952381</v>
      </c>
      <c r="E62" s="63">
        <f t="shared" ref="E62" si="69">E61-E59</f>
        <v>0.12384327380952381</v>
      </c>
      <c r="F62" s="63">
        <f t="shared" ref="F62" si="70">F61-F59</f>
        <v>0.12384327380952381</v>
      </c>
      <c r="G62" s="63">
        <f t="shared" ref="G62" si="71">G61-G59</f>
        <v>0.12384327380952381</v>
      </c>
      <c r="H62" s="63">
        <f>H61-H59</f>
        <v>0.14985036130952384</v>
      </c>
      <c r="I62" s="63">
        <f>I61-I59</f>
        <v>0.1813189371845238</v>
      </c>
      <c r="J62" s="63">
        <f t="shared" ref="J62:L62" si="72">J61-J59</f>
        <v>0.21939591399327385</v>
      </c>
      <c r="K62" s="63">
        <f t="shared" si="72"/>
        <v>0.26546905593186132</v>
      </c>
      <c r="L62" s="77">
        <f t="shared" si="72"/>
        <v>0.32121755767755233</v>
      </c>
    </row>
    <row r="63" spans="1:12" x14ac:dyDescent="0.25">
      <c r="B63" s="81" t="s">
        <v>21</v>
      </c>
      <c r="C63" s="82">
        <v>0.5</v>
      </c>
      <c r="D63" s="82">
        <v>0.5</v>
      </c>
      <c r="E63" s="82">
        <v>0.5</v>
      </c>
      <c r="F63" s="82">
        <v>0.5</v>
      </c>
      <c r="G63" s="82">
        <v>0.5</v>
      </c>
      <c r="H63" s="82">
        <v>0.5</v>
      </c>
      <c r="I63" s="82">
        <v>0.5</v>
      </c>
      <c r="J63" s="82">
        <v>0.5</v>
      </c>
      <c r="K63" s="82">
        <v>0.5</v>
      </c>
      <c r="L63" s="83">
        <v>0.5</v>
      </c>
    </row>
    <row r="64" spans="1:12" x14ac:dyDescent="0.25">
      <c r="B64" s="64" t="s">
        <v>66</v>
      </c>
      <c r="C64" s="63">
        <f>C63*C62*100000000/1000000</f>
        <v>6.1921636904761899</v>
      </c>
      <c r="D64" s="63">
        <f t="shared" ref="D64" si="73">D63*D62*100000000/1000000</f>
        <v>6.1921636904761899</v>
      </c>
      <c r="E64" s="63">
        <f t="shared" ref="E64" si="74">E63*E62*100000000/1000000</f>
        <v>6.1921636904761899</v>
      </c>
      <c r="F64" s="63">
        <f t="shared" ref="F64" si="75">F63*F62*100000000/1000000</f>
        <v>6.1921636904761899</v>
      </c>
      <c r="G64" s="63">
        <f t="shared" ref="G64" si="76">G63*G62*100000000/1000000</f>
        <v>6.1921636904761899</v>
      </c>
      <c r="H64" s="63">
        <f>H63*H62*100000000/1000000</f>
        <v>7.492518065476192</v>
      </c>
      <c r="I64" s="63">
        <f>I63*I62*100000000/1000000</f>
        <v>9.0659468592261891</v>
      </c>
      <c r="J64" s="63">
        <f>J63*J62*100000000/1000000</f>
        <v>10.969795699663694</v>
      </c>
      <c r="K64" s="63">
        <f>K63*K62*100000000/1000000</f>
        <v>13.273452796593066</v>
      </c>
      <c r="L64" s="77">
        <f>L63*L62*100000000/1000000</f>
        <v>16.060877883877616</v>
      </c>
    </row>
    <row r="65" spans="2:12" x14ac:dyDescent="0.25">
      <c r="B65" s="64" t="s">
        <v>33</v>
      </c>
      <c r="C65" s="69">
        <v>0</v>
      </c>
      <c r="D65" s="69">
        <v>1E-4</v>
      </c>
      <c r="E65" s="69">
        <v>2.9999999999999997E-4</v>
      </c>
      <c r="F65" s="69">
        <v>5.0000000000000001E-4</v>
      </c>
      <c r="G65" s="69">
        <v>6.9999999999999999E-4</v>
      </c>
      <c r="H65" s="69">
        <v>1E-3</v>
      </c>
      <c r="I65" s="69">
        <v>2E-3</v>
      </c>
      <c r="J65" s="69">
        <v>3.0000000000000001E-3</v>
      </c>
      <c r="K65" s="69">
        <v>4.0000000000000001E-3</v>
      </c>
      <c r="L65" s="84">
        <v>5.0000000000000001E-3</v>
      </c>
    </row>
    <row r="66" spans="2:12" x14ac:dyDescent="0.25">
      <c r="B66" s="64" t="s">
        <v>57</v>
      </c>
      <c r="C66" s="95">
        <v>0</v>
      </c>
      <c r="D66" s="86">
        <f>(D65-C65)*D64</f>
        <v>6.1921636904761898E-4</v>
      </c>
      <c r="E66" s="86">
        <f>(E65-D65)*E64</f>
        <v>1.238432738095238E-3</v>
      </c>
      <c r="F66" s="86">
        <f>(F65-E65)*F64</f>
        <v>1.2384327380952382E-3</v>
      </c>
      <c r="G66" s="87">
        <f t="shared" ref="G66" si="77">(G65-F65)*G64</f>
        <v>1.238432738095238E-3</v>
      </c>
      <c r="H66" s="87">
        <f>(H65-G65)*H64</f>
        <v>2.2477554196428579E-3</v>
      </c>
      <c r="I66" s="87">
        <f t="shared" ref="I66" si="78">(I65-H65)*I64</f>
        <v>9.0659468592261885E-3</v>
      </c>
      <c r="J66" s="87">
        <f t="shared" ref="J66" si="79">(J65-I65)*J64</f>
        <v>1.0969795699663694E-2</v>
      </c>
      <c r="K66" s="87">
        <f t="shared" ref="K66" si="80">(K65-J65)*K64</f>
        <v>1.3273452796593066E-2</v>
      </c>
      <c r="L66" s="88">
        <f>(L65-K65)*L64</f>
        <v>1.6060877883877618E-2</v>
      </c>
    </row>
    <row r="67" spans="2:12" ht="16.350000000000001" x14ac:dyDescent="0.25">
      <c r="B67" s="89" t="s">
        <v>79</v>
      </c>
      <c r="C67" s="90">
        <f>C66/(C66+C30+C48)</f>
        <v>0</v>
      </c>
      <c r="D67" s="90">
        <f t="shared" ref="D67" si="81">D66/(D66+D84+D48)</f>
        <v>2.1908646109594639E-2</v>
      </c>
      <c r="E67" s="90">
        <f t="shared" ref="E67" si="82">E66/(E66+E84+E48)</f>
        <v>8.8801902106646589E-3</v>
      </c>
      <c r="F67" s="90">
        <f t="shared" ref="F67" si="83">F66/(F66+F84+F48)</f>
        <v>2.1908646109594643E-2</v>
      </c>
      <c r="G67" s="90">
        <f t="shared" ref="G67" si="84">G66/(G66+G84+G48)</f>
        <v>2.1908646109594639E-2</v>
      </c>
      <c r="H67" s="90">
        <f t="shared" ref="H67" si="85">H66/(H66+H84+H48)</f>
        <v>3.6703567789710789E-2</v>
      </c>
      <c r="I67" s="90">
        <f t="shared" ref="I67" si="86">I66/(I66+I84+I48)</f>
        <v>6.7176519713202071E-2</v>
      </c>
      <c r="J67" s="90">
        <f t="shared" ref="J67" si="87">J66/(J66+J84+J48)</f>
        <v>5.1632638854348337E-2</v>
      </c>
      <c r="K67" s="90">
        <f t="shared" ref="K67" si="88">K66/(K66+K84+K48)</f>
        <v>4.4255937553361963E-2</v>
      </c>
      <c r="L67" s="90">
        <f t="shared" ref="L67" si="89">L66/(L66+L84+L48)</f>
        <v>6.5433455344833941E-2</v>
      </c>
    </row>
    <row r="68" spans="2:12" x14ac:dyDescent="0.25">
      <c r="B68" s="64" t="s">
        <v>56</v>
      </c>
      <c r="C68" s="87">
        <f t="shared" ref="C68:G68" si="90">C65*C64</f>
        <v>0</v>
      </c>
      <c r="D68" s="87">
        <f t="shared" si="90"/>
        <v>6.1921636904761898E-4</v>
      </c>
      <c r="E68" s="87">
        <f t="shared" si="90"/>
        <v>1.8576491071428567E-3</v>
      </c>
      <c r="F68" s="87">
        <f t="shared" si="90"/>
        <v>3.0960818452380949E-3</v>
      </c>
      <c r="G68" s="87">
        <f t="shared" si="90"/>
        <v>4.3345145833333333E-3</v>
      </c>
      <c r="H68" s="87">
        <f>H65*H64</f>
        <v>7.4925180654761923E-3</v>
      </c>
      <c r="I68" s="87">
        <f t="shared" ref="I68:L68" si="91">I65*I64</f>
        <v>1.8131893718452377E-2</v>
      </c>
      <c r="J68" s="87">
        <f t="shared" si="91"/>
        <v>3.2909387098991084E-2</v>
      </c>
      <c r="K68" s="87">
        <f t="shared" si="91"/>
        <v>5.3093811186372263E-2</v>
      </c>
      <c r="L68" s="88">
        <f t="shared" si="91"/>
        <v>8.0304389419388084E-2</v>
      </c>
    </row>
    <row r="69" spans="2:12" ht="16.95" thickBot="1" x14ac:dyDescent="0.3">
      <c r="B69" s="93" t="s">
        <v>68</v>
      </c>
      <c r="C69" s="96">
        <f>C68/(C68+C50+C32)</f>
        <v>0</v>
      </c>
      <c r="D69" s="96">
        <f t="shared" ref="D69:L69" si="92">D68/(D68+D50+D32)</f>
        <v>3.0647025428848351E-3</v>
      </c>
      <c r="E69" s="96">
        <f t="shared" si="92"/>
        <v>4.0383370519009778E-3</v>
      </c>
      <c r="F69" s="96">
        <f t="shared" si="92"/>
        <v>3.8656573255357964E-3</v>
      </c>
      <c r="G69" s="96">
        <f t="shared" si="92"/>
        <v>4.1712511085626753E-3</v>
      </c>
      <c r="H69" s="96">
        <f t="shared" si="92"/>
        <v>5.4867566052124814E-3</v>
      </c>
      <c r="I69" s="96">
        <f t="shared" si="92"/>
        <v>8.4134148553220659E-3</v>
      </c>
      <c r="J69" s="96">
        <f t="shared" si="92"/>
        <v>9.6159517525764432E-3</v>
      </c>
      <c r="K69" s="96">
        <f t="shared" si="92"/>
        <v>9.9491357469966134E-3</v>
      </c>
      <c r="L69" s="96">
        <f t="shared" si="92"/>
        <v>1.0562170972051105E-2</v>
      </c>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84AC3-19C8-4CB8-A1BE-FC39914B146A}">
  <dimension ref="A1:M106"/>
  <sheetViews>
    <sheetView topLeftCell="A10" zoomScaleNormal="100" workbookViewId="0">
      <selection activeCell="B40" sqref="B40"/>
    </sheetView>
  </sheetViews>
  <sheetFormatPr defaultColWidth="8.6640625" defaultRowHeight="15.75" x14ac:dyDescent="0.25"/>
  <cols>
    <col min="1" max="1" width="8.6640625" style="4"/>
    <col min="2" max="2" width="38.5546875" style="4" customWidth="1"/>
    <col min="3" max="12" width="11.6640625" style="4" bestFit="1" customWidth="1"/>
    <col min="13" max="16384" width="8.6640625" style="4"/>
  </cols>
  <sheetData>
    <row r="1" spans="1:13" s="246" customFormat="1" ht="16.350000000000001" x14ac:dyDescent="0.4">
      <c r="H1" s="247"/>
    </row>
    <row r="2" spans="1:13" ht="17.55" x14ac:dyDescent="0.25">
      <c r="B2" s="5" t="s">
        <v>194</v>
      </c>
      <c r="C2" s="5"/>
      <c r="D2" s="5"/>
      <c r="E2" s="5"/>
      <c r="F2" s="5"/>
      <c r="G2" s="5"/>
      <c r="H2" s="5"/>
      <c r="I2" s="5"/>
      <c r="J2" s="5"/>
      <c r="K2" s="5"/>
      <c r="L2" s="5"/>
    </row>
    <row r="3" spans="1:13" ht="16.350000000000001" x14ac:dyDescent="0.25">
      <c r="B3" s="8"/>
      <c r="C3" s="7">
        <v>2016</v>
      </c>
      <c r="D3" s="7">
        <v>2017</v>
      </c>
      <c r="E3" s="7">
        <v>2018</v>
      </c>
      <c r="F3" s="7">
        <v>2019</v>
      </c>
      <c r="G3" s="7">
        <v>2020</v>
      </c>
      <c r="H3" s="7">
        <v>2021</v>
      </c>
      <c r="I3" s="178" t="s">
        <v>58</v>
      </c>
      <c r="J3" s="178" t="s">
        <v>59</v>
      </c>
      <c r="K3" s="178" t="s">
        <v>60</v>
      </c>
      <c r="L3" s="178" t="s">
        <v>61</v>
      </c>
    </row>
    <row r="4" spans="1:13" x14ac:dyDescent="0.25">
      <c r="B4" s="63" t="s">
        <v>62</v>
      </c>
      <c r="C4" s="63">
        <f t="shared" ref="C4:L4" si="0">C29+C65+C83</f>
        <v>52.846618752503204</v>
      </c>
      <c r="D4" s="63">
        <f t="shared" si="0"/>
        <v>53.221013510154165</v>
      </c>
      <c r="E4" s="63">
        <f t="shared" si="0"/>
        <v>53.7682064785905</v>
      </c>
      <c r="F4" s="63">
        <f t="shared" si="0"/>
        <v>54.139828091666679</v>
      </c>
      <c r="G4" s="63">
        <f t="shared" si="0"/>
        <v>55.078210000000013</v>
      </c>
      <c r="H4" s="63">
        <f t="shared" si="0"/>
        <v>56.618416908333359</v>
      </c>
      <c r="I4" s="63">
        <f t="shared" si="0"/>
        <v>57.951213928026142</v>
      </c>
      <c r="J4" s="63">
        <f t="shared" si="0"/>
        <v>59.683450440765334</v>
      </c>
      <c r="K4" s="63">
        <f t="shared" si="0"/>
        <v>61.951417923044687</v>
      </c>
      <c r="L4" s="63">
        <f t="shared" si="0"/>
        <v>64.940908739296503</v>
      </c>
    </row>
    <row r="5" spans="1:13" x14ac:dyDescent="0.25">
      <c r="A5" s="4" t="s">
        <v>83</v>
      </c>
      <c r="B5" s="63" t="s">
        <v>73</v>
      </c>
      <c r="C5" s="176">
        <f>D5-D6</f>
        <v>0.39348035358928551</v>
      </c>
      <c r="D5" s="176">
        <f>E5-E6</f>
        <v>0.46458035358928551</v>
      </c>
      <c r="E5" s="176">
        <f>F5-F6</f>
        <v>0.75788035358928552</v>
      </c>
      <c r="F5" s="176">
        <f>G5-G6</f>
        <v>1.0357803535892856</v>
      </c>
      <c r="G5" s="176">
        <f>H5-H6</f>
        <v>1.3638803535892856</v>
      </c>
      <c r="H5" s="176">
        <f>11.4/(1+58.8%)^4</f>
        <v>1.7926803535892857</v>
      </c>
      <c r="I5" s="176">
        <f>H5*(1+58.8%)</f>
        <v>2.8467764014997856</v>
      </c>
      <c r="J5" s="176">
        <f>I5*(1+58.8%)</f>
        <v>4.5206809255816598</v>
      </c>
      <c r="K5" s="176">
        <f>J5*(1+58.8%)</f>
        <v>7.1788413098236763</v>
      </c>
      <c r="L5" s="176">
        <v>11.4</v>
      </c>
    </row>
    <row r="6" spans="1:13" x14ac:dyDescent="0.25">
      <c r="A6" s="4" t="s">
        <v>83</v>
      </c>
      <c r="B6" s="63" t="s">
        <v>74</v>
      </c>
      <c r="C6" s="177">
        <v>5.4300000000000001E-2</v>
      </c>
      <c r="D6" s="177">
        <v>7.1099999999999997E-2</v>
      </c>
      <c r="E6" s="177">
        <v>0.29330000000000001</v>
      </c>
      <c r="F6" s="177">
        <v>0.27789999999999998</v>
      </c>
      <c r="G6" s="177">
        <v>0.3281</v>
      </c>
      <c r="H6" s="177">
        <v>0.42880000000000001</v>
      </c>
      <c r="I6" s="177">
        <f>I5-H5</f>
        <v>1.0540960479104999</v>
      </c>
      <c r="J6" s="177">
        <f>J5-I5</f>
        <v>1.6739045240818742</v>
      </c>
      <c r="K6" s="177">
        <f>K5-J5</f>
        <v>2.6581603842420165</v>
      </c>
      <c r="L6" s="177">
        <f>L5-K5</f>
        <v>4.2211586901763241</v>
      </c>
    </row>
    <row r="7" spans="1:13" ht="16.350000000000001" x14ac:dyDescent="0.25">
      <c r="A7" s="4" t="s">
        <v>84</v>
      </c>
      <c r="B7" s="191" t="s">
        <v>75</v>
      </c>
      <c r="C7" s="192">
        <f t="shared" ref="C7:K7" si="1">C33+C51+C69+C87+C105</f>
        <v>5.5015432255233046E-2</v>
      </c>
      <c r="D7" s="192">
        <f t="shared" si="1"/>
        <v>9.3252183114828177E-2</v>
      </c>
      <c r="E7" s="192">
        <f t="shared" si="1"/>
        <v>0.21036759654362869</v>
      </c>
      <c r="F7" s="192">
        <f t="shared" si="1"/>
        <v>0.44003412031111344</v>
      </c>
      <c r="G7" s="192">
        <f t="shared" si="1"/>
        <v>0.69247300424864</v>
      </c>
      <c r="H7" s="192">
        <f t="shared" si="1"/>
        <v>0.99488430856564636</v>
      </c>
      <c r="I7" s="192">
        <f t="shared" si="1"/>
        <v>1.6233614042613105</v>
      </c>
      <c r="J7" s="192">
        <f t="shared" si="1"/>
        <v>2.8751812927586129</v>
      </c>
      <c r="K7" s="192">
        <f t="shared" si="1"/>
        <v>4.5395339235718408</v>
      </c>
      <c r="L7" s="192">
        <f>L33+L51+L69+L87+L105</f>
        <v>6.6061579627588589</v>
      </c>
    </row>
    <row r="8" spans="1:13" ht="16.350000000000001" x14ac:dyDescent="0.25">
      <c r="A8" s="4" t="s">
        <v>84</v>
      </c>
      <c r="B8" s="191" t="s">
        <v>76</v>
      </c>
      <c r="C8" s="193">
        <f t="shared" ref="C8:K8" si="2">C31+C49+C67+C85+C103</f>
        <v>1.5099999999999999E-2</v>
      </c>
      <c r="D8" s="193">
        <f t="shared" si="2"/>
        <v>3.7614741319333456E-2</v>
      </c>
      <c r="E8" s="193">
        <f t="shared" si="2"/>
        <v>0.11485386532519851</v>
      </c>
      <c r="F8" s="193">
        <f t="shared" si="2"/>
        <v>0.22333041054835762</v>
      </c>
      <c r="G8" s="193">
        <f>G31+G49+G67+G85+G103</f>
        <v>0.23359282078967716</v>
      </c>
      <c r="H8" s="193">
        <f t="shared" si="2"/>
        <v>0.26913069520650035</v>
      </c>
      <c r="I8" s="193">
        <f>I31+I49+I67+I85+I103</f>
        <v>0.58511656476140073</v>
      </c>
      <c r="J8" s="193">
        <f t="shared" si="2"/>
        <v>1.1754060387610907</v>
      </c>
      <c r="K8" s="193">
        <f t="shared" si="2"/>
        <v>1.5199106524793071</v>
      </c>
      <c r="L8" s="193">
        <f>L31+L49+L67+L85+L103</f>
        <v>1.8232184954390007</v>
      </c>
      <c r="M8" s="16"/>
    </row>
    <row r="9" spans="1:13" x14ac:dyDescent="0.25">
      <c r="B9" s="63" t="s">
        <v>28</v>
      </c>
      <c r="C9" s="65">
        <v>2.2000000000000002</v>
      </c>
      <c r="D9" s="65">
        <v>2.2000000000000002</v>
      </c>
      <c r="E9" s="65">
        <v>2.2000000000000002</v>
      </c>
      <c r="F9" s="65">
        <v>2.2000000000000002</v>
      </c>
      <c r="G9" s="65">
        <v>2.2000000000000002</v>
      </c>
      <c r="H9" s="65">
        <v>2.2000000000000002</v>
      </c>
      <c r="I9" s="65">
        <f>$H$9*0.9</f>
        <v>1.9800000000000002</v>
      </c>
      <c r="J9" s="65">
        <f>$H$9*0.82</f>
        <v>1.804</v>
      </c>
      <c r="K9" s="65">
        <f>$H$9*0.79</f>
        <v>1.7380000000000002</v>
      </c>
      <c r="L9" s="176">
        <f>H9*(1-30%)</f>
        <v>1.54</v>
      </c>
    </row>
    <row r="10" spans="1:13" x14ac:dyDescent="0.25">
      <c r="B10" s="63" t="s">
        <v>24</v>
      </c>
      <c r="C10" s="248">
        <v>3</v>
      </c>
      <c r="D10" s="248">
        <v>3</v>
      </c>
      <c r="E10" s="248">
        <v>3</v>
      </c>
      <c r="F10" s="248">
        <v>3</v>
      </c>
      <c r="G10" s="248">
        <v>3</v>
      </c>
      <c r="H10" s="248">
        <v>3</v>
      </c>
      <c r="I10" s="248">
        <v>3</v>
      </c>
      <c r="J10" s="248">
        <v>3</v>
      </c>
      <c r="K10" s="248">
        <v>3</v>
      </c>
      <c r="L10" s="248">
        <v>3</v>
      </c>
    </row>
    <row r="11" spans="1:13" x14ac:dyDescent="0.25">
      <c r="B11" s="63" t="s">
        <v>63</v>
      </c>
      <c r="C11" s="87">
        <f>C9*C6*C10*1000</f>
        <v>358.38000000000005</v>
      </c>
      <c r="D11" s="87">
        <f t="shared" ref="D11:L11" si="3">D9*D6*D10*1000</f>
        <v>469.26</v>
      </c>
      <c r="E11" s="87">
        <f t="shared" si="3"/>
        <v>1935.7800000000002</v>
      </c>
      <c r="F11" s="87">
        <f t="shared" si="3"/>
        <v>1834.14</v>
      </c>
      <c r="G11" s="87">
        <f t="shared" si="3"/>
        <v>2165.46</v>
      </c>
      <c r="H11" s="87">
        <f t="shared" si="3"/>
        <v>2830.08</v>
      </c>
      <c r="I11" s="87">
        <f t="shared" si="3"/>
        <v>6261.3305245883703</v>
      </c>
      <c r="J11" s="87">
        <f t="shared" si="3"/>
        <v>9059.1712843311034</v>
      </c>
      <c r="K11" s="87">
        <f t="shared" si="3"/>
        <v>13859.648243437878</v>
      </c>
      <c r="L11" s="87">
        <f t="shared" si="3"/>
        <v>19501.753148614618</v>
      </c>
    </row>
    <row r="12" spans="1:13" x14ac:dyDescent="0.25">
      <c r="B12" s="176" t="s">
        <v>92</v>
      </c>
      <c r="C12" s="176">
        <f>C11/1000</f>
        <v>0.35838000000000003</v>
      </c>
      <c r="D12" s="176">
        <f t="shared" ref="D12:L12" si="4">D11/1000</f>
        <v>0.46926000000000001</v>
      </c>
      <c r="E12" s="176">
        <f t="shared" si="4"/>
        <v>1.9357800000000003</v>
      </c>
      <c r="F12" s="176">
        <f t="shared" si="4"/>
        <v>1.8341400000000001</v>
      </c>
      <c r="G12" s="176">
        <f t="shared" si="4"/>
        <v>2.1654599999999999</v>
      </c>
      <c r="H12" s="176">
        <f t="shared" si="4"/>
        <v>2.8300799999999997</v>
      </c>
      <c r="I12" s="176">
        <f t="shared" si="4"/>
        <v>6.2613305245883701</v>
      </c>
      <c r="J12" s="176">
        <f t="shared" si="4"/>
        <v>9.0591712843311036</v>
      </c>
      <c r="K12" s="176">
        <f t="shared" si="4"/>
        <v>13.859648243437878</v>
      </c>
      <c r="L12" s="176">
        <f t="shared" si="4"/>
        <v>19.501753148614618</v>
      </c>
    </row>
    <row r="13" spans="1:13" ht="16.350000000000001" x14ac:dyDescent="0.25">
      <c r="A13" s="4" t="s">
        <v>197</v>
      </c>
      <c r="B13" s="191" t="s">
        <v>93</v>
      </c>
      <c r="C13" s="192">
        <f>C10*C9*C8</f>
        <v>9.9659999999999999E-2</v>
      </c>
      <c r="D13" s="192">
        <f t="shared" ref="D13:L13" si="5">D10*D9*D8</f>
        <v>0.24825729270760083</v>
      </c>
      <c r="E13" s="192">
        <f t="shared" si="5"/>
        <v>0.75803551114631018</v>
      </c>
      <c r="F13" s="192">
        <f>F10*F9*F8</f>
        <v>1.4739807096191604</v>
      </c>
      <c r="G13" s="192">
        <f t="shared" si="5"/>
        <v>1.5417126172118694</v>
      </c>
      <c r="H13" s="192">
        <f>H10*H9*H8</f>
        <v>1.7762625883629024</v>
      </c>
      <c r="I13" s="192">
        <f>I10*I9*I8</f>
        <v>3.4755923946827205</v>
      </c>
      <c r="J13" s="192">
        <f t="shared" si="5"/>
        <v>6.361297481775023</v>
      </c>
      <c r="K13" s="192">
        <f t="shared" si="5"/>
        <v>7.9248141420271079</v>
      </c>
      <c r="L13" s="192">
        <f t="shared" si="5"/>
        <v>8.423269448928183</v>
      </c>
    </row>
    <row r="14" spans="1:13" x14ac:dyDescent="0.25">
      <c r="B14" s="63" t="s">
        <v>33</v>
      </c>
      <c r="C14" s="69">
        <f>C7/C4</f>
        <v>1.0410397780203698E-3</v>
      </c>
      <c r="D14" s="69">
        <f t="shared" ref="D14:J14" si="6">D7/D4</f>
        <v>1.7521684944432027E-3</v>
      </c>
      <c r="E14" s="69">
        <f t="shared" si="6"/>
        <v>3.9124904905911851E-3</v>
      </c>
      <c r="F14" s="69">
        <f t="shared" si="6"/>
        <v>8.1277339773977685E-3</v>
      </c>
      <c r="G14" s="69">
        <f>G7/G4</f>
        <v>1.2572540107033977E-2</v>
      </c>
      <c r="H14" s="69">
        <f t="shared" si="6"/>
        <v>1.7571743663839789E-2</v>
      </c>
      <c r="I14" s="69">
        <f t="shared" si="6"/>
        <v>2.8012552183591562E-2</v>
      </c>
      <c r="J14" s="69">
        <f t="shared" si="6"/>
        <v>4.8173845036190974E-2</v>
      </c>
      <c r="K14" s="69">
        <f>K7/K4</f>
        <v>7.3275706606276483E-2</v>
      </c>
      <c r="L14" s="69">
        <f>L7/L4</f>
        <v>0.1017256778663061</v>
      </c>
    </row>
    <row r="15" spans="1:13" x14ac:dyDescent="0.25">
      <c r="B15" s="63" t="s">
        <v>32</v>
      </c>
      <c r="C15" s="237"/>
      <c r="D15" s="237"/>
      <c r="E15" s="237"/>
      <c r="F15" s="237"/>
      <c r="G15" s="237"/>
      <c r="H15" s="238"/>
      <c r="I15" s="69"/>
      <c r="J15" s="69"/>
      <c r="K15" s="69"/>
      <c r="L15" s="69">
        <f>POWER(L5/H5,1/4)-1</f>
        <v>0.58800000000000008</v>
      </c>
    </row>
    <row r="16" spans="1:13" x14ac:dyDescent="0.25">
      <c r="C16" s="16"/>
      <c r="D16" s="16"/>
      <c r="E16" s="16"/>
      <c r="F16" s="16"/>
      <c r="G16" s="16"/>
      <c r="H16" s="16"/>
      <c r="I16" s="16"/>
      <c r="J16" s="16"/>
      <c r="K16" s="16"/>
      <c r="L16" s="16"/>
    </row>
    <row r="17" spans="2:12" x14ac:dyDescent="0.25">
      <c r="C17" s="16"/>
      <c r="D17" s="16"/>
      <c r="E17" s="16"/>
      <c r="F17" s="16"/>
      <c r="G17" s="16"/>
      <c r="H17" s="16"/>
      <c r="I17" s="16"/>
      <c r="J17" s="16"/>
      <c r="K17" s="16"/>
      <c r="L17" s="16"/>
    </row>
    <row r="18" spans="2:12" x14ac:dyDescent="0.25">
      <c r="C18" s="104"/>
      <c r="G18" s="229" t="s">
        <v>193</v>
      </c>
      <c r="H18" s="234">
        <f>'用电量-各行业汇总'!I9</f>
        <v>-2E-3</v>
      </c>
    </row>
    <row r="19" spans="2:12" ht="17.55" x14ac:dyDescent="0.25">
      <c r="B19" s="5" t="s">
        <v>195</v>
      </c>
      <c r="C19" s="179"/>
      <c r="D19" s="179"/>
      <c r="E19" s="179"/>
      <c r="F19" s="179"/>
      <c r="G19" s="179"/>
      <c r="H19" s="179"/>
      <c r="I19" s="179"/>
      <c r="J19" s="179"/>
      <c r="K19" s="179"/>
      <c r="L19" s="179"/>
    </row>
    <row r="20" spans="2:12" ht="16.350000000000001" x14ac:dyDescent="0.25">
      <c r="B20" s="8"/>
      <c r="C20" s="7">
        <v>2016</v>
      </c>
      <c r="D20" s="7">
        <v>2017</v>
      </c>
      <c r="E20" s="7">
        <v>2018</v>
      </c>
      <c r="F20" s="7">
        <v>2019</v>
      </c>
      <c r="G20" s="7">
        <v>2020</v>
      </c>
      <c r="H20" s="7">
        <v>2021</v>
      </c>
      <c r="I20" s="178" t="s">
        <v>58</v>
      </c>
      <c r="J20" s="178" t="s">
        <v>59</v>
      </c>
      <c r="K20" s="178" t="s">
        <v>60</v>
      </c>
      <c r="L20" s="180" t="s">
        <v>61</v>
      </c>
    </row>
    <row r="21" spans="2:12" x14ac:dyDescent="0.25">
      <c r="B21" s="63" t="s">
        <v>72</v>
      </c>
      <c r="C21" s="235">
        <f t="shared" ref="C21:E21" si="7">D21*(1-$H18)</f>
        <v>33140.393012341716</v>
      </c>
      <c r="D21" s="235">
        <f t="shared" si="7"/>
        <v>33074.244523295129</v>
      </c>
      <c r="E21" s="235">
        <f t="shared" si="7"/>
        <v>33008.22806716081</v>
      </c>
      <c r="F21" s="235">
        <f>G21*(1-$H18)</f>
        <v>32942.343380400009</v>
      </c>
      <c r="G21" s="236">
        <f>'用电量-各行业汇总'!D9</f>
        <v>32876.590200000006</v>
      </c>
      <c r="H21" s="235">
        <f>G21*(1+$H18)</f>
        <v>32810.837019600003</v>
      </c>
      <c r="I21" s="235">
        <f t="shared" ref="I21:K21" si="8">H21*(1+$H18)</f>
        <v>32745.215345560802</v>
      </c>
      <c r="J21" s="235">
        <f t="shared" si="8"/>
        <v>32679.724914869679</v>
      </c>
      <c r="K21" s="235">
        <f t="shared" si="8"/>
        <v>32614.36546503994</v>
      </c>
      <c r="L21" s="236">
        <f>'用电量-各行业汇总'!G9*10</f>
        <v>32549.136734109867</v>
      </c>
    </row>
    <row r="22" spans="2:12" x14ac:dyDescent="0.25">
      <c r="B22" s="63" t="s">
        <v>129</v>
      </c>
      <c r="C22" s="190">
        <v>360</v>
      </c>
      <c r="D22" s="190">
        <v>360</v>
      </c>
      <c r="E22" s="190">
        <v>360</v>
      </c>
      <c r="F22" s="190">
        <v>360</v>
      </c>
      <c r="G22" s="190">
        <v>360</v>
      </c>
      <c r="H22" s="190">
        <v>360</v>
      </c>
      <c r="I22" s="190">
        <v>360</v>
      </c>
      <c r="J22" s="190">
        <v>360</v>
      </c>
      <c r="K22" s="190">
        <v>360</v>
      </c>
      <c r="L22" s="190">
        <v>360</v>
      </c>
    </row>
    <row r="23" spans="2:12" x14ac:dyDescent="0.25">
      <c r="B23" s="63" t="s">
        <v>130</v>
      </c>
      <c r="C23" s="190">
        <v>24</v>
      </c>
      <c r="D23" s="190">
        <v>24</v>
      </c>
      <c r="E23" s="190">
        <v>24</v>
      </c>
      <c r="F23" s="190">
        <v>24</v>
      </c>
      <c r="G23" s="190">
        <v>24</v>
      </c>
      <c r="H23" s="190">
        <v>24</v>
      </c>
      <c r="I23" s="190">
        <v>24</v>
      </c>
      <c r="J23" s="190">
        <v>24</v>
      </c>
      <c r="K23" s="190">
        <v>24</v>
      </c>
      <c r="L23" s="190">
        <v>24</v>
      </c>
    </row>
    <row r="24" spans="2:12" x14ac:dyDescent="0.25">
      <c r="B24" s="63" t="s">
        <v>132</v>
      </c>
      <c r="C24" s="87">
        <f>C21/C22/C23</f>
        <v>3.8356936356876985</v>
      </c>
      <c r="D24" s="87">
        <f t="shared" ref="D24:G24" si="9">D21/D22/D23</f>
        <v>3.8280375605665657</v>
      </c>
      <c r="E24" s="87">
        <f t="shared" si="9"/>
        <v>3.8203967670325008</v>
      </c>
      <c r="F24" s="87">
        <f t="shared" si="9"/>
        <v>3.8127712245833343</v>
      </c>
      <c r="G24" s="87">
        <f t="shared" si="9"/>
        <v>3.8051609027777786</v>
      </c>
      <c r="H24" s="87">
        <f>H21/H22/H23</f>
        <v>3.7975505809722225</v>
      </c>
      <c r="I24" s="87">
        <f>I21/I22/I23</f>
        <v>3.7899554798102781</v>
      </c>
      <c r="J24" s="87">
        <f t="shared" ref="J24:L24" si="10">J21/J22/J23</f>
        <v>3.7823755688506573</v>
      </c>
      <c r="K24" s="87">
        <f t="shared" si="10"/>
        <v>3.774810817712956</v>
      </c>
      <c r="L24" s="87">
        <f t="shared" si="10"/>
        <v>3.7672611960775306</v>
      </c>
    </row>
    <row r="25" spans="2:12" x14ac:dyDescent="0.25">
      <c r="B25" s="181" t="s">
        <v>133</v>
      </c>
      <c r="C25" s="185">
        <v>0.7</v>
      </c>
      <c r="D25" s="185">
        <v>0.7</v>
      </c>
      <c r="E25" s="185">
        <v>0.7</v>
      </c>
      <c r="F25" s="185">
        <v>0.7</v>
      </c>
      <c r="G25" s="185">
        <v>0.7</v>
      </c>
      <c r="H25" s="185">
        <v>0.7</v>
      </c>
      <c r="I25" s="185">
        <v>0.7</v>
      </c>
      <c r="J25" s="185">
        <v>0.7</v>
      </c>
      <c r="K25" s="185">
        <v>0.7</v>
      </c>
      <c r="L25" s="185">
        <v>0.7</v>
      </c>
    </row>
    <row r="26" spans="2:12" x14ac:dyDescent="0.25">
      <c r="B26" s="63" t="s">
        <v>134</v>
      </c>
      <c r="C26" s="87">
        <f>C24/C25</f>
        <v>5.4795623366967128</v>
      </c>
      <c r="D26" s="87">
        <f t="shared" ref="D26:G26" si="11">D24/D25</f>
        <v>5.4686250865236659</v>
      </c>
      <c r="E26" s="87">
        <f t="shared" si="11"/>
        <v>5.4577096671892873</v>
      </c>
      <c r="F26" s="87">
        <f t="shared" si="11"/>
        <v>5.4468160351190491</v>
      </c>
      <c r="G26" s="87">
        <f t="shared" si="11"/>
        <v>5.4359441468253982</v>
      </c>
      <c r="H26" s="87">
        <f>H24/H25</f>
        <v>5.4250722585317472</v>
      </c>
      <c r="I26" s="87">
        <f>I24/I25</f>
        <v>5.4142221140146836</v>
      </c>
      <c r="J26" s="87">
        <f t="shared" ref="J26:L26" si="12">J24/J25</f>
        <v>5.403393669786654</v>
      </c>
      <c r="K26" s="87">
        <f t="shared" si="12"/>
        <v>5.3925868824470804</v>
      </c>
      <c r="L26" s="87">
        <f t="shared" si="12"/>
        <v>5.381801708682187</v>
      </c>
    </row>
    <row r="27" spans="2:12" x14ac:dyDescent="0.25">
      <c r="B27" s="63" t="s">
        <v>20</v>
      </c>
      <c r="C27" s="87">
        <f>C26-C24</f>
        <v>1.6438687010090143</v>
      </c>
      <c r="D27" s="87">
        <f t="shared" ref="D27:G27" si="13">D26-D24</f>
        <v>1.6405875259571001</v>
      </c>
      <c r="E27" s="87">
        <f t="shared" si="13"/>
        <v>1.6373129001567865</v>
      </c>
      <c r="F27" s="87">
        <f t="shared" si="13"/>
        <v>1.6340448105357148</v>
      </c>
      <c r="G27" s="87">
        <f t="shared" si="13"/>
        <v>1.6307832440476195</v>
      </c>
      <c r="H27" s="87">
        <f>H26-H24</f>
        <v>1.6275216775595247</v>
      </c>
      <c r="I27" s="87">
        <f>I26-I24</f>
        <v>1.6242666342044054</v>
      </c>
      <c r="J27" s="87">
        <f t="shared" ref="J27:L27" si="14">J26-J24</f>
        <v>1.6210181009359967</v>
      </c>
      <c r="K27" s="87">
        <f t="shared" si="14"/>
        <v>1.6177760647341244</v>
      </c>
      <c r="L27" s="87">
        <f t="shared" si="14"/>
        <v>1.6145405126046564</v>
      </c>
    </row>
    <row r="28" spans="2:12" x14ac:dyDescent="0.25">
      <c r="B28" s="182" t="s">
        <v>21</v>
      </c>
      <c r="C28" s="243">
        <v>0.3</v>
      </c>
      <c r="D28" s="243">
        <v>0.3</v>
      </c>
      <c r="E28" s="243">
        <v>0.3</v>
      </c>
      <c r="F28" s="243">
        <v>0.3</v>
      </c>
      <c r="G28" s="243">
        <v>0.3</v>
      </c>
      <c r="H28" s="243">
        <v>0.3</v>
      </c>
      <c r="I28" s="243">
        <v>0.3</v>
      </c>
      <c r="J28" s="243">
        <v>0.3</v>
      </c>
      <c r="K28" s="243">
        <v>0.3</v>
      </c>
      <c r="L28" s="243">
        <v>0.3</v>
      </c>
    </row>
    <row r="29" spans="2:12" x14ac:dyDescent="0.25">
      <c r="B29" s="63" t="s">
        <v>66</v>
      </c>
      <c r="C29" s="87">
        <f>C28*C27*100000000/1000000</f>
        <v>49.316061030270426</v>
      </c>
      <c r="D29" s="87">
        <f>D28*D27*100000000/1000000</f>
        <v>49.217625778713</v>
      </c>
      <c r="E29" s="87">
        <f t="shared" ref="E29:G29" si="15">E28*E27*100000000/1000000</f>
        <v>49.119387004703597</v>
      </c>
      <c r="F29" s="87">
        <f t="shared" si="15"/>
        <v>49.021344316071442</v>
      </c>
      <c r="G29" s="87">
        <f t="shared" si="15"/>
        <v>48.923497321428584</v>
      </c>
      <c r="H29" s="87">
        <f>H28*H27*100000000/1000000</f>
        <v>48.825650326785741</v>
      </c>
      <c r="I29" s="87">
        <f>I28*I27*100000000/1000000</f>
        <v>48.727999026132167</v>
      </c>
      <c r="J29" s="87">
        <f>J28*J27*100000000/1000000</f>
        <v>48.630543028079899</v>
      </c>
      <c r="K29" s="87">
        <f>K28*K27*100000000/1000000</f>
        <v>48.533281942023734</v>
      </c>
      <c r="L29" s="87">
        <f>L28*L27*100000000/1000000</f>
        <v>48.436215378139693</v>
      </c>
    </row>
    <row r="30" spans="2:12" x14ac:dyDescent="0.25">
      <c r="B30" s="63" t="s">
        <v>33</v>
      </c>
      <c r="C30" s="97">
        <v>1E-3</v>
      </c>
      <c r="D30" s="97">
        <v>1.5E-3</v>
      </c>
      <c r="E30" s="97">
        <v>3.0000000000000001E-3</v>
      </c>
      <c r="F30" s="97">
        <v>5.8999999999999999E-3</v>
      </c>
      <c r="G30" s="97">
        <v>8.8999999999999999E-3</v>
      </c>
      <c r="H30" s="97">
        <v>1.24E-2</v>
      </c>
      <c r="I30" s="97">
        <v>1.9300000000000001E-2</v>
      </c>
      <c r="J30" s="97">
        <v>3.3000000000000002E-2</v>
      </c>
      <c r="K30" s="97">
        <v>5.0500000000000003E-2</v>
      </c>
      <c r="L30" s="97">
        <v>7.0999999999999994E-2</v>
      </c>
    </row>
    <row r="31" spans="2:12" ht="16.350000000000001" x14ac:dyDescent="0.25">
      <c r="B31" s="191" t="s">
        <v>57</v>
      </c>
      <c r="C31" s="231">
        <v>0.01</v>
      </c>
      <c r="D31" s="193">
        <f>(D30-C30)*D29</f>
        <v>2.4608812889356499E-2</v>
      </c>
      <c r="E31" s="192">
        <f>(E30-D30)*E29</f>
        <v>7.3679080507055392E-2</v>
      </c>
      <c r="F31" s="192">
        <f>(F30-E30)*F29</f>
        <v>0.14216189851660718</v>
      </c>
      <c r="G31" s="192">
        <f>(G30-F30)*G29</f>
        <v>0.14677049196428577</v>
      </c>
      <c r="H31" s="192">
        <f>(H30-G30)*H29</f>
        <v>0.17088977614375009</v>
      </c>
      <c r="I31" s="192">
        <f t="shared" ref="I31:J31" si="16">(I30-H30)*I29</f>
        <v>0.33622319328031203</v>
      </c>
      <c r="J31" s="192">
        <f t="shared" si="16"/>
        <v>0.66623843948469463</v>
      </c>
      <c r="K31" s="192">
        <f>(K30-J30)*K29</f>
        <v>0.84933243398541547</v>
      </c>
      <c r="L31" s="192">
        <f>(L30-K30)*L29</f>
        <v>0.99294241525186322</v>
      </c>
    </row>
    <row r="32" spans="2:12" x14ac:dyDescent="0.25">
      <c r="B32" s="189" t="s">
        <v>79</v>
      </c>
      <c r="C32" s="183">
        <f>C31/C$8</f>
        <v>0.66225165562913912</v>
      </c>
      <c r="D32" s="183">
        <f>D31/D$8</f>
        <v>0.65423320821052433</v>
      </c>
      <c r="E32" s="183">
        <f t="shared" ref="E32:L32" si="17">E31/E$8</f>
        <v>0.64150283752697068</v>
      </c>
      <c r="F32" s="183">
        <f t="shared" si="17"/>
        <v>0.63655414489924533</v>
      </c>
      <c r="G32" s="183">
        <f t="shared" si="17"/>
        <v>0.62831764892481567</v>
      </c>
      <c r="H32" s="183">
        <f>H31/H$8</f>
        <v>0.63496947463621223</v>
      </c>
      <c r="I32" s="183">
        <f t="shared" si="17"/>
        <v>0.5746260036535068</v>
      </c>
      <c r="J32" s="183">
        <f t="shared" si="17"/>
        <v>0.56681556629309793</v>
      </c>
      <c r="K32" s="183">
        <f t="shared" si="17"/>
        <v>0.558804185364428</v>
      </c>
      <c r="L32" s="183">
        <f t="shared" si="17"/>
        <v>0.54460966567409641</v>
      </c>
    </row>
    <row r="33" spans="2:12" ht="16.350000000000001" x14ac:dyDescent="0.25">
      <c r="B33" s="191" t="s">
        <v>56</v>
      </c>
      <c r="C33" s="192">
        <f t="shared" ref="C33:K33" si="18">C30*C29</f>
        <v>4.9316061030270426E-2</v>
      </c>
      <c r="D33" s="192">
        <f t="shared" si="18"/>
        <v>7.3826438668069497E-2</v>
      </c>
      <c r="E33" s="192">
        <f t="shared" si="18"/>
        <v>0.14735816101411078</v>
      </c>
      <c r="F33" s="192">
        <f t="shared" si="18"/>
        <v>0.28922593146482151</v>
      </c>
      <c r="G33" s="192">
        <f t="shared" si="18"/>
        <v>0.43541912616071438</v>
      </c>
      <c r="H33" s="192">
        <f t="shared" si="18"/>
        <v>0.60543806405214318</v>
      </c>
      <c r="I33" s="192">
        <f t="shared" si="18"/>
        <v>0.94045038120435087</v>
      </c>
      <c r="J33" s="192">
        <f t="shared" si="18"/>
        <v>1.6048079199266367</v>
      </c>
      <c r="K33" s="192">
        <f t="shared" si="18"/>
        <v>2.4509307380721985</v>
      </c>
      <c r="L33" s="192">
        <f>L30*L29</f>
        <v>3.4389712918479178</v>
      </c>
    </row>
    <row r="34" spans="2:12" x14ac:dyDescent="0.25">
      <c r="B34" s="188" t="s">
        <v>68</v>
      </c>
      <c r="C34" s="199">
        <f>C33/C$7</f>
        <v>0.89640413623360204</v>
      </c>
      <c r="D34" s="199">
        <f t="shared" ref="D34:L34" si="19">D33/D$7</f>
        <v>0.79168590162829378</v>
      </c>
      <c r="E34" s="199">
        <f t="shared" si="19"/>
        <v>0.70047936771264951</v>
      </c>
      <c r="F34" s="199">
        <f t="shared" si="19"/>
        <v>0.6572806928252124</v>
      </c>
      <c r="G34" s="199">
        <f t="shared" si="19"/>
        <v>0.62878859318589753</v>
      </c>
      <c r="H34" s="199">
        <f t="shared" si="19"/>
        <v>0.6085512243378538</v>
      </c>
      <c r="I34" s="199">
        <f t="shared" si="19"/>
        <v>0.57932286595928439</v>
      </c>
      <c r="J34" s="199">
        <f t="shared" si="19"/>
        <v>0.55815886252754954</v>
      </c>
      <c r="K34" s="199">
        <f t="shared" si="19"/>
        <v>0.5399080124383635</v>
      </c>
      <c r="L34" s="199">
        <f t="shared" si="19"/>
        <v>0.52057055117884843</v>
      </c>
    </row>
    <row r="36" spans="2:12" x14ac:dyDescent="0.25">
      <c r="C36" s="104"/>
      <c r="G36" s="229" t="s">
        <v>193</v>
      </c>
      <c r="H36" s="228">
        <f>POWER(L39/G39,1/5)-1</f>
        <v>9.5014176061056776E-2</v>
      </c>
    </row>
    <row r="37" spans="2:12" ht="17.55" x14ac:dyDescent="0.25">
      <c r="B37" s="5" t="s">
        <v>196</v>
      </c>
      <c r="C37" s="179"/>
      <c r="D37" s="179"/>
      <c r="E37" s="179"/>
      <c r="F37" s="179"/>
      <c r="G37" s="179"/>
      <c r="H37" s="179"/>
      <c r="I37" s="179"/>
      <c r="J37" s="179"/>
      <c r="K37" s="179"/>
      <c r="L37" s="179"/>
    </row>
    <row r="38" spans="2:12" ht="16.350000000000001" x14ac:dyDescent="0.25">
      <c r="B38" s="8"/>
      <c r="C38" s="7">
        <v>2016</v>
      </c>
      <c r="D38" s="7">
        <v>2017</v>
      </c>
      <c r="E38" s="7">
        <v>2018</v>
      </c>
      <c r="F38" s="7">
        <v>2019</v>
      </c>
      <c r="G38" s="7">
        <v>2020</v>
      </c>
      <c r="H38" s="7">
        <v>2021</v>
      </c>
      <c r="I38" s="178" t="s">
        <v>58</v>
      </c>
      <c r="J38" s="178" t="s">
        <v>59</v>
      </c>
      <c r="K38" s="178" t="s">
        <v>60</v>
      </c>
      <c r="L38" s="180" t="s">
        <v>61</v>
      </c>
    </row>
    <row r="39" spans="2:12" x14ac:dyDescent="0.25">
      <c r="B39" s="63" t="s">
        <v>72</v>
      </c>
      <c r="C39" s="200">
        <f t="shared" ref="C39:E39" si="20">D39*(1-$H36)</f>
        <v>6345.677672509295</v>
      </c>
      <c r="D39" s="200">
        <f t="shared" si="20"/>
        <v>7011.9083687850334</v>
      </c>
      <c r="E39" s="200">
        <f t="shared" si="20"/>
        <v>7748.0864156145135</v>
      </c>
      <c r="F39" s="200">
        <f>G39*(1-$H36)</f>
        <v>8561.5555632584746</v>
      </c>
      <c r="G39" s="176">
        <f>'用电量-各行业汇总'!D12+'用电量-各行业汇总'!D10-'01 Bottom-Up旧版本'!G75</f>
        <v>9460.4305800000002</v>
      </c>
      <c r="H39" s="87">
        <f>G39*(1+$H36)</f>
        <v>10359.305596741526</v>
      </c>
      <c r="I39" s="87">
        <f t="shared" ref="I39:K39" si="21">H39*(1+$H36)</f>
        <v>11343.586482580617</v>
      </c>
      <c r="J39" s="87">
        <f t="shared" si="21"/>
        <v>12421.388005800354</v>
      </c>
      <c r="K39" s="87">
        <f t="shared" si="21"/>
        <v>13601.595952706168</v>
      </c>
      <c r="L39" s="176">
        <f>'用电量-各行业汇总'!G12*10+'用电量-各行业汇总'!G10*10-'01 Bottom-Up旧版本'!L75</f>
        <v>14893.940385267946</v>
      </c>
    </row>
    <row r="40" spans="2:12" x14ac:dyDescent="0.25">
      <c r="B40" s="63" t="s">
        <v>129</v>
      </c>
      <c r="C40" s="190">
        <v>300</v>
      </c>
      <c r="D40" s="190">
        <v>300</v>
      </c>
      <c r="E40" s="190">
        <v>300</v>
      </c>
      <c r="F40" s="190">
        <v>300</v>
      </c>
      <c r="G40" s="190">
        <v>300</v>
      </c>
      <c r="H40" s="190">
        <v>300</v>
      </c>
      <c r="I40" s="190">
        <v>300</v>
      </c>
      <c r="J40" s="190">
        <v>300</v>
      </c>
      <c r="K40" s="190">
        <v>300</v>
      </c>
      <c r="L40" s="190">
        <v>300</v>
      </c>
    </row>
    <row r="41" spans="2:12" x14ac:dyDescent="0.25">
      <c r="B41" s="63" t="s">
        <v>130</v>
      </c>
      <c r="C41" s="190">
        <v>10</v>
      </c>
      <c r="D41" s="190">
        <v>10</v>
      </c>
      <c r="E41" s="190">
        <v>10</v>
      </c>
      <c r="F41" s="190">
        <v>10</v>
      </c>
      <c r="G41" s="190">
        <v>10</v>
      </c>
      <c r="H41" s="190">
        <v>10</v>
      </c>
      <c r="I41" s="190">
        <v>10</v>
      </c>
      <c r="J41" s="190">
        <v>10</v>
      </c>
      <c r="K41" s="190">
        <v>10</v>
      </c>
      <c r="L41" s="190">
        <v>10</v>
      </c>
    </row>
    <row r="42" spans="2:12" x14ac:dyDescent="0.25">
      <c r="B42" s="63" t="s">
        <v>132</v>
      </c>
      <c r="C42" s="87">
        <f>C39/C40/C41</f>
        <v>2.1152258908364319</v>
      </c>
      <c r="D42" s="87">
        <f t="shared" ref="D42:G42" si="22">D39/D40/D41</f>
        <v>2.3373027895950114</v>
      </c>
      <c r="E42" s="87">
        <f t="shared" si="22"/>
        <v>2.5826954718715043</v>
      </c>
      <c r="F42" s="87">
        <f t="shared" si="22"/>
        <v>2.8538518544194913</v>
      </c>
      <c r="G42" s="87">
        <f t="shared" si="22"/>
        <v>3.15347686</v>
      </c>
      <c r="H42" s="87">
        <f>H39/H40/H41</f>
        <v>3.4531018655805084</v>
      </c>
      <c r="I42" s="87">
        <f>I39/I40/I41</f>
        <v>3.7811954941935388</v>
      </c>
      <c r="J42" s="87">
        <f t="shared" ref="J42:L42" si="23">J39/J40/J41</f>
        <v>4.1404626686001178</v>
      </c>
      <c r="K42" s="87">
        <f t="shared" si="23"/>
        <v>4.5338653175687229</v>
      </c>
      <c r="L42" s="87">
        <f t="shared" si="23"/>
        <v>4.9646467950893154</v>
      </c>
    </row>
    <row r="43" spans="2:12" x14ac:dyDescent="0.25">
      <c r="B43" s="181" t="s">
        <v>133</v>
      </c>
      <c r="C43" s="185">
        <v>0.7</v>
      </c>
      <c r="D43" s="185">
        <v>0.7</v>
      </c>
      <c r="E43" s="185">
        <v>0.7</v>
      </c>
      <c r="F43" s="185">
        <v>0.7</v>
      </c>
      <c r="G43" s="185">
        <v>0.7</v>
      </c>
      <c r="H43" s="185">
        <v>0.7</v>
      </c>
      <c r="I43" s="185">
        <v>0.7</v>
      </c>
      <c r="J43" s="185">
        <v>0.7</v>
      </c>
      <c r="K43" s="185">
        <v>0.7</v>
      </c>
      <c r="L43" s="185">
        <v>0.7</v>
      </c>
    </row>
    <row r="44" spans="2:12" x14ac:dyDescent="0.25">
      <c r="B44" s="63" t="s">
        <v>134</v>
      </c>
      <c r="C44" s="87">
        <f>C42/C43</f>
        <v>3.0217512726234741</v>
      </c>
      <c r="D44" s="87">
        <f t="shared" ref="D44:G44" si="24">D42/D43</f>
        <v>3.3390039851357307</v>
      </c>
      <c r="E44" s="87">
        <f t="shared" si="24"/>
        <v>3.6895649598164351</v>
      </c>
      <c r="F44" s="87">
        <f t="shared" si="24"/>
        <v>4.0769312205992732</v>
      </c>
      <c r="G44" s="87">
        <f t="shared" si="24"/>
        <v>4.5049669428571431</v>
      </c>
      <c r="H44" s="87">
        <f>H42/H43</f>
        <v>4.9330026651150121</v>
      </c>
      <c r="I44" s="87">
        <f>I42/I43</f>
        <v>5.4017078488479129</v>
      </c>
      <c r="J44" s="87">
        <f t="shared" ref="J44:L44" si="25">J42/J43</f>
        <v>5.9149466694287405</v>
      </c>
      <c r="K44" s="87">
        <f t="shared" si="25"/>
        <v>6.4769504536696045</v>
      </c>
      <c r="L44" s="87">
        <f t="shared" si="25"/>
        <v>7.0923525644133081</v>
      </c>
    </row>
    <row r="45" spans="2:12" x14ac:dyDescent="0.25">
      <c r="B45" s="63" t="s">
        <v>20</v>
      </c>
      <c r="C45" s="87">
        <f t="shared" ref="C45:G45" si="26">C44-C42</f>
        <v>0.90652538178704223</v>
      </c>
      <c r="D45" s="87">
        <f t="shared" si="26"/>
        <v>1.0017011955407193</v>
      </c>
      <c r="E45" s="87">
        <f t="shared" si="26"/>
        <v>1.1068694879449308</v>
      </c>
      <c r="F45" s="87">
        <f t="shared" si="26"/>
        <v>1.2230793661797819</v>
      </c>
      <c r="G45" s="87">
        <f t="shared" si="26"/>
        <v>1.351490082857143</v>
      </c>
      <c r="H45" s="87">
        <f>H44-H42</f>
        <v>1.4799007995345037</v>
      </c>
      <c r="I45" s="87">
        <f>I44-I42</f>
        <v>1.620512354654374</v>
      </c>
      <c r="J45" s="87">
        <f t="shared" ref="J45:L45" si="27">J44-J42</f>
        <v>1.7744840008286227</v>
      </c>
      <c r="K45" s="87">
        <f t="shared" si="27"/>
        <v>1.9430851361008816</v>
      </c>
      <c r="L45" s="87">
        <f t="shared" si="27"/>
        <v>2.1277057693239927</v>
      </c>
    </row>
    <row r="46" spans="2:12" x14ac:dyDescent="0.25">
      <c r="B46" s="182" t="s">
        <v>21</v>
      </c>
      <c r="C46" s="243">
        <v>0.3</v>
      </c>
      <c r="D46" s="243">
        <v>0.3</v>
      </c>
      <c r="E46" s="243">
        <v>0.3</v>
      </c>
      <c r="F46" s="243">
        <v>0.3</v>
      </c>
      <c r="G46" s="243">
        <v>0.3</v>
      </c>
      <c r="H46" s="243">
        <v>0.3</v>
      </c>
      <c r="I46" s="243">
        <v>0.3</v>
      </c>
      <c r="J46" s="243">
        <v>0.3</v>
      </c>
      <c r="K46" s="243">
        <v>0.3</v>
      </c>
      <c r="L46" s="243">
        <v>0.3</v>
      </c>
    </row>
    <row r="47" spans="2:12" x14ac:dyDescent="0.25">
      <c r="B47" s="63" t="s">
        <v>66</v>
      </c>
      <c r="C47" s="87">
        <f>C46*C45*100000000/1000000</f>
        <v>27.195761453611265</v>
      </c>
      <c r="D47" s="87">
        <f>D46*D45*100000000/1000000</f>
        <v>30.051035866221582</v>
      </c>
      <c r="E47" s="87">
        <f t="shared" ref="E47:G47" si="28">E46*E45*100000000/1000000</f>
        <v>33.206084638347917</v>
      </c>
      <c r="F47" s="87">
        <f t="shared" si="28"/>
        <v>36.692380985393449</v>
      </c>
      <c r="G47" s="87">
        <f t="shared" si="28"/>
        <v>40.544702485714289</v>
      </c>
      <c r="H47" s="87">
        <f>H46*H45*100000000/1000000</f>
        <v>44.397023986035109</v>
      </c>
      <c r="I47" s="87">
        <f>I46*I45*100000000/1000000</f>
        <v>48.615370639631216</v>
      </c>
      <c r="J47" s="87">
        <f>J46*J45*100000000/1000000</f>
        <v>53.234520024858675</v>
      </c>
      <c r="K47" s="87">
        <f>K46*K45*100000000/1000000</f>
        <v>58.292554083026445</v>
      </c>
      <c r="L47" s="87">
        <f>L46*L45*100000000/1000000</f>
        <v>63.831173079719782</v>
      </c>
    </row>
    <row r="48" spans="2:12" x14ac:dyDescent="0.25">
      <c r="B48" s="63" t="s">
        <v>33</v>
      </c>
      <c r="C48" s="97">
        <v>2.0000000000000001E-4</v>
      </c>
      <c r="D48" s="97">
        <v>6.2E-4</v>
      </c>
      <c r="E48" s="97">
        <v>1.8E-3</v>
      </c>
      <c r="F48" s="97">
        <v>3.8999999999999998E-3</v>
      </c>
      <c r="G48" s="97">
        <v>5.8999999999999999E-3</v>
      </c>
      <c r="H48" s="97">
        <v>7.9000000000000008E-3</v>
      </c>
      <c r="I48" s="97">
        <v>1.2500000000000001E-2</v>
      </c>
      <c r="J48" s="97">
        <v>2.1000000000000001E-2</v>
      </c>
      <c r="K48" s="97">
        <v>3.1E-2</v>
      </c>
      <c r="L48" s="97">
        <v>4.2000000000000003E-2</v>
      </c>
    </row>
    <row r="49" spans="2:13" ht="16.350000000000001" x14ac:dyDescent="0.25">
      <c r="B49" s="191" t="s">
        <v>57</v>
      </c>
      <c r="C49" s="245">
        <v>5.0000000000000001E-3</v>
      </c>
      <c r="D49" s="193">
        <f>(D48-C48)*D47</f>
        <v>1.2621435063813065E-2</v>
      </c>
      <c r="E49" s="193">
        <f>(E48-D48)*E47</f>
        <v>3.9183179873250547E-2</v>
      </c>
      <c r="F49" s="192">
        <f>(F48-E48)*F47</f>
        <v>7.7054000069326237E-2</v>
      </c>
      <c r="G49" s="192">
        <f t="shared" ref="G49" si="29">(G48-F48)*G47</f>
        <v>8.108940497142858E-2</v>
      </c>
      <c r="H49" s="192">
        <f>(H48-G48)*H47</f>
        <v>8.8794047972070259E-2</v>
      </c>
      <c r="I49" s="192">
        <f>(I48-H48)*I47</f>
        <v>0.22363070494230358</v>
      </c>
      <c r="J49" s="192">
        <f t="shared" ref="J49" si="30">(J48-I48)*J47</f>
        <v>0.45249342021129879</v>
      </c>
      <c r="K49" s="192">
        <f>(K48-J48)*K47</f>
        <v>0.58292554083026438</v>
      </c>
      <c r="L49" s="192">
        <f>(L48-K48)*L47</f>
        <v>0.7021429038769178</v>
      </c>
    </row>
    <row r="50" spans="2:13" x14ac:dyDescent="0.25">
      <c r="B50" s="189" t="s">
        <v>79</v>
      </c>
      <c r="C50" s="183">
        <f>C49/C$8</f>
        <v>0.33112582781456956</v>
      </c>
      <c r="D50" s="183">
        <f>D49/D$8</f>
        <v>0.33554491194455782</v>
      </c>
      <c r="E50" s="183">
        <f t="shared" ref="E50" si="31">E49/E$8</f>
        <v>0.34115682360630056</v>
      </c>
      <c r="F50" s="183">
        <f t="shared" ref="F50" si="32">F49/F$8</f>
        <v>0.34502242610010236</v>
      </c>
      <c r="G50" s="183">
        <f t="shared" ref="G50" si="33">G49/G$8</f>
        <v>0.34713997072898078</v>
      </c>
      <c r="H50" s="183">
        <f t="shared" ref="H50" si="34">H49/H$8</f>
        <v>0.32992909970354656</v>
      </c>
      <c r="I50" s="183">
        <f t="shared" ref="I50" si="35">I49/I$8</f>
        <v>0.38219855394710261</v>
      </c>
      <c r="J50" s="183">
        <f t="shared" ref="J50" si="36">J49/J$8</f>
        <v>0.38496775181471665</v>
      </c>
      <c r="K50" s="183">
        <f t="shared" ref="K50" si="37">K49/K$8</f>
        <v>0.38352618943711275</v>
      </c>
      <c r="L50" s="183">
        <f t="shared" ref="L50" si="38">L49/L$8</f>
        <v>0.3851117710978757</v>
      </c>
    </row>
    <row r="51" spans="2:13" ht="16.350000000000001" x14ac:dyDescent="0.25">
      <c r="B51" s="191" t="s">
        <v>56</v>
      </c>
      <c r="C51" s="192">
        <f t="shared" ref="C51:K51" si="39">C48*C47</f>
        <v>5.4391522907222536E-3</v>
      </c>
      <c r="D51" s="192">
        <f t="shared" si="39"/>
        <v>1.8631642237057381E-2</v>
      </c>
      <c r="E51" s="192">
        <f t="shared" si="39"/>
        <v>5.9770952349026248E-2</v>
      </c>
      <c r="F51" s="192">
        <f t="shared" si="39"/>
        <v>0.14310028584303444</v>
      </c>
      <c r="G51" s="192">
        <f t="shared" si="39"/>
        <v>0.2392137446657143</v>
      </c>
      <c r="H51" s="192">
        <f t="shared" si="39"/>
        <v>0.35073648948967739</v>
      </c>
      <c r="I51" s="192">
        <f t="shared" si="39"/>
        <v>0.60769213299539027</v>
      </c>
      <c r="J51" s="192">
        <f t="shared" si="39"/>
        <v>1.1179249205220323</v>
      </c>
      <c r="K51" s="192">
        <f t="shared" si="39"/>
        <v>1.8070691765738198</v>
      </c>
      <c r="L51" s="192">
        <f>L48*L47</f>
        <v>2.680909269348231</v>
      </c>
    </row>
    <row r="52" spans="2:13" x14ac:dyDescent="0.25">
      <c r="B52" s="188" t="s">
        <v>68</v>
      </c>
      <c r="C52" s="183">
        <f>C51/C$7</f>
        <v>9.8865937569814946E-2</v>
      </c>
      <c r="D52" s="183">
        <f t="shared" ref="D52" si="40">D51/D$7</f>
        <v>0.19979845634407173</v>
      </c>
      <c r="E52" s="183">
        <f t="shared" ref="E52" si="41">E51/E$7</f>
        <v>0.28412623108820939</v>
      </c>
      <c r="F52" s="183">
        <f t="shared" ref="F52" si="42">F51/F$7</f>
        <v>0.32520270414907715</v>
      </c>
      <c r="G52" s="183">
        <f t="shared" ref="G52" si="43">G51/G$7</f>
        <v>0.34544847697748227</v>
      </c>
      <c r="H52" s="183">
        <f t="shared" ref="H52" si="44">H51/H$7</f>
        <v>0.35253997522118363</v>
      </c>
      <c r="I52" s="183">
        <f t="shared" ref="I52" si="45">I51/I$7</f>
        <v>0.37434186337078323</v>
      </c>
      <c r="J52" s="183">
        <f t="shared" ref="J52" si="46">J51/J$7</f>
        <v>0.38881893233571763</v>
      </c>
      <c r="K52" s="183">
        <f t="shared" ref="K52" si="47">K51/K$7</f>
        <v>0.39807372452720075</v>
      </c>
      <c r="L52" s="183">
        <f t="shared" ref="L52" si="48">L51/L$7</f>
        <v>0.40581973432385676</v>
      </c>
    </row>
    <row r="53" spans="2:13" x14ac:dyDescent="0.25">
      <c r="B53" s="232"/>
      <c r="C53" s="233"/>
      <c r="D53" s="233"/>
      <c r="E53" s="233"/>
      <c r="F53" s="233"/>
      <c r="G53" s="233"/>
      <c r="H53" s="233"/>
      <c r="I53" s="233"/>
      <c r="J53" s="233"/>
      <c r="K53" s="233"/>
      <c r="L53" s="233"/>
    </row>
    <row r="54" spans="2:13" x14ac:dyDescent="0.25">
      <c r="B54" s="104"/>
      <c r="G54" s="229" t="s">
        <v>193</v>
      </c>
      <c r="H54" s="228">
        <f>'用电量-各行业汇总'!I14</f>
        <v>0.37101095999270184</v>
      </c>
    </row>
    <row r="55" spans="2:13" ht="17.55" x14ac:dyDescent="0.25">
      <c r="B55" s="5" t="s">
        <v>136</v>
      </c>
      <c r="C55" s="179"/>
      <c r="D55" s="179"/>
      <c r="E55" s="179"/>
      <c r="F55" s="179"/>
      <c r="G55" s="179"/>
      <c r="H55" s="179"/>
      <c r="I55" s="179"/>
      <c r="J55" s="179"/>
      <c r="K55" s="179"/>
      <c r="L55" s="179"/>
    </row>
    <row r="56" spans="2:13" ht="16.350000000000001" x14ac:dyDescent="0.25">
      <c r="B56" s="8"/>
      <c r="C56" s="7">
        <v>2016</v>
      </c>
      <c r="D56" s="7">
        <v>2017</v>
      </c>
      <c r="E56" s="7">
        <v>2018</v>
      </c>
      <c r="F56" s="7">
        <v>2019</v>
      </c>
      <c r="G56" s="7">
        <v>2020</v>
      </c>
      <c r="H56" s="7">
        <v>2021</v>
      </c>
      <c r="I56" s="178" t="s">
        <v>58</v>
      </c>
      <c r="J56" s="178" t="s">
        <v>59</v>
      </c>
      <c r="K56" s="178" t="s">
        <v>60</v>
      </c>
      <c r="L56" s="180" t="s">
        <v>61</v>
      </c>
    </row>
    <row r="57" spans="2:13" x14ac:dyDescent="0.25">
      <c r="B57" s="63" t="s">
        <v>72</v>
      </c>
      <c r="C57" s="190">
        <v>21.8583904761906</v>
      </c>
      <c r="D57" s="190">
        <v>34.407142857142901</v>
      </c>
      <c r="E57" s="190">
        <v>58.767400000000002</v>
      </c>
      <c r="F57" s="190">
        <v>65.410399999999996</v>
      </c>
      <c r="G57" s="190">
        <f>'用电量-各行业汇总'!D14</f>
        <v>116.4</v>
      </c>
      <c r="H57" s="190">
        <f>'用电量-各行业汇总'!F14*10</f>
        <v>217.94290000000001</v>
      </c>
      <c r="I57" s="200">
        <f>H57*(1+$H$54)</f>
        <v>298.80210455259345</v>
      </c>
      <c r="J57" s="200">
        <f t="shared" ref="J57:K57" si="49">I57*(1+$H$54)</f>
        <v>409.66096021049083</v>
      </c>
      <c r="K57" s="200">
        <f t="shared" si="49"/>
        <v>561.64966632971709</v>
      </c>
      <c r="L57" s="184">
        <f>'用电量-各行业汇总'!G14*10</f>
        <v>770.02784821428588</v>
      </c>
    </row>
    <row r="58" spans="2:13" x14ac:dyDescent="0.25">
      <c r="B58" s="63" t="s">
        <v>129</v>
      </c>
      <c r="C58" s="184">
        <v>360</v>
      </c>
      <c r="D58" s="184">
        <v>360</v>
      </c>
      <c r="E58" s="184">
        <v>360</v>
      </c>
      <c r="F58" s="184">
        <v>360</v>
      </c>
      <c r="G58" s="184">
        <v>360</v>
      </c>
      <c r="H58" s="184">
        <v>360</v>
      </c>
      <c r="I58" s="184">
        <v>360</v>
      </c>
      <c r="J58" s="184">
        <v>360</v>
      </c>
      <c r="K58" s="184">
        <v>360</v>
      </c>
      <c r="L58" s="184">
        <v>360</v>
      </c>
      <c r="M58" s="212"/>
    </row>
    <row r="59" spans="2:13" x14ac:dyDescent="0.25">
      <c r="B59" s="63" t="s">
        <v>130</v>
      </c>
      <c r="C59" s="184">
        <v>3</v>
      </c>
      <c r="D59" s="184">
        <v>3</v>
      </c>
      <c r="E59" s="184">
        <v>3</v>
      </c>
      <c r="F59" s="184">
        <v>3</v>
      </c>
      <c r="G59" s="184">
        <v>3</v>
      </c>
      <c r="H59" s="184">
        <v>3</v>
      </c>
      <c r="I59" s="184">
        <v>3</v>
      </c>
      <c r="J59" s="184">
        <v>3</v>
      </c>
      <c r="K59" s="184">
        <v>3</v>
      </c>
      <c r="L59" s="184">
        <v>3</v>
      </c>
    </row>
    <row r="60" spans="2:13" x14ac:dyDescent="0.25">
      <c r="B60" s="63" t="s">
        <v>132</v>
      </c>
      <c r="C60" s="87">
        <f>C57/C58/C59</f>
        <v>2.0239250440917223E-2</v>
      </c>
      <c r="D60" s="87">
        <f t="shared" ref="D60:G60" si="50">D57/D58/D59</f>
        <v>3.1858465608465648E-2</v>
      </c>
      <c r="E60" s="87">
        <f t="shared" si="50"/>
        <v>5.4414259259259266E-2</v>
      </c>
      <c r="F60" s="87">
        <f t="shared" si="50"/>
        <v>6.0565185185185187E-2</v>
      </c>
      <c r="G60" s="87">
        <f t="shared" si="50"/>
        <v>0.10777777777777779</v>
      </c>
      <c r="H60" s="87">
        <f>H57/H58/H59</f>
        <v>0.20179898148148148</v>
      </c>
      <c r="I60" s="87">
        <f>I57/I58/I59</f>
        <v>0.27666861532647541</v>
      </c>
      <c r="J60" s="87">
        <f t="shared" ref="J60:L60" si="51">J57/J58/J59</f>
        <v>0.37931570389860259</v>
      </c>
      <c r="K60" s="87">
        <f t="shared" si="51"/>
        <v>0.52004598734233065</v>
      </c>
      <c r="L60" s="87">
        <f t="shared" si="51"/>
        <v>0.71298874834656101</v>
      </c>
    </row>
    <row r="61" spans="2:13" x14ac:dyDescent="0.25">
      <c r="B61" s="181" t="s">
        <v>133</v>
      </c>
      <c r="C61" s="185">
        <v>0.7</v>
      </c>
      <c r="D61" s="185">
        <v>0.7</v>
      </c>
      <c r="E61" s="185">
        <v>0.7</v>
      </c>
      <c r="F61" s="185">
        <v>0.7</v>
      </c>
      <c r="G61" s="185">
        <v>0.7</v>
      </c>
      <c r="H61" s="185">
        <v>0.7</v>
      </c>
      <c r="I61" s="185">
        <v>0.7</v>
      </c>
      <c r="J61" s="185">
        <v>0.7</v>
      </c>
      <c r="K61" s="185">
        <v>0.7</v>
      </c>
      <c r="L61" s="185">
        <v>0.7</v>
      </c>
    </row>
    <row r="62" spans="2:13" x14ac:dyDescent="0.25">
      <c r="B62" s="63" t="s">
        <v>134</v>
      </c>
      <c r="C62" s="87">
        <f t="shared" ref="C62:G62" si="52">C60/C61</f>
        <v>2.8913214915596036E-2</v>
      </c>
      <c r="D62" s="87">
        <f t="shared" si="52"/>
        <v>4.5512093726379502E-2</v>
      </c>
      <c r="E62" s="87">
        <f t="shared" si="52"/>
        <v>7.7734656084656101E-2</v>
      </c>
      <c r="F62" s="87">
        <f t="shared" si="52"/>
        <v>8.6521693121693125E-2</v>
      </c>
      <c r="G62" s="87">
        <f t="shared" si="52"/>
        <v>0.153968253968254</v>
      </c>
      <c r="H62" s="87">
        <f>H60/H61</f>
        <v>0.28828425925925927</v>
      </c>
      <c r="I62" s="87">
        <f>I60/I61</f>
        <v>0.39524087903782201</v>
      </c>
      <c r="J62" s="87">
        <f t="shared" ref="J62:L62" si="53">J60/J61</f>
        <v>0.54187957699800371</v>
      </c>
      <c r="K62" s="87">
        <f t="shared" si="53"/>
        <v>0.74292283906047241</v>
      </c>
      <c r="L62" s="87">
        <f t="shared" si="53"/>
        <v>1.0185553547808015</v>
      </c>
    </row>
    <row r="63" spans="2:13" x14ac:dyDescent="0.25">
      <c r="B63" s="63" t="s">
        <v>20</v>
      </c>
      <c r="C63" s="87">
        <f>C62-C60</f>
        <v>8.6739644746788129E-3</v>
      </c>
      <c r="D63" s="87">
        <f t="shared" ref="D63:G63" si="54">D62-D60</f>
        <v>1.3653628117913853E-2</v>
      </c>
      <c r="E63" s="87">
        <f t="shared" si="54"/>
        <v>2.3320396825396834E-2</v>
      </c>
      <c r="F63" s="87">
        <f t="shared" si="54"/>
        <v>2.5956507936507937E-2</v>
      </c>
      <c r="G63" s="87">
        <f t="shared" si="54"/>
        <v>4.6190476190476212E-2</v>
      </c>
      <c r="H63" s="87">
        <f>H62-H60</f>
        <v>8.6485277777777786E-2</v>
      </c>
      <c r="I63" s="87">
        <f>I62-I60</f>
        <v>0.1185722637113466</v>
      </c>
      <c r="J63" s="87">
        <f t="shared" ref="J63:L63" si="55">J62-J60</f>
        <v>0.16256387309940112</v>
      </c>
      <c r="K63" s="87">
        <f t="shared" si="55"/>
        <v>0.22287685171814176</v>
      </c>
      <c r="L63" s="87">
        <f t="shared" si="55"/>
        <v>0.3055666064342405</v>
      </c>
    </row>
    <row r="64" spans="2:13" x14ac:dyDescent="0.25">
      <c r="B64" s="182" t="s">
        <v>21</v>
      </c>
      <c r="C64" s="186">
        <v>0.3</v>
      </c>
      <c r="D64" s="186">
        <v>0.3</v>
      </c>
      <c r="E64" s="186">
        <v>0.3</v>
      </c>
      <c r="F64" s="186">
        <v>0.3</v>
      </c>
      <c r="G64" s="186">
        <v>0.3</v>
      </c>
      <c r="H64" s="186">
        <v>0.3</v>
      </c>
      <c r="I64" s="186">
        <v>0.3</v>
      </c>
      <c r="J64" s="186">
        <v>0.3</v>
      </c>
      <c r="K64" s="186">
        <v>0.3</v>
      </c>
      <c r="L64" s="186">
        <v>0.3</v>
      </c>
    </row>
    <row r="65" spans="2:12" x14ac:dyDescent="0.25">
      <c r="B65" s="63" t="s">
        <v>66</v>
      </c>
      <c r="C65" s="87">
        <f>C64*C63*100000000/1000000</f>
        <v>0.26021893424036435</v>
      </c>
      <c r="D65" s="87">
        <f t="shared" ref="D65:G65" si="56">D64*D63*100000000/1000000</f>
        <v>0.40960884353741556</v>
      </c>
      <c r="E65" s="87">
        <f t="shared" si="56"/>
        <v>0.69961190476190505</v>
      </c>
      <c r="F65" s="87">
        <f t="shared" si="56"/>
        <v>0.77869523809523811</v>
      </c>
      <c r="G65" s="87">
        <f t="shared" si="56"/>
        <v>1.3857142857142863</v>
      </c>
      <c r="H65" s="87">
        <f>H64*H63*100000000/1000000</f>
        <v>2.5945583333333335</v>
      </c>
      <c r="I65" s="87">
        <f>I64*I63*100000000/1000000</f>
        <v>3.5571679113403984</v>
      </c>
      <c r="J65" s="87">
        <f>J64*J63*100000000/1000000</f>
        <v>4.8769161929820335</v>
      </c>
      <c r="K65" s="87">
        <f>K64*K63*100000000/1000000</f>
        <v>6.6863055515442529</v>
      </c>
      <c r="L65" s="87">
        <f>L64*L63*100000000/1000000</f>
        <v>9.1669981930272151</v>
      </c>
    </row>
    <row r="66" spans="2:12" x14ac:dyDescent="0.25">
      <c r="B66" s="63" t="s">
        <v>33</v>
      </c>
      <c r="C66" s="97">
        <v>1E-3</v>
      </c>
      <c r="D66" s="97">
        <v>1.5E-3</v>
      </c>
      <c r="E66" s="97">
        <v>3.5000000000000001E-3</v>
      </c>
      <c r="F66" s="97">
        <v>6.7999999999999996E-3</v>
      </c>
      <c r="G66" s="97">
        <v>8.9999999999999993E-3</v>
      </c>
      <c r="H66" s="97">
        <v>1.0500000000000001E-2</v>
      </c>
      <c r="I66" s="97">
        <v>1.3599999999999999E-2</v>
      </c>
      <c r="J66" s="97">
        <v>0.02</v>
      </c>
      <c r="K66" s="97">
        <v>2.7E-2</v>
      </c>
      <c r="L66" s="97">
        <v>3.4500000000000003E-2</v>
      </c>
    </row>
    <row r="67" spans="2:12" s="205" customFormat="1" ht="16.350000000000001" x14ac:dyDescent="0.25">
      <c r="B67" s="191" t="s">
        <v>57</v>
      </c>
      <c r="C67" s="210">
        <v>1E-4</v>
      </c>
      <c r="D67" s="210">
        <f>(D66-C66)*D65</f>
        <v>2.0480442176870779E-4</v>
      </c>
      <c r="E67" s="210">
        <f t="shared" ref="E67:G67" si="57">(E66-D66)*E65</f>
        <v>1.3992238095238102E-3</v>
      </c>
      <c r="F67" s="210">
        <f t="shared" si="57"/>
        <v>2.5696942857142855E-3</v>
      </c>
      <c r="G67" s="210">
        <f t="shared" si="57"/>
        <v>3.0485714285714296E-3</v>
      </c>
      <c r="H67" s="210">
        <f>(H66-G66)*H65</f>
        <v>3.8918375000000036E-3</v>
      </c>
      <c r="I67" s="210">
        <f>(I66-H66)*I65</f>
        <v>1.1027220525155231E-2</v>
      </c>
      <c r="J67" s="210">
        <f t="shared" ref="J67:K67" si="58">(J66-I66)*J65</f>
        <v>3.121226363508502E-2</v>
      </c>
      <c r="K67" s="210">
        <f t="shared" si="58"/>
        <v>4.6804138860809766E-2</v>
      </c>
      <c r="L67" s="210">
        <f>(L66-K66)*L65</f>
        <v>6.8752486447704139E-2</v>
      </c>
    </row>
    <row r="68" spans="2:12" s="202" customFormat="1" x14ac:dyDescent="0.25">
      <c r="B68" s="189" t="s">
        <v>79</v>
      </c>
      <c r="C68" s="244">
        <f>C67/C$8</f>
        <v>6.6225165562913916E-3</v>
      </c>
      <c r="D68" s="244">
        <f>D67/D$8</f>
        <v>5.4447914457261245E-3</v>
      </c>
      <c r="E68" s="244">
        <f t="shared" ref="E68" si="59">E67/E$8</f>
        <v>1.2182644489691596E-2</v>
      </c>
      <c r="F68" s="244">
        <f t="shared" ref="F68" si="60">F67/F$8</f>
        <v>1.1506244399966618E-2</v>
      </c>
      <c r="G68" s="244">
        <f t="shared" ref="G68" si="61">G67/G$8</f>
        <v>1.3050792478405444E-2</v>
      </c>
      <c r="H68" s="244">
        <f>H67/H$8</f>
        <v>1.4460771548239227E-2</v>
      </c>
      <c r="I68" s="244">
        <f t="shared" ref="I68" si="62">I67/I$8</f>
        <v>1.8846194398293815E-2</v>
      </c>
      <c r="J68" s="244">
        <f t="shared" ref="J68" si="63">J67/J$8</f>
        <v>2.6554452338856092E-2</v>
      </c>
      <c r="K68" s="244">
        <f t="shared" ref="K68" si="64">K67/K$8</f>
        <v>3.0794006729581089E-2</v>
      </c>
      <c r="L68" s="244">
        <f t="shared" ref="L68" si="65">L67/L$8</f>
        <v>3.7709405987102866E-2</v>
      </c>
    </row>
    <row r="69" spans="2:12" s="205" customFormat="1" ht="16.350000000000001" x14ac:dyDescent="0.25">
      <c r="B69" s="191" t="s">
        <v>56</v>
      </c>
      <c r="C69" s="192">
        <f t="shared" ref="C69:G69" si="66">C66*C65</f>
        <v>2.6021893424036437E-4</v>
      </c>
      <c r="D69" s="192">
        <f t="shared" si="66"/>
        <v>6.1441326530612338E-4</v>
      </c>
      <c r="E69" s="192">
        <f t="shared" si="66"/>
        <v>2.4486416666666677E-3</v>
      </c>
      <c r="F69" s="192">
        <f t="shared" si="66"/>
        <v>5.2951276190476189E-3</v>
      </c>
      <c r="G69" s="192">
        <f t="shared" si="66"/>
        <v>1.2471428571428576E-2</v>
      </c>
      <c r="H69" s="192">
        <f>H66*H65</f>
        <v>2.7242862500000003E-2</v>
      </c>
      <c r="I69" s="192">
        <f t="shared" ref="I69:L69" si="67">I66*I65</f>
        <v>4.8377483594229415E-2</v>
      </c>
      <c r="J69" s="192">
        <f t="shared" si="67"/>
        <v>9.7538323859640674E-2</v>
      </c>
      <c r="K69" s="192">
        <f t="shared" si="67"/>
        <v>0.18053024989169483</v>
      </c>
      <c r="L69" s="192">
        <f t="shared" si="67"/>
        <v>0.31626143765943893</v>
      </c>
    </row>
    <row r="70" spans="2:12" s="202" customFormat="1" x14ac:dyDescent="0.25">
      <c r="B70" s="189" t="s">
        <v>68</v>
      </c>
      <c r="C70" s="183">
        <f>C69/C$7</f>
        <v>4.729926196583004E-3</v>
      </c>
      <c r="D70" s="183">
        <f t="shared" ref="D70" si="68">D69/D$7</f>
        <v>6.5887279502030724E-3</v>
      </c>
      <c r="E70" s="183">
        <f t="shared" ref="E70" si="69">E69/E$7</f>
        <v>1.163982337060564E-2</v>
      </c>
      <c r="F70" s="183">
        <f t="shared" ref="F70" si="70">F69/F$7</f>
        <v>1.2033447804692626E-2</v>
      </c>
      <c r="G70" s="183">
        <f t="shared" ref="G70" si="71">G69/G$7</f>
        <v>1.8009985219511276E-2</v>
      </c>
      <c r="H70" s="183">
        <f t="shared" ref="H70" si="72">H69/H$7</f>
        <v>2.7382945198197797E-2</v>
      </c>
      <c r="I70" s="183">
        <f t="shared" ref="I70" si="73">I69/I$7</f>
        <v>2.9800809275888237E-2</v>
      </c>
      <c r="J70" s="183">
        <f t="shared" ref="J70" si="74">J69/J$7</f>
        <v>3.3924234310128268E-2</v>
      </c>
      <c r="K70" s="183">
        <f t="shared" ref="K70" si="75">K69/K$7</f>
        <v>3.9768454852662109E-2</v>
      </c>
      <c r="L70" s="183">
        <f t="shared" ref="L70" si="76">L69/L$7</f>
        <v>4.7873732272572252E-2</v>
      </c>
    </row>
    <row r="72" spans="2:12" x14ac:dyDescent="0.25">
      <c r="G72" s="229" t="s">
        <v>193</v>
      </c>
      <c r="H72" s="228">
        <f>'用电量-各行业汇总'!I10</f>
        <v>0.09</v>
      </c>
    </row>
    <row r="73" spans="2:12" ht="18.149999999999999" thickBot="1" x14ac:dyDescent="0.3">
      <c r="B73" s="36" t="s">
        <v>137</v>
      </c>
      <c r="C73" s="74"/>
      <c r="D73" s="74"/>
      <c r="E73" s="74"/>
      <c r="F73" s="74"/>
      <c r="G73" s="74"/>
      <c r="H73" s="74"/>
      <c r="I73" s="74"/>
      <c r="J73" s="74"/>
      <c r="K73" s="74"/>
      <c r="L73" s="74"/>
    </row>
    <row r="74" spans="2:12" ht="16.350000000000001" x14ac:dyDescent="0.25">
      <c r="B74" s="37"/>
      <c r="C74" s="38">
        <v>2016</v>
      </c>
      <c r="D74" s="38">
        <v>2017</v>
      </c>
      <c r="E74" s="38">
        <v>2018</v>
      </c>
      <c r="F74" s="38">
        <v>2019</v>
      </c>
      <c r="G74" s="38">
        <v>2020</v>
      </c>
      <c r="H74" s="38">
        <v>2021</v>
      </c>
      <c r="I74" s="57" t="s">
        <v>58</v>
      </c>
      <c r="J74" s="57" t="s">
        <v>59</v>
      </c>
      <c r="K74" s="57" t="s">
        <v>60</v>
      </c>
      <c r="L74" s="75" t="s">
        <v>61</v>
      </c>
    </row>
    <row r="75" spans="2:12" x14ac:dyDescent="0.25">
      <c r="B75" s="64" t="s">
        <v>72</v>
      </c>
      <c r="C75" s="200">
        <f t="shared" ref="C75:E75" si="77">D75*(1-$H$72)</f>
        <v>1831.3897212757513</v>
      </c>
      <c r="D75" s="200">
        <f t="shared" si="77"/>
        <v>2012.5161772261004</v>
      </c>
      <c r="E75" s="200">
        <f t="shared" si="77"/>
        <v>2211.5562387100003</v>
      </c>
      <c r="F75" s="200">
        <f>G75*(1-$H$72)</f>
        <v>2430.2815810000002</v>
      </c>
      <c r="G75" s="190">
        <f>'用电量-工业'!D38+'用电量-工业'!D40+'用电量-工业'!D43</f>
        <v>2670.6391000000003</v>
      </c>
      <c r="H75" s="200">
        <f>G75*(1+$H$72)</f>
        <v>2910.9966190000005</v>
      </c>
      <c r="I75" s="200">
        <f>H75*(1+$H$72)</f>
        <v>3172.9863147100009</v>
      </c>
      <c r="J75" s="200">
        <f>I75*(1+$H$72)</f>
        <v>3458.5550830339012</v>
      </c>
      <c r="K75" s="200">
        <f>J75*(1+$H$72)</f>
        <v>3769.8250405069525</v>
      </c>
      <c r="L75" s="200">
        <f>K75*(1+$H$72)</f>
        <v>4109.1092941525785</v>
      </c>
    </row>
    <row r="76" spans="2:12" x14ac:dyDescent="0.25">
      <c r="B76" s="64" t="s">
        <v>19</v>
      </c>
      <c r="C76" s="184">
        <v>300</v>
      </c>
      <c r="D76" s="184">
        <v>300</v>
      </c>
      <c r="E76" s="184">
        <v>300</v>
      </c>
      <c r="F76" s="184">
        <v>300</v>
      </c>
      <c r="G76" s="184">
        <v>300</v>
      </c>
      <c r="H76" s="184">
        <v>300</v>
      </c>
      <c r="I76" s="184">
        <v>300</v>
      </c>
      <c r="J76" s="184">
        <v>300</v>
      </c>
      <c r="K76" s="184">
        <v>300</v>
      </c>
      <c r="L76" s="195">
        <v>300</v>
      </c>
    </row>
    <row r="77" spans="2:12" x14ac:dyDescent="0.25">
      <c r="B77" s="64" t="s">
        <v>18</v>
      </c>
      <c r="C77" s="184">
        <v>24</v>
      </c>
      <c r="D77" s="184">
        <v>24</v>
      </c>
      <c r="E77" s="184">
        <v>24</v>
      </c>
      <c r="F77" s="184">
        <v>24</v>
      </c>
      <c r="G77" s="184">
        <v>24</v>
      </c>
      <c r="H77" s="184">
        <v>24</v>
      </c>
      <c r="I77" s="184">
        <v>24</v>
      </c>
      <c r="J77" s="184">
        <v>24</v>
      </c>
      <c r="K77" s="184">
        <v>24</v>
      </c>
      <c r="L77" s="195">
        <v>24</v>
      </c>
    </row>
    <row r="78" spans="2:12" x14ac:dyDescent="0.25">
      <c r="B78" s="64" t="s">
        <v>132</v>
      </c>
      <c r="C78" s="87">
        <f>C75/C76/C77</f>
        <v>0.25435968351052102</v>
      </c>
      <c r="D78" s="87">
        <f t="shared" ref="D78:G78" si="78">D75/D76/D77</f>
        <v>0.27951613572584727</v>
      </c>
      <c r="E78" s="87">
        <f t="shared" si="78"/>
        <v>0.30716058870972224</v>
      </c>
      <c r="F78" s="87">
        <f t="shared" si="78"/>
        <v>0.33753910847222229</v>
      </c>
      <c r="G78" s="87">
        <f t="shared" si="78"/>
        <v>0.37092209722222225</v>
      </c>
      <c r="H78" s="87">
        <f>H75/H76/H77</f>
        <v>0.40430508597222231</v>
      </c>
      <c r="I78" s="87">
        <f>I75/I76/I77</f>
        <v>0.44069254370972238</v>
      </c>
      <c r="J78" s="87">
        <f t="shared" ref="J78:L78" si="79">J75/J76/J77</f>
        <v>0.48035487264359739</v>
      </c>
      <c r="K78" s="87">
        <f t="shared" si="79"/>
        <v>0.52358681118152117</v>
      </c>
      <c r="L78" s="88">
        <f t="shared" si="79"/>
        <v>0.57070962418785809</v>
      </c>
    </row>
    <row r="79" spans="2:12" x14ac:dyDescent="0.25">
      <c r="B79" s="78" t="s">
        <v>133</v>
      </c>
      <c r="C79" s="185">
        <v>0.7</v>
      </c>
      <c r="D79" s="185">
        <v>0.7</v>
      </c>
      <c r="E79" s="185">
        <v>0.7</v>
      </c>
      <c r="F79" s="185">
        <v>0.7</v>
      </c>
      <c r="G79" s="185">
        <v>0.7</v>
      </c>
      <c r="H79" s="185">
        <v>0.7</v>
      </c>
      <c r="I79" s="185">
        <v>0.7</v>
      </c>
      <c r="J79" s="185">
        <v>0.7</v>
      </c>
      <c r="K79" s="185">
        <v>0.7</v>
      </c>
      <c r="L79" s="194">
        <v>0.7</v>
      </c>
    </row>
    <row r="80" spans="2:12" x14ac:dyDescent="0.25">
      <c r="B80" s="64" t="s">
        <v>134</v>
      </c>
      <c r="C80" s="87">
        <f t="shared" ref="C80:G80" si="80">C78/C79</f>
        <v>0.3633709764436015</v>
      </c>
      <c r="D80" s="87">
        <f t="shared" si="80"/>
        <v>0.39930876532263898</v>
      </c>
      <c r="E80" s="87">
        <f t="shared" si="80"/>
        <v>0.43880084101388894</v>
      </c>
      <c r="F80" s="87">
        <f t="shared" si="80"/>
        <v>0.482198726388889</v>
      </c>
      <c r="G80" s="87">
        <f t="shared" si="80"/>
        <v>0.52988871031746043</v>
      </c>
      <c r="H80" s="87">
        <f>H78/H79</f>
        <v>0.57757869424603192</v>
      </c>
      <c r="I80" s="87">
        <f>I78/I79</f>
        <v>0.6295607767281749</v>
      </c>
      <c r="J80" s="87">
        <f t="shared" ref="J80:L80" si="81">J78/J79</f>
        <v>0.68622124663371065</v>
      </c>
      <c r="K80" s="87">
        <f t="shared" si="81"/>
        <v>0.74798115883074456</v>
      </c>
      <c r="L80" s="88">
        <f t="shared" si="81"/>
        <v>0.8152994631255116</v>
      </c>
    </row>
    <row r="81" spans="2:12" x14ac:dyDescent="0.25">
      <c r="B81" s="64" t="s">
        <v>20</v>
      </c>
      <c r="C81" s="87">
        <f t="shared" ref="C81:G81" si="82">C80-C78</f>
        <v>0.10901129293308048</v>
      </c>
      <c r="D81" s="87">
        <f t="shared" si="82"/>
        <v>0.11979262959679171</v>
      </c>
      <c r="E81" s="87">
        <f t="shared" si="82"/>
        <v>0.1316402523041667</v>
      </c>
      <c r="F81" s="87">
        <f t="shared" si="82"/>
        <v>0.14465961791666671</v>
      </c>
      <c r="G81" s="87">
        <f t="shared" si="82"/>
        <v>0.15896661309523819</v>
      </c>
      <c r="H81" s="87">
        <f>H80-H78</f>
        <v>0.17327360827380961</v>
      </c>
      <c r="I81" s="87">
        <f>I80-I78</f>
        <v>0.18886823301845251</v>
      </c>
      <c r="J81" s="87">
        <f t="shared" ref="J81:L81" si="83">J80-J78</f>
        <v>0.20586637399011326</v>
      </c>
      <c r="K81" s="87">
        <f t="shared" si="83"/>
        <v>0.22439434764922339</v>
      </c>
      <c r="L81" s="88">
        <f t="shared" si="83"/>
        <v>0.24458983893765351</v>
      </c>
    </row>
    <row r="82" spans="2:12" x14ac:dyDescent="0.25">
      <c r="B82" s="81" t="s">
        <v>21</v>
      </c>
      <c r="C82" s="243">
        <v>0.3</v>
      </c>
      <c r="D82" s="243">
        <v>0.3</v>
      </c>
      <c r="E82" s="243">
        <v>0.3</v>
      </c>
      <c r="F82" s="243">
        <v>0.3</v>
      </c>
      <c r="G82" s="243">
        <v>0.3</v>
      </c>
      <c r="H82" s="243">
        <v>0.3</v>
      </c>
      <c r="I82" s="243">
        <v>0.3</v>
      </c>
      <c r="J82" s="243">
        <v>0.3</v>
      </c>
      <c r="K82" s="243">
        <v>0.3</v>
      </c>
      <c r="L82" s="243">
        <v>0.3</v>
      </c>
    </row>
    <row r="83" spans="2:12" x14ac:dyDescent="0.25">
      <c r="B83" s="64" t="s">
        <v>66</v>
      </c>
      <c r="C83" s="87">
        <f>C82*C81*100000000/1000000</f>
        <v>3.2703387879924142</v>
      </c>
      <c r="D83" s="87">
        <f t="shared" ref="D83:G83" si="84">D82*D81*100000000/1000000</f>
        <v>3.5937788879037513</v>
      </c>
      <c r="E83" s="87">
        <f t="shared" si="84"/>
        <v>3.9492075691250008</v>
      </c>
      <c r="F83" s="87">
        <f t="shared" si="84"/>
        <v>4.3397885375000005</v>
      </c>
      <c r="G83" s="87">
        <f t="shared" si="84"/>
        <v>4.7689983928571458</v>
      </c>
      <c r="H83" s="87">
        <f>H82*H81*100000000/1000000</f>
        <v>5.1982082482142875</v>
      </c>
      <c r="I83" s="87">
        <f>I82*I81*100000000/1000000</f>
        <v>5.6660469905535749</v>
      </c>
      <c r="J83" s="87">
        <f>J82*J81*100000000/1000000</f>
        <v>6.1759912197033975</v>
      </c>
      <c r="K83" s="87">
        <f>K82*K81*100000000/1000000</f>
        <v>6.7318304294767008</v>
      </c>
      <c r="L83" s="88">
        <f>L82*L81*100000000/1000000</f>
        <v>7.3376951681296054</v>
      </c>
    </row>
    <row r="84" spans="2:12" x14ac:dyDescent="0.25">
      <c r="B84" s="64" t="s">
        <v>33</v>
      </c>
      <c r="C84" s="97">
        <v>0</v>
      </c>
      <c r="D84" s="97">
        <v>5.0000000000000002E-5</v>
      </c>
      <c r="E84" s="97">
        <v>2.0000000000000001E-4</v>
      </c>
      <c r="F84" s="97">
        <v>5.0000000000000001E-4</v>
      </c>
      <c r="G84" s="97">
        <v>1E-3</v>
      </c>
      <c r="H84" s="97">
        <v>2E-3</v>
      </c>
      <c r="I84" s="97">
        <v>4.4000000000000003E-3</v>
      </c>
      <c r="J84" s="97">
        <v>8.3999999999999995E-3</v>
      </c>
      <c r="K84" s="97">
        <v>1.4200000000000001E-2</v>
      </c>
      <c r="L84" s="97">
        <v>2.1999999999999999E-2</v>
      </c>
    </row>
    <row r="85" spans="2:12" s="205" customFormat="1" ht="16.350000000000001" x14ac:dyDescent="0.25">
      <c r="B85" s="206" t="s">
        <v>57</v>
      </c>
      <c r="C85" s="210">
        <v>0</v>
      </c>
      <c r="D85" s="210">
        <f>(D84-C84)*D83</f>
        <v>1.7968894439518757E-4</v>
      </c>
      <c r="E85" s="210">
        <f>(E84-D84)*E83</f>
        <v>5.9238113536875018E-4</v>
      </c>
      <c r="F85" s="210">
        <f>(F84-E84)*F83</f>
        <v>1.3019365612500003E-3</v>
      </c>
      <c r="G85" s="210">
        <f>(G84-F84)*G83</f>
        <v>2.3844991964285731E-3</v>
      </c>
      <c r="H85" s="210">
        <f>(H84-G84)*H83</f>
        <v>5.1982082482142878E-3</v>
      </c>
      <c r="I85" s="210">
        <f t="shared" ref="I85:K85" si="85">(I84-H84)*I83</f>
        <v>1.359851277732858E-2</v>
      </c>
      <c r="J85" s="210">
        <f t="shared" si="85"/>
        <v>2.4703964878813586E-2</v>
      </c>
      <c r="K85" s="210">
        <f t="shared" si="85"/>
        <v>3.9044616490964877E-2</v>
      </c>
      <c r="L85" s="211">
        <f>(L84-K84)*L83</f>
        <v>5.7234022311410906E-2</v>
      </c>
    </row>
    <row r="86" spans="2:12" s="202" customFormat="1" x14ac:dyDescent="0.25">
      <c r="B86" s="197" t="s">
        <v>79</v>
      </c>
      <c r="C86" s="199">
        <f>C85/C$8</f>
        <v>0</v>
      </c>
      <c r="D86" s="199">
        <f>D85/D$8</f>
        <v>4.77708839919178E-3</v>
      </c>
      <c r="E86" s="199">
        <f t="shared" ref="E86" si="86">E85/E$8</f>
        <v>5.1576943770370778E-3</v>
      </c>
      <c r="F86" s="199">
        <f t="shared" ref="F86" si="87">F85/F$8</f>
        <v>5.8296429852668571E-3</v>
      </c>
      <c r="G86" s="199">
        <f t="shared" ref="G86" si="88">G85/G$8</f>
        <v>1.0207930142577173E-2</v>
      </c>
      <c r="H86" s="199">
        <f t="shared" ref="H86" si="89">H85/H$8</f>
        <v>1.931481001907186E-2</v>
      </c>
      <c r="I86" s="199">
        <f t="shared" ref="I86" si="90">I85/I$8</f>
        <v>2.3240690139876303E-2</v>
      </c>
      <c r="J86" s="199">
        <f t="shared" ref="J86" si="91">J85/J$8</f>
        <v>2.1017388089014943E-2</v>
      </c>
      <c r="K86" s="199">
        <f>K85/K$8</f>
        <v>2.5688757709063068E-2</v>
      </c>
      <c r="L86" s="199">
        <f t="shared" ref="L86" si="92">L85/L$8</f>
        <v>3.1391751704246455E-2</v>
      </c>
    </row>
    <row r="87" spans="2:12" s="205" customFormat="1" ht="16.350000000000001" x14ac:dyDescent="0.25">
      <c r="B87" s="206" t="s">
        <v>56</v>
      </c>
      <c r="C87" s="192">
        <f t="shared" ref="C87:D87" si="93">C84*C83</f>
        <v>0</v>
      </c>
      <c r="D87" s="192">
        <f t="shared" si="93"/>
        <v>1.7968894439518757E-4</v>
      </c>
      <c r="E87" s="192">
        <f t="shared" ref="E87:G87" si="94">E84*E83</f>
        <v>7.8984151382500024E-4</v>
      </c>
      <c r="F87" s="192">
        <f t="shared" si="94"/>
        <v>2.1698942687500005E-3</v>
      </c>
      <c r="G87" s="192">
        <f t="shared" si="94"/>
        <v>4.7689983928571461E-3</v>
      </c>
      <c r="H87" s="192">
        <f>H84*H83</f>
        <v>1.0396416496428576E-2</v>
      </c>
      <c r="I87" s="192">
        <f t="shared" ref="I87:L87" si="95">I84*I83</f>
        <v>2.4930606758435732E-2</v>
      </c>
      <c r="J87" s="192">
        <f t="shared" si="95"/>
        <v>5.1878326245508533E-2</v>
      </c>
      <c r="K87" s="192">
        <f t="shared" si="95"/>
        <v>9.5591992098569153E-2</v>
      </c>
      <c r="L87" s="207">
        <f t="shared" si="95"/>
        <v>0.16142929369885131</v>
      </c>
    </row>
    <row r="88" spans="2:12" s="202" customFormat="1" ht="16.350000000000001" thickBot="1" x14ac:dyDescent="0.3">
      <c r="B88" s="198" t="s">
        <v>68</v>
      </c>
      <c r="C88" s="199">
        <f>C87/C$7</f>
        <v>0</v>
      </c>
      <c r="D88" s="199">
        <f t="shared" ref="D88" si="96">D87/D$7</f>
        <v>1.9269140774315551E-3</v>
      </c>
      <c r="E88" s="199">
        <f t="shared" ref="E88" si="97">E87/E$7</f>
        <v>3.7545778285354558E-3</v>
      </c>
      <c r="F88" s="199">
        <f t="shared" ref="F88" si="98">F87/F$7</f>
        <v>4.9311954882404101E-3</v>
      </c>
      <c r="G88" s="199">
        <f t="shared" ref="G88" si="99">G87/G$7</f>
        <v>6.8869087510952057E-3</v>
      </c>
      <c r="H88" s="199">
        <f t="shared" ref="H88" si="100">H87/H$7</f>
        <v>1.0449874831594631E-2</v>
      </c>
      <c r="I88" s="199">
        <f t="shared" ref="I88" si="101">I87/I$7</f>
        <v>1.5357397738416776E-2</v>
      </c>
      <c r="J88" s="199">
        <f t="shared" ref="J88" si="102">J87/J$7</f>
        <v>1.8043497422638523E-2</v>
      </c>
      <c r="K88" s="199">
        <f t="shared" ref="K88" si="103">K87/K$7</f>
        <v>2.1057666647714909E-2</v>
      </c>
      <c r="L88" s="199">
        <f t="shared" ref="L88" si="104">L87/L$7</f>
        <v>2.4436184331177471E-2</v>
      </c>
    </row>
    <row r="90" spans="2:12" x14ac:dyDescent="0.25">
      <c r="G90" s="229" t="s">
        <v>193</v>
      </c>
      <c r="H90" s="230">
        <f>'用电量-各行业汇总'!I13</f>
        <v>0.19</v>
      </c>
    </row>
    <row r="91" spans="2:12" ht="17.55" x14ac:dyDescent="0.25">
      <c r="B91" s="5" t="s">
        <v>135</v>
      </c>
      <c r="C91" s="179"/>
      <c r="D91" s="179"/>
      <c r="E91" s="179"/>
      <c r="F91" s="179"/>
      <c r="G91" s="179"/>
      <c r="H91" s="179"/>
      <c r="I91" s="179"/>
      <c r="J91" s="179"/>
      <c r="K91" s="179"/>
      <c r="L91" s="179"/>
    </row>
    <row r="92" spans="2:12" ht="16.350000000000001" x14ac:dyDescent="0.25">
      <c r="B92" s="187" t="s">
        <v>131</v>
      </c>
      <c r="C92" s="7">
        <v>2016</v>
      </c>
      <c r="D92" s="7">
        <v>2017</v>
      </c>
      <c r="E92" s="7">
        <v>2018</v>
      </c>
      <c r="F92" s="7">
        <v>2019</v>
      </c>
      <c r="G92" s="7">
        <v>2020</v>
      </c>
      <c r="H92" s="7">
        <v>2021</v>
      </c>
      <c r="I92" s="178" t="s">
        <v>58</v>
      </c>
      <c r="J92" s="178" t="s">
        <v>59</v>
      </c>
      <c r="K92" s="178" t="s">
        <v>60</v>
      </c>
      <c r="L92" s="180" t="s">
        <v>61</v>
      </c>
    </row>
    <row r="93" spans="2:12" x14ac:dyDescent="0.25">
      <c r="B93" s="63" t="s">
        <v>72</v>
      </c>
      <c r="C93" s="200">
        <f t="shared" ref="C93:E93" si="105">D93*(1-$H$90)</f>
        <v>879.44451003000017</v>
      </c>
      <c r="D93" s="200">
        <f t="shared" si="105"/>
        <v>1085.7339630000001</v>
      </c>
      <c r="E93" s="200">
        <f t="shared" si="105"/>
        <v>1340.4123000000002</v>
      </c>
      <c r="F93" s="200">
        <f>G93*(1-$H$90)</f>
        <v>1654.8300000000002</v>
      </c>
      <c r="G93" s="190">
        <f>'用电量-各行业汇总'!D13</f>
        <v>2043</v>
      </c>
      <c r="H93" s="200">
        <f>G93*(1+$H$90)</f>
        <v>2431.17</v>
      </c>
      <c r="I93" s="200">
        <f t="shared" ref="I93:L93" si="106">H93*(1+$H$90)</f>
        <v>2893.0922999999998</v>
      </c>
      <c r="J93" s="200">
        <f t="shared" si="106"/>
        <v>3442.7798369999996</v>
      </c>
      <c r="K93" s="200">
        <f t="shared" si="106"/>
        <v>4096.9080060299993</v>
      </c>
      <c r="L93" s="200">
        <f t="shared" si="106"/>
        <v>4875.3205271756988</v>
      </c>
    </row>
    <row r="94" spans="2:12" x14ac:dyDescent="0.25">
      <c r="B94" s="63" t="s">
        <v>129</v>
      </c>
      <c r="C94" s="184">
        <v>365</v>
      </c>
      <c r="D94" s="184">
        <v>365</v>
      </c>
      <c r="E94" s="184">
        <v>365</v>
      </c>
      <c r="F94" s="184">
        <v>365</v>
      </c>
      <c r="G94" s="184">
        <v>365</v>
      </c>
      <c r="H94" s="184">
        <v>365</v>
      </c>
      <c r="I94" s="184">
        <v>365</v>
      </c>
      <c r="J94" s="184">
        <v>365</v>
      </c>
      <c r="K94" s="184">
        <v>365</v>
      </c>
      <c r="L94" s="184">
        <v>365</v>
      </c>
    </row>
    <row r="95" spans="2:12" x14ac:dyDescent="0.25">
      <c r="B95" s="63" t="s">
        <v>130</v>
      </c>
      <c r="C95" s="184">
        <v>24</v>
      </c>
      <c r="D95" s="184">
        <v>24</v>
      </c>
      <c r="E95" s="184">
        <v>24</v>
      </c>
      <c r="F95" s="184">
        <v>24</v>
      </c>
      <c r="G95" s="184">
        <v>24</v>
      </c>
      <c r="H95" s="184">
        <v>24</v>
      </c>
      <c r="I95" s="184">
        <v>24</v>
      </c>
      <c r="J95" s="184">
        <v>24</v>
      </c>
      <c r="K95" s="184">
        <v>24</v>
      </c>
      <c r="L95" s="184">
        <v>24</v>
      </c>
    </row>
    <row r="96" spans="2:12" x14ac:dyDescent="0.25">
      <c r="B96" s="63" t="s">
        <v>132</v>
      </c>
      <c r="C96" s="87">
        <f>C93/C94/C95</f>
        <v>0.10039320890753427</v>
      </c>
      <c r="D96" s="87">
        <f t="shared" ref="D96:G96" si="107">D93/D94/D95</f>
        <v>0.12394223321917809</v>
      </c>
      <c r="E96" s="87">
        <f t="shared" si="107"/>
        <v>0.15301510273972604</v>
      </c>
      <c r="F96" s="87">
        <f t="shared" si="107"/>
        <v>0.18890753424657536</v>
      </c>
      <c r="G96" s="87">
        <f t="shared" si="107"/>
        <v>0.23321917808219181</v>
      </c>
      <c r="H96" s="87">
        <f>H93/H94/H95</f>
        <v>0.27753082191780826</v>
      </c>
      <c r="I96" s="87">
        <f>I93/I94/I95</f>
        <v>0.33026167808219176</v>
      </c>
      <c r="J96" s="87">
        <f t="shared" ref="J96:L96" si="108">J93/J94/J95</f>
        <v>0.39301139691780818</v>
      </c>
      <c r="K96" s="87">
        <f t="shared" si="108"/>
        <v>0.46768356233219172</v>
      </c>
      <c r="L96" s="87">
        <f t="shared" si="108"/>
        <v>0.55654343917530802</v>
      </c>
    </row>
    <row r="97" spans="2:12" s="202" customFormat="1" x14ac:dyDescent="0.25">
      <c r="B97" s="201" t="s">
        <v>133</v>
      </c>
      <c r="C97" s="186">
        <v>0.7</v>
      </c>
      <c r="D97" s="186">
        <v>0.7</v>
      </c>
      <c r="E97" s="186">
        <v>0.7</v>
      </c>
      <c r="F97" s="186">
        <v>0.7</v>
      </c>
      <c r="G97" s="186">
        <v>0.7</v>
      </c>
      <c r="H97" s="186">
        <v>0.7</v>
      </c>
      <c r="I97" s="186">
        <v>0.7</v>
      </c>
      <c r="J97" s="186">
        <v>0.7</v>
      </c>
      <c r="K97" s="186">
        <v>0.7</v>
      </c>
      <c r="L97" s="186">
        <v>0.7</v>
      </c>
    </row>
    <row r="98" spans="2:12" x14ac:dyDescent="0.25">
      <c r="B98" s="63" t="s">
        <v>134</v>
      </c>
      <c r="C98" s="87">
        <f t="shared" ref="C98:G98" si="109">C96/C97</f>
        <v>0.14341886986790611</v>
      </c>
      <c r="D98" s="87">
        <f t="shared" si="109"/>
        <v>0.17706033317025444</v>
      </c>
      <c r="E98" s="87">
        <f t="shared" si="109"/>
        <v>0.21859300391389436</v>
      </c>
      <c r="F98" s="87">
        <f t="shared" si="109"/>
        <v>0.26986790606653627</v>
      </c>
      <c r="G98" s="87">
        <f t="shared" si="109"/>
        <v>0.33317025440313119</v>
      </c>
      <c r="H98" s="87">
        <f>H96/H97</f>
        <v>0.39647260273972612</v>
      </c>
      <c r="I98" s="87">
        <f>I96/I97</f>
        <v>0.47180239726027395</v>
      </c>
      <c r="J98" s="87">
        <f t="shared" ref="J98:L98" si="110">J96/J97</f>
        <v>0.561444852739726</v>
      </c>
      <c r="K98" s="87">
        <f t="shared" si="110"/>
        <v>0.66811937476027394</v>
      </c>
      <c r="L98" s="87">
        <f t="shared" si="110"/>
        <v>0.79506205596472579</v>
      </c>
    </row>
    <row r="99" spans="2:12" x14ac:dyDescent="0.25">
      <c r="B99" s="63" t="s">
        <v>20</v>
      </c>
      <c r="C99" s="87">
        <f t="shared" ref="C99:G99" si="111">C98-C96</f>
        <v>4.3025660960371845E-2</v>
      </c>
      <c r="D99" s="87">
        <f t="shared" si="111"/>
        <v>5.3118099951076345E-2</v>
      </c>
      <c r="E99" s="87">
        <f t="shared" si="111"/>
        <v>6.5577901174168313E-2</v>
      </c>
      <c r="F99" s="87">
        <f t="shared" si="111"/>
        <v>8.0960371819960908E-2</v>
      </c>
      <c r="G99" s="87">
        <f t="shared" si="111"/>
        <v>9.9951076320939386E-2</v>
      </c>
      <c r="H99" s="87">
        <f>H98-H96</f>
        <v>0.11894178082191786</v>
      </c>
      <c r="I99" s="87">
        <f>I98-I96</f>
        <v>0.1415407191780822</v>
      </c>
      <c r="J99" s="87">
        <f t="shared" ref="J99:L99" si="112">J98-J96</f>
        <v>0.16843345582191782</v>
      </c>
      <c r="K99" s="87">
        <f t="shared" si="112"/>
        <v>0.20043581242808223</v>
      </c>
      <c r="L99" s="87">
        <f t="shared" si="112"/>
        <v>0.23851861678941777</v>
      </c>
    </row>
    <row r="100" spans="2:12" x14ac:dyDescent="0.25">
      <c r="B100" s="81" t="s">
        <v>21</v>
      </c>
      <c r="C100" s="243">
        <v>0.3</v>
      </c>
      <c r="D100" s="243">
        <v>0.3</v>
      </c>
      <c r="E100" s="243">
        <v>0.3</v>
      </c>
      <c r="F100" s="243">
        <v>0.3</v>
      </c>
      <c r="G100" s="243">
        <v>0.3</v>
      </c>
      <c r="H100" s="243">
        <v>0.3</v>
      </c>
      <c r="I100" s="243">
        <v>0.3</v>
      </c>
      <c r="J100" s="243">
        <v>0.3</v>
      </c>
      <c r="K100" s="243">
        <v>0.3</v>
      </c>
      <c r="L100" s="243">
        <v>0.3</v>
      </c>
    </row>
    <row r="101" spans="2:12" x14ac:dyDescent="0.25">
      <c r="B101" s="63" t="s">
        <v>66</v>
      </c>
      <c r="C101" s="87">
        <f>C100*C99*100000000/1000000</f>
        <v>1.2907698288111551</v>
      </c>
      <c r="D101" s="87">
        <f t="shared" ref="D101:G101" si="113">D100*D99*100000000/1000000</f>
        <v>1.5935429985322904</v>
      </c>
      <c r="E101" s="87">
        <f t="shared" si="113"/>
        <v>1.9673370352250492</v>
      </c>
      <c r="F101" s="87">
        <f t="shared" si="113"/>
        <v>2.4288111545988276</v>
      </c>
      <c r="G101" s="87">
        <f t="shared" si="113"/>
        <v>2.9985322896281814</v>
      </c>
      <c r="H101" s="87">
        <f>H100*H99*100000000/1000000</f>
        <v>3.5682534246575357</v>
      </c>
      <c r="I101" s="87">
        <f>I100*I99*100000000/1000000</f>
        <v>4.2462215753424664</v>
      </c>
      <c r="J101" s="87">
        <f>J100*J99*100000000/1000000</f>
        <v>5.0530036746575346</v>
      </c>
      <c r="K101" s="87">
        <f>K100*K99*100000000/1000000</f>
        <v>6.0130743728424667</v>
      </c>
      <c r="L101" s="87">
        <f>L100*L99*100000000/1000000</f>
        <v>7.1555585036825322</v>
      </c>
    </row>
    <row r="102" spans="2:12" s="202" customFormat="1" x14ac:dyDescent="0.25">
      <c r="B102" s="203" t="s">
        <v>33</v>
      </c>
      <c r="C102" s="204">
        <v>0</v>
      </c>
      <c r="D102" s="204">
        <v>0</v>
      </c>
      <c r="E102" s="204">
        <v>0</v>
      </c>
      <c r="F102" s="204">
        <v>1E-4</v>
      </c>
      <c r="G102" s="204">
        <v>2.0000000000000001E-4</v>
      </c>
      <c r="H102" s="204">
        <v>2.9999999999999997E-4</v>
      </c>
      <c r="I102" s="204">
        <v>4.4999999999999999E-4</v>
      </c>
      <c r="J102" s="204">
        <v>5.9999999999999995E-4</v>
      </c>
      <c r="K102" s="204">
        <v>8.9999999999999998E-4</v>
      </c>
      <c r="L102" s="204">
        <v>1.1999999999999999E-3</v>
      </c>
    </row>
    <row r="103" spans="2:12" s="196" customFormat="1" ht="16.350000000000001" x14ac:dyDescent="0.25">
      <c r="B103" s="191" t="s">
        <v>57</v>
      </c>
      <c r="C103" s="210">
        <v>0</v>
      </c>
      <c r="D103" s="210">
        <f>(D102-C102)*D101</f>
        <v>0</v>
      </c>
      <c r="E103" s="210">
        <f>(E102-D102)*E101</f>
        <v>0</v>
      </c>
      <c r="F103" s="239">
        <f>(F102-E102)*F101</f>
        <v>2.4288111545988278E-4</v>
      </c>
      <c r="G103" s="239">
        <f t="shared" ref="G103" si="114">(G102-F102)*G101</f>
        <v>2.9985322896281815E-4</v>
      </c>
      <c r="H103" s="239">
        <f>(H102-G102)*H101</f>
        <v>3.5682534246575347E-4</v>
      </c>
      <c r="I103" s="239">
        <f>(I102-H102)*I101</f>
        <v>6.3693323630136997E-4</v>
      </c>
      <c r="J103" s="239">
        <f t="shared" ref="J103" si="115">(J102-I102)*J101</f>
        <v>7.5795055119863E-4</v>
      </c>
      <c r="K103" s="239">
        <f t="shared" ref="K103" si="116">(K102-J102)*K101</f>
        <v>1.8039223118527401E-3</v>
      </c>
      <c r="L103" s="239">
        <f>(L102-K102)*L101</f>
        <v>2.1466675511047592E-3</v>
      </c>
    </row>
    <row r="104" spans="2:12" x14ac:dyDescent="0.25">
      <c r="B104" s="189" t="s">
        <v>79</v>
      </c>
      <c r="C104" s="199">
        <f>C103/C$8</f>
        <v>0</v>
      </c>
      <c r="D104" s="199">
        <f>D103/D$8</f>
        <v>0</v>
      </c>
      <c r="E104" s="199">
        <f t="shared" ref="E104" si="117">E103/E$8</f>
        <v>0</v>
      </c>
      <c r="F104" s="199">
        <f t="shared" ref="F104" si="118">F103/F$8</f>
        <v>1.0875416154187021E-3</v>
      </c>
      <c r="G104" s="199">
        <f t="shared" ref="G104" si="119">G103/G$8</f>
        <v>1.2836577252209333E-3</v>
      </c>
      <c r="H104" s="199">
        <f t="shared" ref="H104" si="120">H103/H$8</f>
        <v>1.3258440929302627E-3</v>
      </c>
      <c r="I104" s="199">
        <f t="shared" ref="I104" si="121">I103/I$8</f>
        <v>1.088557861220523E-3</v>
      </c>
      <c r="J104" s="199">
        <f t="shared" ref="J104" si="122">J103/J$8</f>
        <v>6.4484146431434885E-4</v>
      </c>
      <c r="K104" s="199">
        <f t="shared" ref="K104" si="123">K103/K$8</f>
        <v>1.1868607598151562E-3</v>
      </c>
      <c r="L104" s="199">
        <f t="shared" ref="L104" si="124">L103/L$8</f>
        <v>1.1774055366786289E-3</v>
      </c>
    </row>
    <row r="105" spans="2:12" s="196" customFormat="1" ht="16.350000000000001" x14ac:dyDescent="0.25">
      <c r="B105" s="191" t="s">
        <v>56</v>
      </c>
      <c r="C105" s="192">
        <f t="shared" ref="C105:D105" si="125">C102*C101</f>
        <v>0</v>
      </c>
      <c r="D105" s="192">
        <f t="shared" si="125"/>
        <v>0</v>
      </c>
      <c r="E105" s="239">
        <f t="shared" ref="E105:G105" si="126">E102*E101</f>
        <v>0</v>
      </c>
      <c r="F105" s="239">
        <f t="shared" si="126"/>
        <v>2.4288111545988278E-4</v>
      </c>
      <c r="G105" s="239">
        <f t="shared" si="126"/>
        <v>5.997064579256363E-4</v>
      </c>
      <c r="H105" s="239">
        <f>H102*H101</f>
        <v>1.0704760273972606E-3</v>
      </c>
      <c r="I105" s="239">
        <f t="shared" ref="I105:K105" si="127">I102*I101</f>
        <v>1.9107997089041098E-3</v>
      </c>
      <c r="J105" s="239">
        <f t="shared" si="127"/>
        <v>3.0318022047945204E-3</v>
      </c>
      <c r="K105" s="239">
        <f t="shared" si="127"/>
        <v>5.4117669355582196E-3</v>
      </c>
      <c r="L105" s="239">
        <f>L102*L101</f>
        <v>8.5866702044190384E-3</v>
      </c>
    </row>
    <row r="106" spans="2:12" x14ac:dyDescent="0.25">
      <c r="B106" s="189" t="s">
        <v>68</v>
      </c>
      <c r="C106" s="199">
        <f>C105/C$7</f>
        <v>0</v>
      </c>
      <c r="D106" s="199">
        <f t="shared" ref="D106" si="128">D105/D$7</f>
        <v>0</v>
      </c>
      <c r="E106" s="199">
        <f t="shared" ref="E106" si="129">E105/E$7</f>
        <v>0</v>
      </c>
      <c r="F106" s="199">
        <f t="shared" ref="F106" si="130">F105/F$7</f>
        <v>5.5195973277745068E-4</v>
      </c>
      <c r="G106" s="199">
        <f t="shared" ref="G106" si="131">G105/G$7</f>
        <v>8.6603586601378198E-4</v>
      </c>
      <c r="H106" s="199">
        <f t="shared" ref="H106" si="132">H105/H$7</f>
        <v>1.0759804111702164E-3</v>
      </c>
      <c r="I106" s="199">
        <f t="shared" ref="I106" si="133">I105/I$7</f>
        <v>1.1770636556273151E-3</v>
      </c>
      <c r="J106" s="199">
        <f t="shared" ref="J106" si="134">J105/J$7</f>
        <v>1.0544734039659935E-3</v>
      </c>
      <c r="K106" s="199">
        <f t="shared" ref="K106" si="135">K105/K$7</f>
        <v>1.1921415340586507E-3</v>
      </c>
      <c r="L106" s="199">
        <f t="shared" ref="L106" si="136">L105/L$7</f>
        <v>1.2997978935449311E-3</v>
      </c>
    </row>
  </sheetData>
  <phoneticPr fontId="7" type="noConversion"/>
  <pageMargins left="0.7" right="0.7" top="0.75" bottom="0.75" header="0.3" footer="0.3"/>
  <pageSetup paperSize="9"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9E782-5E18-41E1-A98A-4CA123850136}">
  <dimension ref="B1:S27"/>
  <sheetViews>
    <sheetView zoomScale="80" zoomScaleNormal="80" workbookViewId="0">
      <selection activeCell="L13" sqref="L13"/>
    </sheetView>
  </sheetViews>
  <sheetFormatPr defaultColWidth="8.6640625" defaultRowHeight="15.15" x14ac:dyDescent="0.25"/>
  <cols>
    <col min="1" max="2" width="8.6640625" style="118"/>
    <col min="3" max="3" width="41.88671875" style="118" customWidth="1"/>
    <col min="4" max="4" width="29.109375" style="118" customWidth="1"/>
    <col min="5" max="5" width="24.88671875" style="175" customWidth="1"/>
    <col min="6" max="6" width="26.44140625" style="175" customWidth="1"/>
    <col min="7" max="7" width="25.5546875" style="122" customWidth="1"/>
    <col min="8" max="11" width="16.77734375" style="118" customWidth="1"/>
    <col min="12" max="12" width="18.109375" style="118" customWidth="1"/>
    <col min="13" max="13" width="14.109375" style="118" customWidth="1"/>
    <col min="14" max="14" width="9" style="122" bestFit="1" customWidth="1"/>
    <col min="15" max="15" width="25.109375" style="123" bestFit="1" customWidth="1"/>
    <col min="16" max="16" width="20.77734375" style="123" bestFit="1" customWidth="1"/>
    <col min="17" max="17" width="27.109375" style="118" bestFit="1" customWidth="1"/>
    <col min="18" max="18" width="14.33203125" style="118" customWidth="1"/>
    <col min="19" max="19" width="7" style="124" bestFit="1" customWidth="1"/>
    <col min="20" max="16384" width="8.6640625" style="118"/>
  </cols>
  <sheetData>
    <row r="1" spans="2:19" s="107" customFormat="1" ht="12.1" x14ac:dyDescent="0.25">
      <c r="B1" s="105" t="s">
        <v>94</v>
      </c>
      <c r="C1" s="348" t="s">
        <v>95</v>
      </c>
      <c r="D1" s="348"/>
      <c r="E1" s="348"/>
      <c r="F1" s="348"/>
      <c r="G1" s="348"/>
      <c r="H1" s="106"/>
      <c r="I1" s="348"/>
      <c r="J1" s="348"/>
      <c r="K1" s="348"/>
      <c r="L1" s="348"/>
      <c r="M1" s="348"/>
    </row>
    <row r="2" spans="2:19" s="107" customFormat="1" ht="12.1" x14ac:dyDescent="0.25">
      <c r="B2" s="108" t="s">
        <v>94</v>
      </c>
      <c r="C2" s="348" t="s">
        <v>96</v>
      </c>
      <c r="D2" s="348"/>
      <c r="E2" s="348"/>
      <c r="F2" s="348"/>
      <c r="G2" s="348"/>
      <c r="H2" s="106"/>
      <c r="I2" s="106"/>
      <c r="J2" s="109"/>
      <c r="K2" s="109"/>
      <c r="L2" s="109"/>
    </row>
    <row r="3" spans="2:19" s="107" customFormat="1" ht="14.25" customHeight="1" x14ac:dyDescent="0.25">
      <c r="B3" s="110" t="s">
        <v>94</v>
      </c>
      <c r="C3" s="349" t="s">
        <v>97</v>
      </c>
      <c r="D3" s="349"/>
      <c r="E3" s="349"/>
      <c r="F3" s="349"/>
      <c r="G3" s="349"/>
      <c r="H3" s="111"/>
      <c r="I3" s="111"/>
      <c r="J3" s="112"/>
      <c r="K3" s="112"/>
      <c r="L3" s="112"/>
      <c r="M3" s="112"/>
    </row>
    <row r="4" spans="2:19" s="107" customFormat="1" ht="14.25" customHeight="1" x14ac:dyDescent="0.25">
      <c r="C4" s="113"/>
      <c r="D4" s="114"/>
      <c r="E4" s="114"/>
      <c r="F4" s="114"/>
      <c r="G4" s="114"/>
      <c r="H4" s="114"/>
      <c r="I4" s="115"/>
      <c r="J4" s="115"/>
      <c r="K4" s="116"/>
      <c r="L4" s="116"/>
      <c r="M4" s="116"/>
    </row>
    <row r="5" spans="2:19" ht="26.65" thickBot="1" x14ac:dyDescent="0.3">
      <c r="B5" s="117" t="s">
        <v>98</v>
      </c>
      <c r="E5" s="119">
        <f>F7/E7-1</f>
        <v>0.10520072772296696</v>
      </c>
      <c r="F5" s="120"/>
      <c r="G5" s="118"/>
      <c r="H5" s="121"/>
      <c r="M5" s="122"/>
      <c r="N5" s="123"/>
      <c r="P5" s="118"/>
      <c r="R5" s="124"/>
      <c r="S5" s="118"/>
    </row>
    <row r="6" spans="2:19" x14ac:dyDescent="0.25">
      <c r="C6" s="125" t="s">
        <v>99</v>
      </c>
      <c r="D6" s="126" t="s">
        <v>100</v>
      </c>
      <c r="E6" s="127" t="s">
        <v>101</v>
      </c>
      <c r="F6" s="127" t="s">
        <v>102</v>
      </c>
      <c r="G6" s="128" t="s">
        <v>103</v>
      </c>
      <c r="H6" s="128" t="s">
        <v>104</v>
      </c>
      <c r="I6" s="128" t="s">
        <v>105</v>
      </c>
      <c r="J6" s="128" t="s">
        <v>106</v>
      </c>
      <c r="K6" s="128" t="s">
        <v>107</v>
      </c>
      <c r="L6" s="127" t="s">
        <v>108</v>
      </c>
      <c r="M6" s="129" t="s">
        <v>109</v>
      </c>
      <c r="N6" s="123" t="s">
        <v>110</v>
      </c>
      <c r="P6" s="118"/>
      <c r="R6" s="124"/>
      <c r="S6" s="118"/>
    </row>
    <row r="7" spans="2:19" ht="15.75" x14ac:dyDescent="0.25">
      <c r="C7" s="130" t="s">
        <v>111</v>
      </c>
      <c r="D7" s="131">
        <f>[1]建筑!C13</f>
        <v>75214.391300000003</v>
      </c>
      <c r="E7" s="132">
        <f>D7/10</f>
        <v>7521.4391300000007</v>
      </c>
      <c r="F7" s="132">
        <f>[2]交易!D6/10</f>
        <v>8312.7000000000007</v>
      </c>
      <c r="G7" s="118">
        <v>10090</v>
      </c>
      <c r="H7" s="118">
        <v>12240</v>
      </c>
      <c r="I7" s="133">
        <f>POWER(G7/E7,1/5)-1</f>
        <v>6.0518000216547074E-2</v>
      </c>
      <c r="J7" s="133">
        <f>POWER(H7/G7,1/5)-1</f>
        <v>3.9388842050508854E-2</v>
      </c>
      <c r="K7" s="134">
        <f>POWER(H7/F7,1/9)-1</f>
        <v>4.3929173509876129E-2</v>
      </c>
      <c r="L7" s="135" t="s">
        <v>112</v>
      </c>
      <c r="M7" s="136" t="s">
        <v>112</v>
      </c>
      <c r="N7" s="123" t="s">
        <v>113</v>
      </c>
      <c r="P7" s="118"/>
      <c r="R7" s="124"/>
      <c r="S7" s="118"/>
    </row>
    <row r="8" spans="2:19" ht="30.25" x14ac:dyDescent="0.25">
      <c r="C8" s="137" t="s">
        <v>114</v>
      </c>
      <c r="D8" s="132">
        <f>SUM(D9:D14)</f>
        <v>55729.440360000015</v>
      </c>
      <c r="E8" s="132">
        <f>SUM(E9:E14)</f>
        <v>5572.9440360000008</v>
      </c>
      <c r="F8" s="132">
        <f>E8*(1+$E$5)</f>
        <v>6159.2218041465694</v>
      </c>
      <c r="G8" s="138">
        <f>SUM(G9:G14)</f>
        <v>6812.5543126654275</v>
      </c>
      <c r="H8" s="138">
        <f>SUM(H9:H14)</f>
        <v>8239.5935296971256</v>
      </c>
      <c r="I8" s="133">
        <f>POWER(G8/E8,1/5)-1</f>
        <v>4.0986408323436363E-2</v>
      </c>
      <c r="J8" s="133">
        <f>POWER(H8/G8,1/5)-1</f>
        <v>3.8769434236130662E-2</v>
      </c>
      <c r="K8" s="134">
        <f t="shared" ref="K8:K13" si="0">POWER(H8/F8,1/9)-1</f>
        <v>3.2861801131033097E-2</v>
      </c>
      <c r="L8" s="135" t="s">
        <v>112</v>
      </c>
      <c r="M8" s="136" t="s">
        <v>112</v>
      </c>
      <c r="N8" s="123"/>
      <c r="P8" s="118"/>
      <c r="R8" s="124"/>
      <c r="S8" s="118"/>
    </row>
    <row r="9" spans="2:19" ht="15.75" x14ac:dyDescent="0.25">
      <c r="C9" s="139" t="s">
        <v>115</v>
      </c>
      <c r="D9" s="140">
        <f>[1]工业!D3</f>
        <v>32876.590200000006</v>
      </c>
      <c r="E9" s="132">
        <f t="shared" ref="E9:E14" si="1">D9/10</f>
        <v>3287.6590200000005</v>
      </c>
      <c r="F9" s="132">
        <f t="shared" ref="F9:F11" si="2">E9*(1+$E$5)</f>
        <v>3633.5231414089772</v>
      </c>
      <c r="G9" s="141">
        <f>E9*(1+I9)^5</f>
        <v>3254.9136734109866</v>
      </c>
      <c r="H9" s="141">
        <f t="shared" ref="H9:H14" si="3">G9*(1+J9)^5</f>
        <v>3238.6716216478003</v>
      </c>
      <c r="I9" s="133">
        <v>-2E-3</v>
      </c>
      <c r="J9" s="133">
        <v>-1E-3</v>
      </c>
      <c r="K9" s="134">
        <f t="shared" si="0"/>
        <v>-1.270082036469744E-2</v>
      </c>
      <c r="L9" s="135" t="s">
        <v>112</v>
      </c>
      <c r="M9" s="142">
        <f>911/E9</f>
        <v>0.27709686267890393</v>
      </c>
      <c r="N9" s="123"/>
      <c r="P9" s="118"/>
      <c r="R9" s="124"/>
      <c r="S9" s="118"/>
    </row>
    <row r="10" spans="2:19" ht="15.75" x14ac:dyDescent="0.25">
      <c r="C10" s="139" t="s">
        <v>116</v>
      </c>
      <c r="D10" s="140">
        <f>[1]工业!D37</f>
        <v>7430.6404000000002</v>
      </c>
      <c r="E10" s="132">
        <f t="shared" si="1"/>
        <v>743.06403999999998</v>
      </c>
      <c r="F10" s="132">
        <f t="shared" si="2"/>
        <v>821.23491775276784</v>
      </c>
      <c r="G10" s="141">
        <f>E10*(1+I10)^5</f>
        <v>1143.2961319687722</v>
      </c>
      <c r="H10" s="141">
        <f t="shared" si="3"/>
        <v>1529.9881265717565</v>
      </c>
      <c r="I10" s="208">
        <v>0.09</v>
      </c>
      <c r="J10" s="133">
        <v>0.06</v>
      </c>
      <c r="K10" s="134">
        <f t="shared" si="0"/>
        <v>7.157979709057849E-2</v>
      </c>
      <c r="L10" s="135" t="s">
        <v>112</v>
      </c>
      <c r="M10" s="142">
        <f>215/E10</f>
        <v>0.28934249058802525</v>
      </c>
      <c r="N10" s="123"/>
      <c r="P10" s="118"/>
      <c r="R10" s="124"/>
      <c r="S10" s="118"/>
    </row>
    <row r="11" spans="2:19" ht="15.75" x14ac:dyDescent="0.25">
      <c r="C11" s="139" t="s">
        <v>117</v>
      </c>
      <c r="D11" s="140">
        <f>[1]建筑!C9</f>
        <v>8562.3804799999998</v>
      </c>
      <c r="E11" s="132">
        <f t="shared" si="1"/>
        <v>856.23804799999994</v>
      </c>
      <c r="F11" s="132">
        <f t="shared" si="2"/>
        <v>946.31491375369262</v>
      </c>
      <c r="G11" s="141">
        <f>E11*(1+I11)^5</f>
        <v>1092.80083377339</v>
      </c>
      <c r="H11" s="141">
        <f t="shared" si="3"/>
        <v>1394.7215556296051</v>
      </c>
      <c r="I11" s="208">
        <v>0.05</v>
      </c>
      <c r="J11" s="133">
        <v>0.05</v>
      </c>
      <c r="K11" s="134">
        <f t="shared" si="0"/>
        <v>4.4039355369215993E-2</v>
      </c>
      <c r="L11" s="143">
        <f>[1]建筑!C11</f>
        <v>90.666666666666671</v>
      </c>
      <c r="M11" s="142" t="s">
        <v>112</v>
      </c>
      <c r="N11" s="123"/>
      <c r="P11" s="118"/>
      <c r="R11" s="124"/>
      <c r="S11" s="118"/>
    </row>
    <row r="12" spans="2:19" ht="15.75" x14ac:dyDescent="0.25">
      <c r="C12" s="139" t="s">
        <v>118</v>
      </c>
      <c r="D12" s="140">
        <f>[1]建筑!C6</f>
        <v>4700.4292800000003</v>
      </c>
      <c r="E12" s="132">
        <f t="shared" si="1"/>
        <v>470.04292800000002</v>
      </c>
      <c r="F12" s="132">
        <f>E12*(1+$E$5)</f>
        <v>519.49178608663419</v>
      </c>
      <c r="G12" s="141">
        <f>E12*(1+I12)^5</f>
        <v>757.00883597328027</v>
      </c>
      <c r="H12" s="141">
        <f t="shared" si="3"/>
        <v>1013.0485867686471</v>
      </c>
      <c r="I12" s="208">
        <v>0.1</v>
      </c>
      <c r="J12" s="133">
        <v>0.06</v>
      </c>
      <c r="K12" s="134">
        <f t="shared" si="0"/>
        <v>7.7030381826994621E-2</v>
      </c>
      <c r="L12" s="143">
        <f>[1]建筑!C8</f>
        <v>136</v>
      </c>
      <c r="M12" s="142">
        <v>0.15</v>
      </c>
      <c r="N12" s="123"/>
      <c r="P12" s="118"/>
      <c r="R12" s="124"/>
      <c r="S12" s="118"/>
    </row>
    <row r="13" spans="2:19" ht="15.75" x14ac:dyDescent="0.25">
      <c r="C13" s="139" t="s">
        <v>119</v>
      </c>
      <c r="D13" s="140">
        <v>2043</v>
      </c>
      <c r="E13" s="132">
        <f>D13/10</f>
        <v>204.3</v>
      </c>
      <c r="F13" s="132">
        <f>E13*(1+$E$5)</f>
        <v>225.79250867380216</v>
      </c>
      <c r="G13" s="141">
        <f>E13*(1+I13)^5</f>
        <v>487.53205271756997</v>
      </c>
      <c r="H13" s="141">
        <f t="shared" si="3"/>
        <v>785.17524622217388</v>
      </c>
      <c r="I13" s="208">
        <v>0.19</v>
      </c>
      <c r="J13" s="133">
        <v>0.1</v>
      </c>
      <c r="K13" s="134">
        <f t="shared" si="0"/>
        <v>0.14852294136286859</v>
      </c>
      <c r="L13" s="143">
        <f>D13*100000000/74000</f>
        <v>2760810.8108108109</v>
      </c>
      <c r="M13" s="142">
        <v>0.71599999999999997</v>
      </c>
      <c r="N13" s="123"/>
      <c r="P13" s="118"/>
      <c r="R13" s="124"/>
      <c r="S13" s="118"/>
    </row>
    <row r="14" spans="2:19" ht="16.350000000000001" thickBot="1" x14ac:dyDescent="0.4">
      <c r="C14" s="144" t="s">
        <v>120</v>
      </c>
      <c r="D14" s="145">
        <v>116.4</v>
      </c>
      <c r="E14" s="146">
        <f t="shared" si="1"/>
        <v>11.64</v>
      </c>
      <c r="F14" s="146">
        <f>'[1]测算_荷（电动出行）'!C20</f>
        <v>21.79429</v>
      </c>
      <c r="G14" s="147">
        <f>F14*(1+I14)^4</f>
        <v>77.002784821428591</v>
      </c>
      <c r="H14" s="147">
        <f t="shared" si="3"/>
        <v>277.98839285714286</v>
      </c>
      <c r="I14" s="209">
        <f>'[1]测算_荷（电动出行）'!C23</f>
        <v>0.37101095999270184</v>
      </c>
      <c r="J14" s="148">
        <f>'[1]测算_荷（电动出行）'!C24</f>
        <v>0.29271874461061986</v>
      </c>
      <c r="K14" s="149">
        <f>'[1]测算_荷（电动出行）'!C25</f>
        <v>0.32694759241951332</v>
      </c>
      <c r="L14" s="150">
        <f>D14*100000000/1539000</f>
        <v>7563.3528265107216</v>
      </c>
      <c r="M14" s="151">
        <v>0.79</v>
      </c>
      <c r="N14" s="123"/>
      <c r="P14" s="118"/>
      <c r="R14" s="124"/>
      <c r="S14" s="118"/>
    </row>
    <row r="15" spans="2:19" ht="15.75" x14ac:dyDescent="0.25">
      <c r="D15" s="152"/>
      <c r="E15" s="152"/>
      <c r="F15" s="153">
        <f>F10+F9</f>
        <v>4454.7580591617452</v>
      </c>
      <c r="G15" s="153">
        <f>G10+G9</f>
        <v>4398.209805379759</v>
      </c>
      <c r="H15" s="134">
        <f>POWER(G15/F15,1/4)-1</f>
        <v>-3.1886942863321721E-3</v>
      </c>
    </row>
    <row r="16" spans="2:19" ht="26.65" thickBot="1" x14ac:dyDescent="0.3">
      <c r="B16" s="117" t="s">
        <v>121</v>
      </c>
      <c r="E16" s="154"/>
      <c r="F16" s="153">
        <f>F13</f>
        <v>225.79250867380216</v>
      </c>
      <c r="G16" s="153">
        <f>G13</f>
        <v>487.53205271756997</v>
      </c>
      <c r="H16" s="134">
        <f>POWER(G16/F16,1/4)-1</f>
        <v>0.21219757589227539</v>
      </c>
      <c r="I16" s="152"/>
      <c r="J16" s="152"/>
      <c r="K16" s="152"/>
    </row>
    <row r="17" spans="3:19" x14ac:dyDescent="0.25">
      <c r="C17" s="155" t="s">
        <v>122</v>
      </c>
      <c r="D17" s="128"/>
      <c r="E17" s="126">
        <v>1</v>
      </c>
      <c r="F17" s="156"/>
      <c r="G17" s="157"/>
      <c r="H17" s="158"/>
      <c r="I17" s="159"/>
    </row>
    <row r="18" spans="3:19" x14ac:dyDescent="0.25">
      <c r="C18" s="160" t="s">
        <v>121</v>
      </c>
      <c r="D18" s="161" t="s">
        <v>123</v>
      </c>
      <c r="E18" s="162" t="s">
        <v>124</v>
      </c>
      <c r="F18" s="162" t="s">
        <v>125</v>
      </c>
      <c r="G18" s="162" t="s">
        <v>126</v>
      </c>
      <c r="H18" s="162" t="s">
        <v>127</v>
      </c>
      <c r="I18" s="163" t="s">
        <v>109</v>
      </c>
      <c r="K18" s="122"/>
      <c r="L18" s="123"/>
      <c r="N18" s="118"/>
      <c r="O18" s="124"/>
      <c r="P18" s="118"/>
      <c r="S18" s="118"/>
    </row>
    <row r="19" spans="3:19" x14ac:dyDescent="0.25">
      <c r="C19" s="164" t="s">
        <v>128</v>
      </c>
      <c r="D19" s="165"/>
      <c r="E19" s="165"/>
      <c r="F19" s="165">
        <v>1</v>
      </c>
      <c r="G19" s="165">
        <v>1</v>
      </c>
      <c r="H19" s="165">
        <v>1</v>
      </c>
      <c r="I19" s="166"/>
      <c r="K19" s="122"/>
      <c r="L19" s="123"/>
      <c r="N19" s="118"/>
      <c r="O19" s="124"/>
      <c r="P19" s="118"/>
      <c r="S19" s="118"/>
    </row>
    <row r="20" spans="3:19" ht="15.75" x14ac:dyDescent="0.25">
      <c r="C20" s="130" t="s">
        <v>111</v>
      </c>
      <c r="D20" s="143">
        <f t="shared" ref="D20:H27" si="4">D7*$E$17</f>
        <v>75214.391300000003</v>
      </c>
      <c r="E20" s="167">
        <f t="shared" si="4"/>
        <v>7521.4391300000007</v>
      </c>
      <c r="F20" s="168">
        <f>F7*F19</f>
        <v>8312.7000000000007</v>
      </c>
      <c r="G20" s="169">
        <v>10090</v>
      </c>
      <c r="H20" s="169">
        <v>12240</v>
      </c>
      <c r="I20" s="136" t="s">
        <v>112</v>
      </c>
      <c r="K20" s="122"/>
      <c r="L20" s="123"/>
      <c r="N20" s="118"/>
      <c r="O20" s="124"/>
      <c r="P20" s="118"/>
      <c r="S20" s="118"/>
    </row>
    <row r="21" spans="3:19" ht="30.25" x14ac:dyDescent="0.25">
      <c r="C21" s="137" t="s">
        <v>114</v>
      </c>
      <c r="D21" s="143">
        <f t="shared" si="4"/>
        <v>55729.440360000015</v>
      </c>
      <c r="E21" s="167">
        <f t="shared" si="4"/>
        <v>5572.9440360000008</v>
      </c>
      <c r="F21" s="168">
        <f t="shared" si="4"/>
        <v>6159.2218041465694</v>
      </c>
      <c r="G21" s="170">
        <f>SUM(G22:G27)</f>
        <v>6812.5543126654275</v>
      </c>
      <c r="H21" s="170">
        <f>SUM(H22:H27)</f>
        <v>8239.5935296971256</v>
      </c>
      <c r="I21" s="136" t="s">
        <v>112</v>
      </c>
      <c r="K21" s="122"/>
      <c r="L21" s="123"/>
      <c r="M21" s="123"/>
      <c r="N21" s="118"/>
      <c r="O21" s="118"/>
      <c r="P21" s="124"/>
      <c r="S21" s="118"/>
    </row>
    <row r="22" spans="3:19" x14ac:dyDescent="0.25">
      <c r="C22" s="139" t="s">
        <v>115</v>
      </c>
      <c r="D22" s="171" t="e">
        <f>#REF!*$E$17</f>
        <v>#REF!</v>
      </c>
      <c r="E22" s="167">
        <f t="shared" si="4"/>
        <v>3287.6590200000005</v>
      </c>
      <c r="F22" s="172">
        <f t="shared" si="4"/>
        <v>3633.5231414089772</v>
      </c>
      <c r="G22" s="172">
        <f t="shared" si="4"/>
        <v>3254.9136734109866</v>
      </c>
      <c r="H22" s="172">
        <f t="shared" si="4"/>
        <v>3238.6716216478003</v>
      </c>
      <c r="I22" s="142">
        <f>911/E22</f>
        <v>0.27709686267890393</v>
      </c>
      <c r="K22" s="122"/>
      <c r="L22" s="123"/>
      <c r="M22" s="123"/>
      <c r="N22" s="118"/>
      <c r="O22" s="118"/>
      <c r="P22" s="124"/>
      <c r="S22" s="118"/>
    </row>
    <row r="23" spans="3:19" x14ac:dyDescent="0.25">
      <c r="C23" s="139" t="s">
        <v>116</v>
      </c>
      <c r="D23" s="143">
        <f>D9*$E$17</f>
        <v>32876.590200000006</v>
      </c>
      <c r="E23" s="167">
        <f t="shared" si="4"/>
        <v>743.06403999999998</v>
      </c>
      <c r="F23" s="172">
        <f t="shared" si="4"/>
        <v>821.23491775276784</v>
      </c>
      <c r="G23" s="172">
        <f t="shared" si="4"/>
        <v>1143.2961319687722</v>
      </c>
      <c r="H23" s="172">
        <f t="shared" si="4"/>
        <v>1529.9881265717565</v>
      </c>
      <c r="I23" s="142">
        <f>215/E23</f>
        <v>0.28934249058802525</v>
      </c>
      <c r="K23" s="122"/>
      <c r="L23" s="123"/>
      <c r="M23" s="123"/>
      <c r="N23" s="118"/>
      <c r="O23" s="118"/>
      <c r="P23" s="124"/>
      <c r="S23" s="118"/>
    </row>
    <row r="24" spans="3:19" x14ac:dyDescent="0.25">
      <c r="C24" s="139" t="s">
        <v>117</v>
      </c>
      <c r="D24" s="143">
        <f>D10*$E$17</f>
        <v>7430.6404000000002</v>
      </c>
      <c r="E24" s="167">
        <f t="shared" si="4"/>
        <v>856.23804799999994</v>
      </c>
      <c r="F24" s="172">
        <f t="shared" si="4"/>
        <v>946.31491375369262</v>
      </c>
      <c r="G24" s="172">
        <f t="shared" si="4"/>
        <v>1092.80083377339</v>
      </c>
      <c r="H24" s="172">
        <f t="shared" si="4"/>
        <v>1394.7215556296051</v>
      </c>
      <c r="I24" s="142">
        <f>(H24/E24)^(1/10)-1</f>
        <v>5.0000000000000044E-2</v>
      </c>
      <c r="K24" s="122"/>
      <c r="L24" s="123"/>
      <c r="M24" s="123"/>
      <c r="N24" s="118"/>
      <c r="O24" s="118"/>
      <c r="P24" s="124"/>
      <c r="S24" s="118"/>
    </row>
    <row r="25" spans="3:19" x14ac:dyDescent="0.25">
      <c r="C25" s="139" t="s">
        <v>118</v>
      </c>
      <c r="D25" s="143">
        <f>D11*$E$17</f>
        <v>8562.3804799999998</v>
      </c>
      <c r="E25" s="167">
        <f t="shared" si="4"/>
        <v>470.04292800000002</v>
      </c>
      <c r="F25" s="172">
        <f t="shared" si="4"/>
        <v>519.49178608663419</v>
      </c>
      <c r="G25" s="172">
        <f t="shared" si="4"/>
        <v>757.00883597328027</v>
      </c>
      <c r="H25" s="172">
        <f t="shared" si="4"/>
        <v>1013.0485867686471</v>
      </c>
      <c r="I25" s="142">
        <v>0.15</v>
      </c>
      <c r="K25" s="122"/>
      <c r="L25" s="123"/>
      <c r="M25" s="123"/>
      <c r="N25" s="118"/>
      <c r="O25" s="118"/>
      <c r="P25" s="124"/>
      <c r="S25" s="118"/>
    </row>
    <row r="26" spans="3:19" x14ac:dyDescent="0.25">
      <c r="C26" s="139" t="s">
        <v>119</v>
      </c>
      <c r="D26" s="143">
        <f>D12*$E$17</f>
        <v>4700.4292800000003</v>
      </c>
      <c r="E26" s="167">
        <f t="shared" si="4"/>
        <v>204.3</v>
      </c>
      <c r="F26" s="172">
        <f t="shared" si="4"/>
        <v>225.79250867380216</v>
      </c>
      <c r="G26" s="172">
        <f t="shared" si="4"/>
        <v>487.53205271756997</v>
      </c>
      <c r="H26" s="172">
        <f t="shared" si="4"/>
        <v>785.17524622217388</v>
      </c>
      <c r="I26" s="142">
        <v>0.71599999999999997</v>
      </c>
      <c r="K26" s="122"/>
      <c r="L26" s="123"/>
      <c r="M26" s="123"/>
      <c r="N26" s="118"/>
      <c r="O26" s="118"/>
      <c r="P26" s="124"/>
      <c r="S26" s="118"/>
    </row>
    <row r="27" spans="3:19" ht="15.75" thickBot="1" x14ac:dyDescent="0.4">
      <c r="C27" s="144" t="s">
        <v>120</v>
      </c>
      <c r="D27" s="150">
        <f>D14*$E$17</f>
        <v>116.4</v>
      </c>
      <c r="E27" s="173">
        <f>E14*$E$17</f>
        <v>11.64</v>
      </c>
      <c r="F27" s="174">
        <f>F14*$E$17</f>
        <v>21.79429</v>
      </c>
      <c r="G27" s="174">
        <f t="shared" si="4"/>
        <v>77.002784821428591</v>
      </c>
      <c r="H27" s="174">
        <f t="shared" si="4"/>
        <v>277.98839285714286</v>
      </c>
      <c r="I27" s="151">
        <v>0.79</v>
      </c>
      <c r="K27" s="122"/>
      <c r="L27" s="123"/>
      <c r="M27" s="123"/>
      <c r="N27" s="118"/>
      <c r="O27" s="118"/>
      <c r="P27" s="124"/>
      <c r="S27" s="118"/>
    </row>
  </sheetData>
  <mergeCells count="4">
    <mergeCell ref="C1:G1"/>
    <mergeCell ref="I1:M1"/>
    <mergeCell ref="C2:G2"/>
    <mergeCell ref="C3:G3"/>
  </mergeCells>
  <phoneticPr fontId="7" type="noConversion"/>
  <conditionalFormatting sqref="I20:I21">
    <cfRule type="dataBar" priority="2">
      <dataBar>
        <cfvo type="min"/>
        <cfvo type="max"/>
        <color rgb="FF63C384"/>
      </dataBar>
      <extLst>
        <ext xmlns:x14="http://schemas.microsoft.com/office/spreadsheetml/2009/9/main" uri="{B025F937-C7B1-47D3-B67F-A62EFF666E3E}">
          <x14:id>{09307F2F-C18C-4034-881F-F719EAA43989}</x14:id>
        </ext>
      </extLst>
    </cfRule>
  </conditionalFormatting>
  <conditionalFormatting sqref="L9:L10">
    <cfRule type="dataBar" priority="1">
      <dataBar>
        <cfvo type="min"/>
        <cfvo type="max"/>
        <color rgb="FF63C384"/>
      </dataBar>
      <extLst>
        <ext xmlns:x14="http://schemas.microsoft.com/office/spreadsheetml/2009/9/main" uri="{B025F937-C7B1-47D3-B67F-A62EFF666E3E}">
          <x14:id>{3051AE47-6894-47AA-AA24-56515E5C80C5}</x14:id>
        </ext>
      </extLst>
    </cfRule>
  </conditionalFormatting>
  <conditionalFormatting sqref="M7:M8">
    <cfRule type="dataBar" priority="3">
      <dataBar>
        <cfvo type="min"/>
        <cfvo type="max"/>
        <color rgb="FF63C384"/>
      </dataBar>
      <extLst>
        <ext xmlns:x14="http://schemas.microsoft.com/office/spreadsheetml/2009/9/main" uri="{B025F937-C7B1-47D3-B67F-A62EFF666E3E}">
          <x14:id>{F72210CC-8D6A-49F4-A07B-90E7078ACDF7}</x14:id>
        </ext>
      </extLst>
    </cfRule>
  </conditionalFormatting>
  <conditionalFormatting sqref="L7:L8">
    <cfRule type="dataBar" priority="4">
      <dataBar>
        <cfvo type="min"/>
        <cfvo type="max"/>
        <color rgb="FF63C384"/>
      </dataBar>
      <extLst>
        <ext xmlns:x14="http://schemas.microsoft.com/office/spreadsheetml/2009/9/main" uri="{B025F937-C7B1-47D3-B67F-A62EFF666E3E}">
          <x14:id>{ECF2A415-28B9-44B1-8083-F0462C1DC6A4}</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09307F2F-C18C-4034-881F-F719EAA43989}">
            <x14:dataBar minLength="0" maxLength="100" border="1" negativeBarBorderColorSameAsPositive="0">
              <x14:cfvo type="autoMin"/>
              <x14:cfvo type="autoMax"/>
              <x14:borderColor rgb="FF63C384"/>
              <x14:negativeFillColor rgb="FFFF0000"/>
              <x14:negativeBorderColor rgb="FFFF0000"/>
              <x14:axisColor rgb="FF000000"/>
            </x14:dataBar>
          </x14:cfRule>
          <xm:sqref>I20:I21</xm:sqref>
        </x14:conditionalFormatting>
        <x14:conditionalFormatting xmlns:xm="http://schemas.microsoft.com/office/excel/2006/main">
          <x14:cfRule type="dataBar" id="{3051AE47-6894-47AA-AA24-56515E5C80C5}">
            <x14:dataBar minLength="0" maxLength="100" border="1" negativeBarBorderColorSameAsPositive="0">
              <x14:cfvo type="autoMin"/>
              <x14:cfvo type="autoMax"/>
              <x14:borderColor rgb="FF63C384"/>
              <x14:negativeFillColor rgb="FFFF0000"/>
              <x14:negativeBorderColor rgb="FFFF0000"/>
              <x14:axisColor rgb="FF000000"/>
            </x14:dataBar>
          </x14:cfRule>
          <xm:sqref>L9:L10</xm:sqref>
        </x14:conditionalFormatting>
        <x14:conditionalFormatting xmlns:xm="http://schemas.microsoft.com/office/excel/2006/main">
          <x14:cfRule type="dataBar" id="{F72210CC-8D6A-49F4-A07B-90E7078ACDF7}">
            <x14:dataBar minLength="0" maxLength="100" border="1" negativeBarBorderColorSameAsPositive="0">
              <x14:cfvo type="autoMin"/>
              <x14:cfvo type="autoMax"/>
              <x14:borderColor rgb="FF63C384"/>
              <x14:negativeFillColor rgb="FFFF0000"/>
              <x14:negativeBorderColor rgb="FFFF0000"/>
              <x14:axisColor rgb="FF000000"/>
            </x14:dataBar>
          </x14:cfRule>
          <xm:sqref>M7:M8</xm:sqref>
        </x14:conditionalFormatting>
        <x14:conditionalFormatting xmlns:xm="http://schemas.microsoft.com/office/excel/2006/main">
          <x14:cfRule type="dataBar" id="{ECF2A415-28B9-44B1-8083-F0462C1DC6A4}">
            <x14:dataBar minLength="0" maxLength="100" border="1" negativeBarBorderColorSameAsPositive="0">
              <x14:cfvo type="autoMin"/>
              <x14:cfvo type="autoMax"/>
              <x14:borderColor rgb="FF63C384"/>
              <x14:negativeFillColor rgb="FFFF0000"/>
              <x14:negativeBorderColor rgb="FFFF0000"/>
              <x14:axisColor rgb="FF000000"/>
            </x14:dataBar>
          </x14:cfRule>
          <xm:sqref>L7:L8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4500C-84EB-4DFF-84AE-8603DCCBBD1A}">
  <dimension ref="A1:D78"/>
  <sheetViews>
    <sheetView topLeftCell="A28" zoomScaleNormal="100" workbookViewId="0">
      <selection activeCell="C38" sqref="C38"/>
    </sheetView>
  </sheetViews>
  <sheetFormatPr defaultColWidth="8.44140625" defaultRowHeight="13.95" x14ac:dyDescent="0.25"/>
  <cols>
    <col min="1" max="1" width="5.109375" style="214" bestFit="1" customWidth="1"/>
    <col min="2" max="2" width="9.109375" style="214" customWidth="1"/>
    <col min="3" max="3" width="39" style="226" bestFit="1" customWidth="1"/>
    <col min="4" max="4" width="29.33203125" style="214" bestFit="1" customWidth="1"/>
    <col min="5" max="10" width="8.88671875" style="214" customWidth="1"/>
    <col min="11" max="11" width="8.44140625" style="214"/>
    <col min="12" max="12" width="10.6640625" style="214" customWidth="1"/>
    <col min="13" max="13" width="19.6640625" style="214" customWidth="1"/>
    <col min="14" max="14" width="17.21875" style="214" customWidth="1"/>
    <col min="15" max="15" width="10.88671875" style="214" customWidth="1"/>
    <col min="16" max="16384" width="8.44140625" style="214"/>
  </cols>
  <sheetData>
    <row r="1" spans="1:4" ht="15.75" x14ac:dyDescent="0.25">
      <c r="A1" s="350" t="s">
        <v>138</v>
      </c>
      <c r="B1" s="350"/>
      <c r="C1" s="350"/>
      <c r="D1" s="213" t="s">
        <v>139</v>
      </c>
    </row>
    <row r="2" spans="1:4" ht="15.75" x14ac:dyDescent="0.25">
      <c r="A2" s="351"/>
      <c r="B2" s="350"/>
      <c r="C2" s="351"/>
      <c r="D2" s="215" t="s">
        <v>140</v>
      </c>
    </row>
    <row r="3" spans="1:4" ht="15" customHeight="1" x14ac:dyDescent="0.25">
      <c r="A3" s="352" t="s">
        <v>141</v>
      </c>
      <c r="B3" s="355" t="s">
        <v>142</v>
      </c>
      <c r="C3" s="216" t="s">
        <v>143</v>
      </c>
      <c r="D3" s="217">
        <f>D4+D8+D11+D16+SUM(D21:D36)</f>
        <v>32876.590200000006</v>
      </c>
    </row>
    <row r="4" spans="1:4" ht="14.25" customHeight="1" x14ac:dyDescent="0.25">
      <c r="A4" s="353"/>
      <c r="B4" s="356"/>
      <c r="C4" s="218" t="s">
        <v>144</v>
      </c>
      <c r="D4" s="219">
        <v>6642.6004000000003</v>
      </c>
    </row>
    <row r="5" spans="1:4" ht="14.55" x14ac:dyDescent="0.25">
      <c r="A5" s="353"/>
      <c r="B5" s="356"/>
      <c r="C5" s="220" t="s">
        <v>145</v>
      </c>
      <c r="D5" s="221">
        <v>5266.8985000000002</v>
      </c>
    </row>
    <row r="6" spans="1:4" ht="14.55" x14ac:dyDescent="0.25">
      <c r="A6" s="353"/>
      <c r="B6" s="356"/>
      <c r="C6" s="220" t="s">
        <v>146</v>
      </c>
      <c r="D6" s="221">
        <v>184.07249999999999</v>
      </c>
    </row>
    <row r="7" spans="1:4" ht="14.55" x14ac:dyDescent="0.25">
      <c r="A7" s="353"/>
      <c r="B7" s="356"/>
      <c r="C7" s="220" t="s">
        <v>147</v>
      </c>
      <c r="D7" s="221">
        <v>80.884299999999996</v>
      </c>
    </row>
    <row r="8" spans="1:4" ht="14.55" x14ac:dyDescent="0.25">
      <c r="A8" s="353"/>
      <c r="B8" s="356"/>
      <c r="C8" s="218" t="s">
        <v>148</v>
      </c>
      <c r="D8" s="219">
        <v>5949.9543000000003</v>
      </c>
    </row>
    <row r="9" spans="1:4" ht="14.55" x14ac:dyDescent="0.25">
      <c r="A9" s="353"/>
      <c r="B9" s="356"/>
      <c r="C9" s="220" t="s">
        <v>149</v>
      </c>
      <c r="D9" s="221">
        <v>4206.8145999999997</v>
      </c>
    </row>
    <row r="10" spans="1:4" ht="14.55" x14ac:dyDescent="0.25">
      <c r="A10" s="353"/>
      <c r="B10" s="356"/>
      <c r="C10" s="220" t="s">
        <v>150</v>
      </c>
      <c r="D10" s="221">
        <v>1644.3819000000001</v>
      </c>
    </row>
    <row r="11" spans="1:4" ht="14.55" x14ac:dyDescent="0.25">
      <c r="A11" s="353"/>
      <c r="B11" s="356"/>
      <c r="C11" s="218" t="s">
        <v>151</v>
      </c>
      <c r="D11" s="219">
        <v>4783.9282000000003</v>
      </c>
    </row>
    <row r="12" spans="1:4" ht="14.55" x14ac:dyDescent="0.25">
      <c r="A12" s="353"/>
      <c r="B12" s="356"/>
      <c r="C12" s="220" t="s">
        <v>152</v>
      </c>
      <c r="D12" s="221">
        <v>559.14459999999997</v>
      </c>
    </row>
    <row r="13" spans="1:4" ht="14.55" x14ac:dyDescent="0.25">
      <c r="A13" s="353"/>
      <c r="B13" s="356"/>
      <c r="C13" s="220" t="s">
        <v>153</v>
      </c>
      <c r="D13" s="221">
        <v>897.20830000000001</v>
      </c>
    </row>
    <row r="14" spans="1:4" ht="14.55" x14ac:dyDescent="0.25">
      <c r="A14" s="353"/>
      <c r="B14" s="356"/>
      <c r="C14" s="220" t="s">
        <v>154</v>
      </c>
      <c r="D14" s="221">
        <v>121.89960000000001</v>
      </c>
    </row>
    <row r="15" spans="1:4" ht="14.55" x14ac:dyDescent="0.25">
      <c r="A15" s="353"/>
      <c r="B15" s="356"/>
      <c r="C15" s="220" t="s">
        <v>155</v>
      </c>
      <c r="D15" s="221">
        <v>723.17729999999995</v>
      </c>
    </row>
    <row r="16" spans="1:4" ht="14.55" x14ac:dyDescent="0.25">
      <c r="A16" s="353"/>
      <c r="B16" s="356"/>
      <c r="C16" s="218" t="s">
        <v>156</v>
      </c>
      <c r="D16" s="219">
        <v>3929.5293000000001</v>
      </c>
    </row>
    <row r="17" spans="1:4" ht="14.55" x14ac:dyDescent="0.25">
      <c r="A17" s="353"/>
      <c r="B17" s="356"/>
      <c r="C17" s="220" t="s">
        <v>157</v>
      </c>
      <c r="D17" s="221">
        <v>1519.5343</v>
      </c>
    </row>
    <row r="18" spans="1:4" ht="14.55" x14ac:dyDescent="0.25">
      <c r="A18" s="353"/>
      <c r="B18" s="356"/>
      <c r="C18" s="220" t="s">
        <v>158</v>
      </c>
      <c r="D18" s="221">
        <v>164.34299999999999</v>
      </c>
    </row>
    <row r="19" spans="1:4" ht="14.55" x14ac:dyDescent="0.25">
      <c r="A19" s="353"/>
      <c r="B19" s="356"/>
      <c r="C19" s="220" t="s">
        <v>159</v>
      </c>
      <c r="D19" s="221">
        <v>371.25729999999999</v>
      </c>
    </row>
    <row r="20" spans="1:4" ht="14.55" x14ac:dyDescent="0.25">
      <c r="A20" s="353"/>
      <c r="B20" s="356"/>
      <c r="C20" s="220" t="s">
        <v>160</v>
      </c>
      <c r="D20" s="221">
        <v>153.5343</v>
      </c>
    </row>
    <row r="21" spans="1:4" ht="14.55" x14ac:dyDescent="0.25">
      <c r="A21" s="353"/>
      <c r="B21" s="356"/>
      <c r="C21" s="222" t="s">
        <v>161</v>
      </c>
      <c r="D21" s="221">
        <v>2175.0266000000001</v>
      </c>
    </row>
    <row r="22" spans="1:4" ht="18" customHeight="1" x14ac:dyDescent="0.25">
      <c r="A22" s="353"/>
      <c r="B22" s="356"/>
      <c r="C22" s="222" t="s">
        <v>162</v>
      </c>
      <c r="D22" s="221">
        <v>1480.7647999999999</v>
      </c>
    </row>
    <row r="23" spans="1:4" ht="14.55" x14ac:dyDescent="0.25">
      <c r="A23" s="353"/>
      <c r="B23" s="356"/>
      <c r="C23" s="223" t="s">
        <v>163</v>
      </c>
      <c r="D23" s="219">
        <v>1357.828</v>
      </c>
    </row>
    <row r="24" spans="1:4" ht="14.55" x14ac:dyDescent="0.25">
      <c r="A24" s="353"/>
      <c r="B24" s="356"/>
      <c r="C24" s="223" t="s">
        <v>164</v>
      </c>
      <c r="D24" s="221">
        <v>908.80949999999996</v>
      </c>
    </row>
    <row r="25" spans="1:4" ht="14.55" x14ac:dyDescent="0.25">
      <c r="A25" s="353"/>
      <c r="B25" s="356"/>
      <c r="C25" s="222" t="s">
        <v>165</v>
      </c>
      <c r="D25" s="221">
        <v>981.00909999999999</v>
      </c>
    </row>
    <row r="26" spans="1:4" ht="14.55" x14ac:dyDescent="0.25">
      <c r="A26" s="353"/>
      <c r="B26" s="356"/>
      <c r="C26" s="222" t="s">
        <v>166</v>
      </c>
      <c r="D26" s="221">
        <v>919.12689999999998</v>
      </c>
    </row>
    <row r="27" spans="1:4" ht="14.55" x14ac:dyDescent="0.25">
      <c r="A27" s="353"/>
      <c r="B27" s="356"/>
      <c r="C27" s="222" t="s">
        <v>167</v>
      </c>
      <c r="D27" s="221">
        <v>568.51710000000003</v>
      </c>
    </row>
    <row r="28" spans="1:4" ht="14.55" x14ac:dyDescent="0.25">
      <c r="A28" s="353"/>
      <c r="B28" s="356"/>
      <c r="C28" s="222" t="s">
        <v>168</v>
      </c>
      <c r="D28" s="221">
        <v>463.3245</v>
      </c>
    </row>
    <row r="29" spans="1:4" ht="14.55" x14ac:dyDescent="0.25">
      <c r="A29" s="353"/>
      <c r="B29" s="356"/>
      <c r="C29" s="218" t="s">
        <v>169</v>
      </c>
      <c r="D29" s="221">
        <v>406.80149999999998</v>
      </c>
    </row>
    <row r="30" spans="1:4" ht="14.55" x14ac:dyDescent="0.25">
      <c r="A30" s="353"/>
      <c r="B30" s="356"/>
      <c r="C30" s="222" t="s">
        <v>170</v>
      </c>
      <c r="D30" s="219">
        <v>430.45389999999998</v>
      </c>
    </row>
    <row r="31" spans="1:4" ht="14.55" x14ac:dyDescent="0.25">
      <c r="A31" s="353"/>
      <c r="B31" s="356"/>
      <c r="C31" s="224" t="s">
        <v>171</v>
      </c>
      <c r="D31" s="221">
        <v>447.44049999999999</v>
      </c>
    </row>
    <row r="32" spans="1:4" ht="14.55" x14ac:dyDescent="0.25">
      <c r="A32" s="353"/>
      <c r="B32" s="356"/>
      <c r="C32" s="224" t="s">
        <v>172</v>
      </c>
      <c r="D32" s="221">
        <v>329.46960000000001</v>
      </c>
    </row>
    <row r="33" spans="1:4" ht="14.55" x14ac:dyDescent="0.25">
      <c r="A33" s="353"/>
      <c r="B33" s="356"/>
      <c r="C33" s="222" t="s">
        <v>173</v>
      </c>
      <c r="D33" s="221">
        <v>387.9522</v>
      </c>
    </row>
    <row r="34" spans="1:4" ht="14.55" x14ac:dyDescent="0.25">
      <c r="A34" s="353"/>
      <c r="B34" s="356"/>
      <c r="C34" s="222" t="s">
        <v>174</v>
      </c>
      <c r="D34" s="221">
        <v>326.64879999999999</v>
      </c>
    </row>
    <row r="35" spans="1:4" ht="14.55" x14ac:dyDescent="0.25">
      <c r="A35" s="353"/>
      <c r="B35" s="356"/>
      <c r="C35" s="222" t="s">
        <v>175</v>
      </c>
      <c r="D35" s="221">
        <v>225.6995</v>
      </c>
    </row>
    <row r="36" spans="1:4" ht="14.55" x14ac:dyDescent="0.25">
      <c r="A36" s="353"/>
      <c r="B36" s="357"/>
      <c r="C36" s="224" t="s">
        <v>176</v>
      </c>
      <c r="D36" s="221">
        <v>161.7055</v>
      </c>
    </row>
    <row r="37" spans="1:4" ht="15.15" x14ac:dyDescent="0.25">
      <c r="A37" s="353"/>
      <c r="B37" s="355" t="s">
        <v>177</v>
      </c>
      <c r="C37" s="216" t="s">
        <v>143</v>
      </c>
      <c r="D37" s="217">
        <f>SUM(D38:D52)</f>
        <v>7430.6404000000002</v>
      </c>
    </row>
    <row r="38" spans="1:4" ht="14.55" x14ac:dyDescent="0.25">
      <c r="A38" s="353"/>
      <c r="B38" s="356"/>
      <c r="C38" s="222" t="s">
        <v>178</v>
      </c>
      <c r="D38" s="219">
        <v>1546.1442</v>
      </c>
    </row>
    <row r="39" spans="1:4" ht="14.55" x14ac:dyDescent="0.25">
      <c r="A39" s="353"/>
      <c r="B39" s="356"/>
      <c r="C39" s="222" t="s">
        <v>179</v>
      </c>
      <c r="D39" s="225">
        <v>1825.0708</v>
      </c>
    </row>
    <row r="40" spans="1:4" ht="14.55" x14ac:dyDescent="0.25">
      <c r="A40" s="353"/>
      <c r="B40" s="356"/>
      <c r="C40" s="218" t="s">
        <v>180</v>
      </c>
      <c r="D40" s="219">
        <v>798.25130000000001</v>
      </c>
    </row>
    <row r="41" spans="1:4" ht="14.55" x14ac:dyDescent="0.25">
      <c r="A41" s="353"/>
      <c r="B41" s="356"/>
      <c r="C41" s="222" t="s">
        <v>181</v>
      </c>
      <c r="D41" s="227">
        <v>693.83240000000001</v>
      </c>
    </row>
    <row r="42" spans="1:4" ht="14.55" x14ac:dyDescent="0.25">
      <c r="A42" s="353"/>
      <c r="B42" s="356"/>
      <c r="C42" s="222" t="s">
        <v>182</v>
      </c>
      <c r="D42" s="227">
        <v>552.64120000000003</v>
      </c>
    </row>
    <row r="43" spans="1:4" ht="14.55" x14ac:dyDescent="0.25">
      <c r="A43" s="353"/>
      <c r="B43" s="356"/>
      <c r="C43" s="218" t="s">
        <v>183</v>
      </c>
      <c r="D43" s="227">
        <v>326.24360000000001</v>
      </c>
    </row>
    <row r="44" spans="1:4" ht="14.55" x14ac:dyDescent="0.25">
      <c r="A44" s="353"/>
      <c r="B44" s="356"/>
      <c r="C44" s="222" t="s">
        <v>184</v>
      </c>
      <c r="D44" s="227">
        <v>411.16129999999998</v>
      </c>
    </row>
    <row r="45" spans="1:4" ht="14.55" x14ac:dyDescent="0.25">
      <c r="A45" s="353"/>
      <c r="B45" s="356"/>
      <c r="C45" s="224" t="s">
        <v>185</v>
      </c>
      <c r="D45" s="221">
        <v>356.04349999999999</v>
      </c>
    </row>
    <row r="46" spans="1:4" ht="14.55" x14ac:dyDescent="0.25">
      <c r="A46" s="353"/>
      <c r="B46" s="356"/>
      <c r="C46" s="224" t="s">
        <v>186</v>
      </c>
      <c r="D46" s="221">
        <v>200.0444</v>
      </c>
    </row>
    <row r="47" spans="1:4" ht="14.55" x14ac:dyDescent="0.25">
      <c r="A47" s="353"/>
      <c r="B47" s="356"/>
      <c r="C47" s="224" t="s">
        <v>187</v>
      </c>
      <c r="D47" s="221">
        <v>154.0847</v>
      </c>
    </row>
    <row r="48" spans="1:4" ht="14.55" x14ac:dyDescent="0.25">
      <c r="A48" s="353"/>
      <c r="B48" s="356"/>
      <c r="C48" s="224" t="s">
        <v>188</v>
      </c>
      <c r="D48" s="221">
        <v>169.92420000000001</v>
      </c>
    </row>
    <row r="49" spans="1:4" ht="14.55" x14ac:dyDescent="0.25">
      <c r="A49" s="353"/>
      <c r="B49" s="356"/>
      <c r="C49" s="222" t="s">
        <v>189</v>
      </c>
      <c r="D49" s="221">
        <v>149.26499999999999</v>
      </c>
    </row>
    <row r="50" spans="1:4" ht="14.55" x14ac:dyDescent="0.25">
      <c r="A50" s="353"/>
      <c r="B50" s="356"/>
      <c r="C50" s="222" t="s">
        <v>190</v>
      </c>
      <c r="D50" s="221">
        <v>132.5307</v>
      </c>
    </row>
    <row r="51" spans="1:4" ht="14.55" x14ac:dyDescent="0.25">
      <c r="A51" s="353"/>
      <c r="B51" s="356"/>
      <c r="C51" s="222" t="s">
        <v>191</v>
      </c>
      <c r="D51" s="221">
        <v>78.226500000000001</v>
      </c>
    </row>
    <row r="52" spans="1:4" ht="14.55" x14ac:dyDescent="0.25">
      <c r="A52" s="354"/>
      <c r="B52" s="357"/>
      <c r="C52" s="222" t="s">
        <v>192</v>
      </c>
      <c r="D52" s="221">
        <v>37.176600000000001</v>
      </c>
    </row>
    <row r="63" spans="1:4" x14ac:dyDescent="0.25">
      <c r="C63" s="214"/>
    </row>
    <row r="64" spans="1:4" x14ac:dyDescent="0.25">
      <c r="C64" s="214"/>
    </row>
    <row r="65" spans="3:3" x14ac:dyDescent="0.25">
      <c r="C65" s="214"/>
    </row>
    <row r="66" spans="3:3" x14ac:dyDescent="0.25">
      <c r="C66" s="214"/>
    </row>
    <row r="67" spans="3:3" x14ac:dyDescent="0.25">
      <c r="C67" s="214"/>
    </row>
    <row r="68" spans="3:3" x14ac:dyDescent="0.25">
      <c r="C68" s="214"/>
    </row>
    <row r="69" spans="3:3" x14ac:dyDescent="0.25">
      <c r="C69" s="214"/>
    </row>
    <row r="70" spans="3:3" x14ac:dyDescent="0.25">
      <c r="C70" s="214"/>
    </row>
    <row r="71" spans="3:3" x14ac:dyDescent="0.25">
      <c r="C71" s="214"/>
    </row>
    <row r="72" spans="3:3" x14ac:dyDescent="0.25">
      <c r="C72" s="214"/>
    </row>
    <row r="73" spans="3:3" x14ac:dyDescent="0.25">
      <c r="C73" s="214"/>
    </row>
    <row r="74" spans="3:3" x14ac:dyDescent="0.25">
      <c r="C74" s="214"/>
    </row>
    <row r="75" spans="3:3" x14ac:dyDescent="0.25">
      <c r="C75" s="214"/>
    </row>
    <row r="76" spans="3:3" x14ac:dyDescent="0.25">
      <c r="C76" s="214"/>
    </row>
    <row r="77" spans="3:3" x14ac:dyDescent="0.25">
      <c r="C77" s="214"/>
    </row>
    <row r="78" spans="3:3" x14ac:dyDescent="0.25">
      <c r="C78" s="214"/>
    </row>
  </sheetData>
  <mergeCells count="4">
    <mergeCell ref="A1:C2"/>
    <mergeCell ref="A3:A52"/>
    <mergeCell ref="B3:B36"/>
    <mergeCell ref="B37:B52"/>
  </mergeCells>
  <phoneticPr fontId="7" type="noConversion"/>
  <conditionalFormatting sqref="D4:D36 D38:D52">
    <cfRule type="dataBar" priority="1">
      <dataBar>
        <cfvo type="min"/>
        <cfvo type="max"/>
        <color rgb="FF638EC6"/>
      </dataBar>
      <extLst>
        <ext xmlns:x14="http://schemas.microsoft.com/office/spreadsheetml/2009/9/main" uri="{B025F937-C7B1-47D3-B67F-A62EFF666E3E}">
          <x14:id>{B4D75715-FEDC-4248-BA2C-387445B49005}</x14:id>
        </ext>
      </extLst>
    </cfRule>
  </conditionalFormatting>
  <conditionalFormatting sqref="D4:D36">
    <cfRule type="dataBar" priority="2">
      <dataBar>
        <cfvo type="min"/>
        <cfvo type="max"/>
        <color rgb="FF638EC6"/>
      </dataBar>
      <extLst>
        <ext xmlns:x14="http://schemas.microsoft.com/office/spreadsheetml/2009/9/main" uri="{B025F937-C7B1-47D3-B67F-A62EFF666E3E}">
          <x14:id>{57561A70-694F-4942-8C21-6ED4818B985B}</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B4D75715-FEDC-4248-BA2C-387445B49005}">
            <x14:dataBar minLength="0" maxLength="100" border="1" negativeBarBorderColorSameAsPositive="0">
              <x14:cfvo type="autoMin"/>
              <x14:cfvo type="autoMax"/>
              <x14:borderColor rgb="FF638EC6"/>
              <x14:negativeFillColor rgb="FFFF0000"/>
              <x14:negativeBorderColor rgb="FFFF0000"/>
              <x14:axisColor rgb="FF000000"/>
            </x14:dataBar>
          </x14:cfRule>
          <xm:sqref>D4:D36 D38:D52</xm:sqref>
        </x14:conditionalFormatting>
        <x14:conditionalFormatting xmlns:xm="http://schemas.microsoft.com/office/excel/2006/main">
          <x14:cfRule type="dataBar" id="{57561A70-694F-4942-8C21-6ED4818B985B}">
            <x14:dataBar minLength="0" maxLength="100" border="1" negativeBarBorderColorSameAsPositive="0">
              <x14:cfvo type="autoMin"/>
              <x14:cfvo type="autoMax"/>
              <x14:borderColor rgb="FF638EC6"/>
              <x14:negativeFillColor rgb="FFFF0000"/>
              <x14:negativeBorderColor rgb="FFFF0000"/>
              <x14:axisColor rgb="FF000000"/>
            </x14:dataBar>
          </x14:cfRule>
          <xm:sqref>D4:D36</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44A8D-685A-4C9E-8E0B-BB8B6609B69B}">
  <dimension ref="A1:M106"/>
  <sheetViews>
    <sheetView tabSelected="1" topLeftCell="A88" zoomScale="85" zoomScaleNormal="85" workbookViewId="0">
      <selection activeCell="J120" sqref="J120"/>
    </sheetView>
  </sheetViews>
  <sheetFormatPr defaultColWidth="8.6640625" defaultRowHeight="15.75" x14ac:dyDescent="0.25"/>
  <cols>
    <col min="1" max="1" width="8.6640625" style="4"/>
    <col min="2" max="2" width="38.5546875" style="4" customWidth="1"/>
    <col min="3" max="12" width="11.6640625" style="4" bestFit="1" customWidth="1"/>
    <col min="13" max="16384" width="8.6640625" style="4"/>
  </cols>
  <sheetData>
    <row r="1" spans="1:13" s="246" customFormat="1" ht="16.350000000000001" x14ac:dyDescent="0.4">
      <c r="H1" s="247"/>
    </row>
    <row r="2" spans="1:13" ht="17.55" x14ac:dyDescent="0.25">
      <c r="B2" s="5" t="s">
        <v>194</v>
      </c>
      <c r="C2" s="5"/>
      <c r="D2" s="5"/>
      <c r="E2" s="5"/>
      <c r="F2" s="5"/>
      <c r="G2" s="5"/>
      <c r="H2" s="5"/>
      <c r="I2" s="5"/>
      <c r="J2" s="5"/>
      <c r="K2" s="5"/>
      <c r="L2" s="5"/>
    </row>
    <row r="3" spans="1:13" ht="16.350000000000001" x14ac:dyDescent="0.25">
      <c r="B3" s="8"/>
      <c r="C3" s="7">
        <v>2016</v>
      </c>
      <c r="D3" s="7">
        <v>2017</v>
      </c>
      <c r="E3" s="7">
        <v>2018</v>
      </c>
      <c r="F3" s="7">
        <v>2019</v>
      </c>
      <c r="G3" s="7">
        <v>2020</v>
      </c>
      <c r="H3" s="7">
        <v>2021</v>
      </c>
      <c r="I3" s="178" t="s">
        <v>58</v>
      </c>
      <c r="J3" s="178" t="s">
        <v>59</v>
      </c>
      <c r="K3" s="178" t="s">
        <v>60</v>
      </c>
      <c r="L3" s="178" t="s">
        <v>61</v>
      </c>
    </row>
    <row r="4" spans="1:13" x14ac:dyDescent="0.25">
      <c r="B4" s="63" t="s">
        <v>62</v>
      </c>
      <c r="C4" s="63">
        <f t="shared" ref="C4:L4" si="0">C29+C65+C83</f>
        <v>52.846618752503204</v>
      </c>
      <c r="D4" s="63">
        <f t="shared" si="0"/>
        <v>53.221013510154165</v>
      </c>
      <c r="E4" s="63">
        <f t="shared" si="0"/>
        <v>53.7682064785905</v>
      </c>
      <c r="F4" s="63">
        <f t="shared" si="0"/>
        <v>54.139828091666679</v>
      </c>
      <c r="G4" s="63">
        <f t="shared" si="0"/>
        <v>55.078210000000013</v>
      </c>
      <c r="H4" s="63">
        <f t="shared" si="0"/>
        <v>56.618416908333359</v>
      </c>
      <c r="I4" s="63">
        <f t="shared" si="0"/>
        <v>57.951213928026142</v>
      </c>
      <c r="J4" s="63">
        <f t="shared" si="0"/>
        <v>59.683450440765334</v>
      </c>
      <c r="K4" s="63">
        <f t="shared" si="0"/>
        <v>61.951417923044687</v>
      </c>
      <c r="L4" s="63">
        <f t="shared" si="0"/>
        <v>64.940908739296503</v>
      </c>
    </row>
    <row r="5" spans="1:13" x14ac:dyDescent="0.25">
      <c r="A5" s="4" t="s">
        <v>83</v>
      </c>
      <c r="B5" s="63" t="s">
        <v>73</v>
      </c>
      <c r="C5" s="176">
        <f>D5-D6</f>
        <v>0.39348035358928551</v>
      </c>
      <c r="D5" s="176">
        <f>E5-E6</f>
        <v>0.46458035358928551</v>
      </c>
      <c r="E5" s="176">
        <f>F5-F6</f>
        <v>0.75788035358928552</v>
      </c>
      <c r="F5" s="176">
        <f>G5-G6</f>
        <v>1.0357803535892856</v>
      </c>
      <c r="G5" s="176">
        <f>H5-H6</f>
        <v>1.3638803535892856</v>
      </c>
      <c r="H5" s="176">
        <f>11.4/(1+58.8%)^4</f>
        <v>1.7926803535892857</v>
      </c>
      <c r="I5" s="176">
        <f>H5*(1+58.8%)</f>
        <v>2.8467764014997856</v>
      </c>
      <c r="J5" s="176">
        <f>I5*(1+58.8%)</f>
        <v>4.5206809255816598</v>
      </c>
      <c r="K5" s="176">
        <f>J5*(1+58.8%)</f>
        <v>7.1788413098236763</v>
      </c>
      <c r="L5" s="176">
        <v>11.4</v>
      </c>
    </row>
    <row r="6" spans="1:13" x14ac:dyDescent="0.25">
      <c r="A6" s="4" t="s">
        <v>83</v>
      </c>
      <c r="B6" s="63" t="s">
        <v>74</v>
      </c>
      <c r="C6" s="177">
        <v>5.4300000000000001E-2</v>
      </c>
      <c r="D6" s="177">
        <v>7.1099999999999997E-2</v>
      </c>
      <c r="E6" s="177">
        <v>0.29330000000000001</v>
      </c>
      <c r="F6" s="177">
        <v>0.27789999999999998</v>
      </c>
      <c r="G6" s="177">
        <v>0.3281</v>
      </c>
      <c r="H6" s="177">
        <v>0.42880000000000001</v>
      </c>
      <c r="I6" s="177">
        <f>I5-H5</f>
        <v>1.0540960479104999</v>
      </c>
      <c r="J6" s="177">
        <f>J5-I5</f>
        <v>1.6739045240818742</v>
      </c>
      <c r="K6" s="177">
        <f>K5-J5</f>
        <v>2.6581603842420165</v>
      </c>
      <c r="L6" s="177">
        <f>L5-K5</f>
        <v>4.2211586901763241</v>
      </c>
    </row>
    <row r="7" spans="1:13" ht="16.350000000000001" x14ac:dyDescent="0.25">
      <c r="A7" s="4" t="s">
        <v>84</v>
      </c>
      <c r="B7" s="191" t="s">
        <v>75</v>
      </c>
      <c r="C7" s="192">
        <f t="shared" ref="C7:L7" si="1">C31+C49+C67+C85+C103</f>
        <v>5.5015432255233046E-2</v>
      </c>
      <c r="D7" s="192">
        <f t="shared" si="1"/>
        <v>9.3252183114828177E-2</v>
      </c>
      <c r="E7" s="192">
        <f t="shared" si="1"/>
        <v>0.21036759654362869</v>
      </c>
      <c r="F7" s="192">
        <f t="shared" si="1"/>
        <v>0.44003412031111344</v>
      </c>
      <c r="G7" s="192">
        <f t="shared" si="1"/>
        <v>0.69247300424864</v>
      </c>
      <c r="H7" s="192">
        <f t="shared" si="1"/>
        <v>0.99488430856564636</v>
      </c>
      <c r="I7" s="192">
        <f t="shared" si="1"/>
        <v>1.6233614042613105</v>
      </c>
      <c r="J7" s="192">
        <f t="shared" si="1"/>
        <v>2.8751812927586129</v>
      </c>
      <c r="K7" s="192">
        <f t="shared" si="1"/>
        <v>4.5395339235718408</v>
      </c>
      <c r="L7" s="192">
        <f>L31+L49+L67+L85+L103</f>
        <v>6.6061579627588589</v>
      </c>
    </row>
    <row r="8" spans="1:13" ht="16.350000000000001" x14ac:dyDescent="0.25">
      <c r="A8" s="4" t="s">
        <v>84</v>
      </c>
      <c r="B8" s="191" t="s">
        <v>76</v>
      </c>
      <c r="C8" s="193">
        <f>SUM(C33,C51,C69,C87,C105)</f>
        <v>2.01E-2</v>
      </c>
      <c r="D8" s="193">
        <f>D7-C7</f>
        <v>3.8236750859595131E-2</v>
      </c>
      <c r="E8" s="193">
        <f t="shared" ref="E8:K8" si="2">E7-D7</f>
        <v>0.11711541342880051</v>
      </c>
      <c r="F8" s="193">
        <f t="shared" si="2"/>
        <v>0.22966652376748475</v>
      </c>
      <c r="G8" s="193">
        <f t="shared" si="2"/>
        <v>0.25243888393752656</v>
      </c>
      <c r="H8" s="193">
        <f t="shared" si="2"/>
        <v>0.30241130431700636</v>
      </c>
      <c r="I8" s="193">
        <f t="shared" si="2"/>
        <v>0.62847709569566412</v>
      </c>
      <c r="J8" s="193">
        <f t="shared" si="2"/>
        <v>1.2518198884973024</v>
      </c>
      <c r="K8" s="193">
        <f t="shared" si="2"/>
        <v>1.6643526308132279</v>
      </c>
      <c r="L8" s="193">
        <f>L7-K7</f>
        <v>2.0666240391870181</v>
      </c>
      <c r="M8" s="16"/>
    </row>
    <row r="9" spans="1:13" x14ac:dyDescent="0.25">
      <c r="B9" s="63" t="s">
        <v>28</v>
      </c>
      <c r="C9" s="65">
        <v>2.2000000000000002</v>
      </c>
      <c r="D9" s="65">
        <v>2.2000000000000002</v>
      </c>
      <c r="E9" s="65">
        <v>2.2000000000000002</v>
      </c>
      <c r="F9" s="65">
        <v>2.2000000000000002</v>
      </c>
      <c r="G9" s="65">
        <v>2.2000000000000002</v>
      </c>
      <c r="H9" s="65">
        <v>2.2000000000000002</v>
      </c>
      <c r="I9" s="65">
        <f>$H$9*0.9</f>
        <v>1.9800000000000002</v>
      </c>
      <c r="J9" s="65">
        <f>$H$9*0.82</f>
        <v>1.804</v>
      </c>
      <c r="K9" s="65">
        <f>$H$9*0.79</f>
        <v>1.7380000000000002</v>
      </c>
      <c r="L9" s="176">
        <f>H9*(1-30%)</f>
        <v>1.54</v>
      </c>
    </row>
    <row r="10" spans="1:13" x14ac:dyDescent="0.25">
      <c r="B10" s="63" t="s">
        <v>24</v>
      </c>
      <c r="C10" s="248">
        <v>3</v>
      </c>
      <c r="D10" s="248">
        <v>3</v>
      </c>
      <c r="E10" s="248">
        <v>3</v>
      </c>
      <c r="F10" s="248">
        <v>3</v>
      </c>
      <c r="G10" s="248">
        <v>3</v>
      </c>
      <c r="H10" s="248">
        <v>3</v>
      </c>
      <c r="I10" s="248">
        <v>3</v>
      </c>
      <c r="J10" s="248">
        <v>3</v>
      </c>
      <c r="K10" s="248">
        <v>3</v>
      </c>
      <c r="L10" s="248">
        <v>3</v>
      </c>
    </row>
    <row r="11" spans="1:13" x14ac:dyDescent="0.25">
      <c r="B11" s="63" t="s">
        <v>63</v>
      </c>
      <c r="C11" s="87">
        <f>C9*C6*C10*1000</f>
        <v>358.38000000000005</v>
      </c>
      <c r="D11" s="87">
        <f t="shared" ref="D11:L11" si="3">D9*D6*D10*1000</f>
        <v>469.26</v>
      </c>
      <c r="E11" s="87">
        <f t="shared" si="3"/>
        <v>1935.7800000000002</v>
      </c>
      <c r="F11" s="87">
        <f t="shared" si="3"/>
        <v>1834.14</v>
      </c>
      <c r="G11" s="87">
        <f t="shared" si="3"/>
        <v>2165.46</v>
      </c>
      <c r="H11" s="87">
        <f t="shared" si="3"/>
        <v>2830.08</v>
      </c>
      <c r="I11" s="87">
        <f t="shared" si="3"/>
        <v>6261.3305245883703</v>
      </c>
      <c r="J11" s="87">
        <f t="shared" si="3"/>
        <v>9059.1712843311034</v>
      </c>
      <c r="K11" s="87">
        <f t="shared" si="3"/>
        <v>13859.648243437878</v>
      </c>
      <c r="L11" s="87">
        <f t="shared" si="3"/>
        <v>19501.753148614618</v>
      </c>
    </row>
    <row r="12" spans="1:13" x14ac:dyDescent="0.25">
      <c r="B12" s="176" t="s">
        <v>92</v>
      </c>
      <c r="C12" s="176">
        <f>C11/1000</f>
        <v>0.35838000000000003</v>
      </c>
      <c r="D12" s="176">
        <f t="shared" ref="D12:L12" si="4">D11/1000</f>
        <v>0.46926000000000001</v>
      </c>
      <c r="E12" s="176">
        <f t="shared" si="4"/>
        <v>1.9357800000000003</v>
      </c>
      <c r="F12" s="176">
        <f t="shared" si="4"/>
        <v>1.8341400000000001</v>
      </c>
      <c r="G12" s="176">
        <f t="shared" si="4"/>
        <v>2.1654599999999999</v>
      </c>
      <c r="H12" s="176">
        <f t="shared" si="4"/>
        <v>2.8300799999999997</v>
      </c>
      <c r="I12" s="176">
        <f t="shared" si="4"/>
        <v>6.2613305245883701</v>
      </c>
      <c r="J12" s="176">
        <f t="shared" si="4"/>
        <v>9.0591712843311036</v>
      </c>
      <c r="K12" s="176">
        <f t="shared" si="4"/>
        <v>13.859648243437878</v>
      </c>
      <c r="L12" s="176">
        <f t="shared" si="4"/>
        <v>19.501753148614618</v>
      </c>
    </row>
    <row r="13" spans="1:13" ht="16.350000000000001" x14ac:dyDescent="0.25">
      <c r="A13" s="4" t="s">
        <v>84</v>
      </c>
      <c r="B13" s="191" t="s">
        <v>93</v>
      </c>
      <c r="C13" s="192" t="s">
        <v>329</v>
      </c>
      <c r="D13" s="192">
        <f t="shared" ref="D13:K13" si="5">D10*D9*D8</f>
        <v>0.25236255567332788</v>
      </c>
      <c r="E13" s="192">
        <f t="shared" si="5"/>
        <v>0.77296172863008339</v>
      </c>
      <c r="F13" s="192">
        <f>F10*F9*F8</f>
        <v>1.5157990568653994</v>
      </c>
      <c r="G13" s="192">
        <f t="shared" si="5"/>
        <v>1.6660966339876755</v>
      </c>
      <c r="H13" s="192">
        <f>H10*H9*H8</f>
        <v>1.9959146084922421</v>
      </c>
      <c r="I13" s="192">
        <f>I10*I9*I8</f>
        <v>3.7331539484322454</v>
      </c>
      <c r="J13" s="192">
        <f t="shared" si="5"/>
        <v>6.7748492365474009</v>
      </c>
      <c r="K13" s="192">
        <f t="shared" si="5"/>
        <v>8.6779346170601706</v>
      </c>
      <c r="L13" s="192">
        <f>L10*L9*L8</f>
        <v>9.5478030610440232</v>
      </c>
    </row>
    <row r="14" spans="1:13" x14ac:dyDescent="0.25">
      <c r="B14" s="63" t="s">
        <v>33</v>
      </c>
      <c r="C14" s="69">
        <f>C7/C4</f>
        <v>1.0410397780203698E-3</v>
      </c>
      <c r="D14" s="69">
        <f t="shared" ref="D14:J14" si="6">D7/D4</f>
        <v>1.7521684944432027E-3</v>
      </c>
      <c r="E14" s="69">
        <f t="shared" si="6"/>
        <v>3.9124904905911851E-3</v>
      </c>
      <c r="F14" s="69">
        <f t="shared" si="6"/>
        <v>8.1277339773977685E-3</v>
      </c>
      <c r="G14" s="69">
        <f>G7/G4</f>
        <v>1.2572540107033977E-2</v>
      </c>
      <c r="H14" s="69">
        <f t="shared" si="6"/>
        <v>1.7571743663839789E-2</v>
      </c>
      <c r="I14" s="69">
        <f t="shared" si="6"/>
        <v>2.8012552183591562E-2</v>
      </c>
      <c r="J14" s="69">
        <f t="shared" si="6"/>
        <v>4.8173845036190974E-2</v>
      </c>
      <c r="K14" s="69">
        <f>K7/K4</f>
        <v>7.3275706606276483E-2</v>
      </c>
      <c r="L14" s="69">
        <f>L7/L4</f>
        <v>0.1017256778663061</v>
      </c>
    </row>
    <row r="15" spans="1:13" x14ac:dyDescent="0.25">
      <c r="B15" s="63" t="s">
        <v>32</v>
      </c>
      <c r="C15" s="237"/>
      <c r="D15" s="237"/>
      <c r="E15" s="237"/>
      <c r="F15" s="237"/>
      <c r="G15" s="237"/>
      <c r="H15" s="238"/>
      <c r="I15" s="69"/>
      <c r="J15" s="69"/>
      <c r="K15" s="69"/>
      <c r="L15" s="69">
        <f>POWER(L5/H5,1/4)-1</f>
        <v>0.58800000000000008</v>
      </c>
    </row>
    <row r="16" spans="1:13" x14ac:dyDescent="0.25">
      <c r="C16" s="16"/>
      <c r="D16" s="16"/>
      <c r="E16" s="16"/>
      <c r="F16" s="16"/>
      <c r="G16" s="16"/>
      <c r="H16" s="16"/>
      <c r="I16" s="16"/>
      <c r="J16" s="16"/>
      <c r="K16" s="16"/>
      <c r="L16" s="16"/>
    </row>
    <row r="17" spans="2:12" x14ac:dyDescent="0.25">
      <c r="C17" s="16"/>
      <c r="D17" s="16"/>
      <c r="E17" s="16"/>
      <c r="F17" s="16"/>
      <c r="G17" s="16"/>
      <c r="H17" s="16"/>
      <c r="I17" s="16"/>
      <c r="J17" s="16"/>
      <c r="K17" s="16"/>
      <c r="L17" s="16"/>
    </row>
    <row r="18" spans="2:12" x14ac:dyDescent="0.25">
      <c r="C18" s="104"/>
      <c r="G18" s="229" t="s">
        <v>193</v>
      </c>
      <c r="H18" s="234">
        <f>'用电量-各行业汇总'!I9</f>
        <v>-2E-3</v>
      </c>
    </row>
    <row r="19" spans="2:12" ht="17.55" x14ac:dyDescent="0.25">
      <c r="B19" s="343" t="s">
        <v>195</v>
      </c>
      <c r="C19" s="344"/>
      <c r="D19" s="344"/>
      <c r="E19" s="344"/>
      <c r="F19" s="344"/>
      <c r="G19" s="344"/>
      <c r="H19" s="344"/>
      <c r="I19" s="344"/>
      <c r="J19" s="344"/>
      <c r="K19" s="344"/>
      <c r="L19" s="344"/>
    </row>
    <row r="20" spans="2:12" ht="16.350000000000001" x14ac:dyDescent="0.25">
      <c r="B20" s="8"/>
      <c r="C20" s="7">
        <v>2016</v>
      </c>
      <c r="D20" s="7">
        <v>2017</v>
      </c>
      <c r="E20" s="7">
        <v>2018</v>
      </c>
      <c r="F20" s="7">
        <v>2019</v>
      </c>
      <c r="G20" s="7">
        <v>2020</v>
      </c>
      <c r="H20" s="7">
        <v>2021</v>
      </c>
      <c r="I20" s="178" t="s">
        <v>58</v>
      </c>
      <c r="J20" s="178" t="s">
        <v>59</v>
      </c>
      <c r="K20" s="178" t="s">
        <v>60</v>
      </c>
      <c r="L20" s="180" t="s">
        <v>61</v>
      </c>
    </row>
    <row r="21" spans="2:12" x14ac:dyDescent="0.25">
      <c r="B21" s="63" t="s">
        <v>72</v>
      </c>
      <c r="C21" s="235">
        <f t="shared" ref="C21:E21" si="7">D21*(1-$H18)</f>
        <v>33140.393012341716</v>
      </c>
      <c r="D21" s="235">
        <f t="shared" si="7"/>
        <v>33074.244523295129</v>
      </c>
      <c r="E21" s="235">
        <f t="shared" si="7"/>
        <v>33008.22806716081</v>
      </c>
      <c r="F21" s="235">
        <f>G21*(1-$H18)</f>
        <v>32942.343380400009</v>
      </c>
      <c r="G21" s="236">
        <f>'用电量-各行业汇总'!D9</f>
        <v>32876.590200000006</v>
      </c>
      <c r="H21" s="235">
        <f>G21*(1+$H18)</f>
        <v>32810.837019600003</v>
      </c>
      <c r="I21" s="235">
        <f t="shared" ref="I21:K21" si="8">H21*(1+$H18)</f>
        <v>32745.215345560802</v>
      </c>
      <c r="J21" s="235">
        <f t="shared" si="8"/>
        <v>32679.724914869679</v>
      </c>
      <c r="K21" s="235">
        <f t="shared" si="8"/>
        <v>32614.36546503994</v>
      </c>
      <c r="L21" s="236">
        <f>'用电量-各行业汇总'!G9*10</f>
        <v>32549.136734109867</v>
      </c>
    </row>
    <row r="22" spans="2:12" x14ac:dyDescent="0.25">
      <c r="B22" s="63" t="s">
        <v>129</v>
      </c>
      <c r="C22" s="190">
        <v>360</v>
      </c>
      <c r="D22" s="190">
        <v>360</v>
      </c>
      <c r="E22" s="190">
        <v>360</v>
      </c>
      <c r="F22" s="190">
        <v>360</v>
      </c>
      <c r="G22" s="190">
        <v>360</v>
      </c>
      <c r="H22" s="190">
        <v>360</v>
      </c>
      <c r="I22" s="190">
        <v>360</v>
      </c>
      <c r="J22" s="190">
        <v>360</v>
      </c>
      <c r="K22" s="190">
        <v>360</v>
      </c>
      <c r="L22" s="190">
        <v>360</v>
      </c>
    </row>
    <row r="23" spans="2:12" x14ac:dyDescent="0.25">
      <c r="B23" s="63" t="s">
        <v>130</v>
      </c>
      <c r="C23" s="190">
        <v>24</v>
      </c>
      <c r="D23" s="190">
        <v>24</v>
      </c>
      <c r="E23" s="190">
        <v>24</v>
      </c>
      <c r="F23" s="190">
        <v>24</v>
      </c>
      <c r="G23" s="190">
        <v>24</v>
      </c>
      <c r="H23" s="190">
        <v>24</v>
      </c>
      <c r="I23" s="190">
        <v>24</v>
      </c>
      <c r="J23" s="190">
        <v>24</v>
      </c>
      <c r="K23" s="190">
        <v>24</v>
      </c>
      <c r="L23" s="190">
        <v>24</v>
      </c>
    </row>
    <row r="24" spans="2:12" x14ac:dyDescent="0.25">
      <c r="B24" s="63" t="s">
        <v>132</v>
      </c>
      <c r="C24" s="87">
        <f>C21/C22/C23</f>
        <v>3.8356936356876985</v>
      </c>
      <c r="D24" s="87">
        <f t="shared" ref="D24:G24" si="9">D21/D22/D23</f>
        <v>3.8280375605665657</v>
      </c>
      <c r="E24" s="87">
        <f t="shared" si="9"/>
        <v>3.8203967670325008</v>
      </c>
      <c r="F24" s="87">
        <f t="shared" si="9"/>
        <v>3.8127712245833343</v>
      </c>
      <c r="G24" s="87">
        <f t="shared" si="9"/>
        <v>3.8051609027777786</v>
      </c>
      <c r="H24" s="87">
        <f>H21/H22/H23</f>
        <v>3.7975505809722225</v>
      </c>
      <c r="I24" s="87">
        <f>I21/I22/I23</f>
        <v>3.7899554798102781</v>
      </c>
      <c r="J24" s="87">
        <f t="shared" ref="J24:L24" si="10">J21/J22/J23</f>
        <v>3.7823755688506573</v>
      </c>
      <c r="K24" s="87">
        <f t="shared" si="10"/>
        <v>3.774810817712956</v>
      </c>
      <c r="L24" s="87">
        <f t="shared" si="10"/>
        <v>3.7672611960775306</v>
      </c>
    </row>
    <row r="25" spans="2:12" x14ac:dyDescent="0.25">
      <c r="B25" s="181" t="s">
        <v>133</v>
      </c>
      <c r="C25" s="185">
        <v>0.7</v>
      </c>
      <c r="D25" s="185">
        <v>0.7</v>
      </c>
      <c r="E25" s="185">
        <v>0.7</v>
      </c>
      <c r="F25" s="185">
        <v>0.7</v>
      </c>
      <c r="G25" s="185">
        <v>0.7</v>
      </c>
      <c r="H25" s="185">
        <v>0.7</v>
      </c>
      <c r="I25" s="185">
        <v>0.7</v>
      </c>
      <c r="J25" s="185">
        <v>0.7</v>
      </c>
      <c r="K25" s="185">
        <v>0.7</v>
      </c>
      <c r="L25" s="185">
        <v>0.7</v>
      </c>
    </row>
    <row r="26" spans="2:12" x14ac:dyDescent="0.25">
      <c r="B26" s="63" t="s">
        <v>134</v>
      </c>
      <c r="C26" s="87">
        <f>C24/C25</f>
        <v>5.4795623366967128</v>
      </c>
      <c r="D26" s="87">
        <f t="shared" ref="D26:G26" si="11">D24/D25</f>
        <v>5.4686250865236659</v>
      </c>
      <c r="E26" s="87">
        <f t="shared" si="11"/>
        <v>5.4577096671892873</v>
      </c>
      <c r="F26" s="87">
        <f t="shared" si="11"/>
        <v>5.4468160351190491</v>
      </c>
      <c r="G26" s="87">
        <f t="shared" si="11"/>
        <v>5.4359441468253982</v>
      </c>
      <c r="H26" s="87">
        <f>H24/H25</f>
        <v>5.4250722585317472</v>
      </c>
      <c r="I26" s="87">
        <f>I24/I25</f>
        <v>5.4142221140146836</v>
      </c>
      <c r="J26" s="87">
        <f t="shared" ref="J26:L26" si="12">J24/J25</f>
        <v>5.403393669786654</v>
      </c>
      <c r="K26" s="87">
        <f t="shared" si="12"/>
        <v>5.3925868824470804</v>
      </c>
      <c r="L26" s="87">
        <f t="shared" si="12"/>
        <v>5.381801708682187</v>
      </c>
    </row>
    <row r="27" spans="2:12" x14ac:dyDescent="0.25">
      <c r="B27" s="63" t="s">
        <v>20</v>
      </c>
      <c r="C27" s="87">
        <f>C26-C24</f>
        <v>1.6438687010090143</v>
      </c>
      <c r="D27" s="87">
        <f t="shared" ref="D27:G27" si="13">D26-D24</f>
        <v>1.6405875259571001</v>
      </c>
      <c r="E27" s="87">
        <f t="shared" si="13"/>
        <v>1.6373129001567865</v>
      </c>
      <c r="F27" s="87">
        <f t="shared" si="13"/>
        <v>1.6340448105357148</v>
      </c>
      <c r="G27" s="87">
        <f t="shared" si="13"/>
        <v>1.6307832440476195</v>
      </c>
      <c r="H27" s="87">
        <f>H26-H24</f>
        <v>1.6275216775595247</v>
      </c>
      <c r="I27" s="87">
        <f>I26-I24</f>
        <v>1.6242666342044054</v>
      </c>
      <c r="J27" s="87">
        <f t="shared" ref="J27:L27" si="14">J26-J24</f>
        <v>1.6210181009359967</v>
      </c>
      <c r="K27" s="87">
        <f t="shared" si="14"/>
        <v>1.6177760647341244</v>
      </c>
      <c r="L27" s="87">
        <f t="shared" si="14"/>
        <v>1.6145405126046564</v>
      </c>
    </row>
    <row r="28" spans="2:12" x14ac:dyDescent="0.25">
      <c r="B28" s="182" t="s">
        <v>21</v>
      </c>
      <c r="C28" s="243">
        <v>0.3</v>
      </c>
      <c r="D28" s="243">
        <v>0.3</v>
      </c>
      <c r="E28" s="243">
        <v>0.3</v>
      </c>
      <c r="F28" s="243">
        <v>0.3</v>
      </c>
      <c r="G28" s="243">
        <v>0.3</v>
      </c>
      <c r="H28" s="243">
        <v>0.3</v>
      </c>
      <c r="I28" s="243">
        <v>0.3</v>
      </c>
      <c r="J28" s="243">
        <v>0.3</v>
      </c>
      <c r="K28" s="243">
        <v>0.3</v>
      </c>
      <c r="L28" s="243">
        <v>0.3</v>
      </c>
    </row>
    <row r="29" spans="2:12" x14ac:dyDescent="0.25">
      <c r="B29" s="63" t="s">
        <v>66</v>
      </c>
      <c r="C29" s="87">
        <f>C28*C27*100000000/1000000</f>
        <v>49.316061030270426</v>
      </c>
      <c r="D29" s="87">
        <f>D28*D27*100000000/1000000</f>
        <v>49.217625778713</v>
      </c>
      <c r="E29" s="87">
        <f t="shared" ref="E29:G29" si="15">E28*E27*100000000/1000000</f>
        <v>49.119387004703597</v>
      </c>
      <c r="F29" s="87">
        <f t="shared" si="15"/>
        <v>49.021344316071442</v>
      </c>
      <c r="G29" s="87">
        <f t="shared" si="15"/>
        <v>48.923497321428584</v>
      </c>
      <c r="H29" s="87">
        <f>H28*H27*100000000/1000000</f>
        <v>48.825650326785741</v>
      </c>
      <c r="I29" s="87">
        <f>I28*I27*100000000/1000000</f>
        <v>48.727999026132167</v>
      </c>
      <c r="J29" s="87">
        <f>J28*J27*100000000/1000000</f>
        <v>48.630543028079899</v>
      </c>
      <c r="K29" s="87">
        <f>K28*K27*100000000/1000000</f>
        <v>48.533281942023734</v>
      </c>
      <c r="L29" s="87">
        <f>L28*L27*100000000/1000000</f>
        <v>48.436215378139693</v>
      </c>
    </row>
    <row r="30" spans="2:12" x14ac:dyDescent="0.25">
      <c r="B30" s="63" t="s">
        <v>33</v>
      </c>
      <c r="C30" s="97">
        <v>1E-3</v>
      </c>
      <c r="D30" s="97">
        <v>1.5E-3</v>
      </c>
      <c r="E30" s="97">
        <v>3.0000000000000001E-3</v>
      </c>
      <c r="F30" s="97">
        <v>5.8999999999999999E-3</v>
      </c>
      <c r="G30" s="97">
        <v>8.8999999999999999E-3</v>
      </c>
      <c r="H30" s="97">
        <v>1.24E-2</v>
      </c>
      <c r="I30" s="97">
        <v>1.9300000000000001E-2</v>
      </c>
      <c r="J30" s="97">
        <v>3.3000000000000002E-2</v>
      </c>
      <c r="K30" s="97">
        <v>5.0500000000000003E-2</v>
      </c>
      <c r="L30" s="97">
        <v>7.0999999999999994E-2</v>
      </c>
    </row>
    <row r="31" spans="2:12" ht="16.350000000000001" x14ac:dyDescent="0.25">
      <c r="B31" s="191" t="s">
        <v>56</v>
      </c>
      <c r="C31" s="192">
        <f>C30*C29</f>
        <v>4.9316061030270426E-2</v>
      </c>
      <c r="D31" s="192">
        <f t="shared" ref="D31:L31" si="16">D30*D29</f>
        <v>7.3826438668069497E-2</v>
      </c>
      <c r="E31" s="192">
        <f t="shared" si="16"/>
        <v>0.14735816101411078</v>
      </c>
      <c r="F31" s="192">
        <f t="shared" si="16"/>
        <v>0.28922593146482151</v>
      </c>
      <c r="G31" s="192">
        <f t="shared" si="16"/>
        <v>0.43541912616071438</v>
      </c>
      <c r="H31" s="192">
        <f t="shared" si="16"/>
        <v>0.60543806405214318</v>
      </c>
      <c r="I31" s="192">
        <f t="shared" si="16"/>
        <v>0.94045038120435087</v>
      </c>
      <c r="J31" s="192">
        <f t="shared" si="16"/>
        <v>1.6048079199266367</v>
      </c>
      <c r="K31" s="192">
        <f t="shared" si="16"/>
        <v>2.4509307380721985</v>
      </c>
      <c r="L31" s="192">
        <f t="shared" si="16"/>
        <v>3.4389712918479178</v>
      </c>
    </row>
    <row r="32" spans="2:12" x14ac:dyDescent="0.25">
      <c r="B32" s="189" t="s">
        <v>68</v>
      </c>
      <c r="C32" s="199">
        <f>C31/C$7</f>
        <v>0.89640413623360204</v>
      </c>
      <c r="D32" s="199">
        <f t="shared" ref="D32:L32" si="17">D31/D$7</f>
        <v>0.79168590162829378</v>
      </c>
      <c r="E32" s="199">
        <f t="shared" si="17"/>
        <v>0.70047936771264951</v>
      </c>
      <c r="F32" s="199">
        <f t="shared" si="17"/>
        <v>0.6572806928252124</v>
      </c>
      <c r="G32" s="199">
        <f t="shared" si="17"/>
        <v>0.62878859318589753</v>
      </c>
      <c r="H32" s="199">
        <f t="shared" si="17"/>
        <v>0.6085512243378538</v>
      </c>
      <c r="I32" s="199">
        <f t="shared" si="17"/>
        <v>0.57932286595928439</v>
      </c>
      <c r="J32" s="199">
        <f t="shared" si="17"/>
        <v>0.55815886252754954</v>
      </c>
      <c r="K32" s="199">
        <f t="shared" si="17"/>
        <v>0.5399080124383635</v>
      </c>
      <c r="L32" s="199">
        <f t="shared" si="17"/>
        <v>0.52057055117884843</v>
      </c>
    </row>
    <row r="33" spans="2:12" ht="16.350000000000001" x14ac:dyDescent="0.25">
      <c r="B33" s="191" t="s">
        <v>57</v>
      </c>
      <c r="C33" s="337">
        <v>0.01</v>
      </c>
      <c r="D33" s="338">
        <f>D31-C31</f>
        <v>2.451037763779907E-2</v>
      </c>
      <c r="E33" s="338">
        <f t="shared" ref="E33:L33" si="18">E31-D31</f>
        <v>7.3531722346041287E-2</v>
      </c>
      <c r="F33" s="338">
        <f t="shared" si="18"/>
        <v>0.14186777045071072</v>
      </c>
      <c r="G33" s="338">
        <f t="shared" si="18"/>
        <v>0.14619319469589287</v>
      </c>
      <c r="H33" s="338">
        <f t="shared" si="18"/>
        <v>0.1700189378914288</v>
      </c>
      <c r="I33" s="338">
        <f t="shared" si="18"/>
        <v>0.33501231715220769</v>
      </c>
      <c r="J33" s="338">
        <f t="shared" si="18"/>
        <v>0.66435753872228587</v>
      </c>
      <c r="K33" s="338">
        <f t="shared" si="18"/>
        <v>0.84612281814556178</v>
      </c>
      <c r="L33" s="338">
        <f t="shared" si="18"/>
        <v>0.98804055377571931</v>
      </c>
    </row>
    <row r="34" spans="2:12" x14ac:dyDescent="0.25">
      <c r="B34" s="189" t="s">
        <v>79</v>
      </c>
      <c r="C34" s="183" t="s">
        <v>329</v>
      </c>
      <c r="D34" s="183">
        <f>D33/D$8</f>
        <v>0.64101622357508536</v>
      </c>
      <c r="E34" s="183">
        <f t="shared" ref="E34:G34" si="19">E33/E$8</f>
        <v>0.62785691646594732</v>
      </c>
      <c r="F34" s="183">
        <f t="shared" si="19"/>
        <v>0.61771201184870195</v>
      </c>
      <c r="G34" s="183">
        <f t="shared" si="19"/>
        <v>0.57912312245871234</v>
      </c>
      <c r="H34" s="183">
        <f>H33/H$8</f>
        <v>0.56221092090262725</v>
      </c>
      <c r="I34" s="183">
        <f t="shared" ref="I34:L34" si="20">I33/I$8</f>
        <v>0.53305413903967502</v>
      </c>
      <c r="J34" s="183">
        <f t="shared" si="20"/>
        <v>0.53071335966693067</v>
      </c>
      <c r="K34" s="183">
        <f t="shared" si="20"/>
        <v>0.50837953597137242</v>
      </c>
      <c r="L34" s="183">
        <f t="shared" si="20"/>
        <v>0.47809400018612047</v>
      </c>
    </row>
    <row r="35" spans="2:12" x14ac:dyDescent="0.25">
      <c r="C35" s="16" t="s">
        <v>329</v>
      </c>
      <c r="D35" s="16"/>
      <c r="E35" s="16"/>
      <c r="F35" s="16"/>
      <c r="G35" s="16"/>
      <c r="H35" s="16"/>
      <c r="I35" s="16"/>
      <c r="J35" s="16"/>
      <c r="K35" s="16"/>
      <c r="L35" s="16"/>
    </row>
    <row r="36" spans="2:12" x14ac:dyDescent="0.25">
      <c r="C36" s="104"/>
      <c r="G36" s="229" t="s">
        <v>193</v>
      </c>
      <c r="H36" s="228">
        <f>POWER(L39/G39,1/5)-1</f>
        <v>9.5014176061056776E-2</v>
      </c>
    </row>
    <row r="37" spans="2:12" ht="17.55" x14ac:dyDescent="0.25">
      <c r="B37" s="343" t="s">
        <v>196</v>
      </c>
      <c r="C37" s="344"/>
      <c r="D37" s="344"/>
      <c r="E37" s="344"/>
      <c r="F37" s="344"/>
      <c r="G37" s="344"/>
      <c r="H37" s="344"/>
      <c r="I37" s="344"/>
      <c r="J37" s="344"/>
      <c r="K37" s="344"/>
      <c r="L37" s="344"/>
    </row>
    <row r="38" spans="2:12" ht="16.350000000000001" x14ac:dyDescent="0.25">
      <c r="B38" s="8"/>
      <c r="C38" s="7">
        <v>2016</v>
      </c>
      <c r="D38" s="7">
        <v>2017</v>
      </c>
      <c r="E38" s="7">
        <v>2018</v>
      </c>
      <c r="F38" s="7">
        <v>2019</v>
      </c>
      <c r="G38" s="7">
        <v>2020</v>
      </c>
      <c r="H38" s="7">
        <v>2021</v>
      </c>
      <c r="I38" s="178" t="s">
        <v>58</v>
      </c>
      <c r="J38" s="178" t="s">
        <v>59</v>
      </c>
      <c r="K38" s="178" t="s">
        <v>60</v>
      </c>
      <c r="L38" s="180" t="s">
        <v>61</v>
      </c>
    </row>
    <row r="39" spans="2:12" x14ac:dyDescent="0.25">
      <c r="B39" s="63" t="s">
        <v>72</v>
      </c>
      <c r="C39" s="200">
        <f t="shared" ref="C39:E39" si="21">D39*(1-$H36)</f>
        <v>6345.677672509295</v>
      </c>
      <c r="D39" s="200">
        <f t="shared" si="21"/>
        <v>7011.9083687850334</v>
      </c>
      <c r="E39" s="200">
        <f t="shared" si="21"/>
        <v>7748.0864156145135</v>
      </c>
      <c r="F39" s="200">
        <f>G39*(1-$H36)</f>
        <v>8561.5555632584746</v>
      </c>
      <c r="G39" s="176">
        <f>'用电量-各行业汇总'!D12+'用电量-各行业汇总'!D10-'01Bottom-Up'!G75</f>
        <v>9460.4305800000002</v>
      </c>
      <c r="H39" s="87">
        <f>G39*(1+$H36)</f>
        <v>10359.305596741526</v>
      </c>
      <c r="I39" s="87">
        <f t="shared" ref="I39:K39" si="22">H39*(1+$H36)</f>
        <v>11343.586482580617</v>
      </c>
      <c r="J39" s="87">
        <f t="shared" si="22"/>
        <v>12421.388005800354</v>
      </c>
      <c r="K39" s="87">
        <f t="shared" si="22"/>
        <v>13601.595952706168</v>
      </c>
      <c r="L39" s="176">
        <f>'用电量-各行业汇总'!G12*10+'用电量-各行业汇总'!G10*10-'01Bottom-Up'!L75</f>
        <v>14893.940385267946</v>
      </c>
    </row>
    <row r="40" spans="2:12" x14ac:dyDescent="0.25">
      <c r="B40" s="63" t="s">
        <v>129</v>
      </c>
      <c r="C40" s="190">
        <v>300</v>
      </c>
      <c r="D40" s="190">
        <v>300</v>
      </c>
      <c r="E40" s="190">
        <v>300</v>
      </c>
      <c r="F40" s="190">
        <v>300</v>
      </c>
      <c r="G40" s="190">
        <v>300</v>
      </c>
      <c r="H40" s="190">
        <v>300</v>
      </c>
      <c r="I40" s="190">
        <v>300</v>
      </c>
      <c r="J40" s="190">
        <v>300</v>
      </c>
      <c r="K40" s="190">
        <v>300</v>
      </c>
      <c r="L40" s="190">
        <v>300</v>
      </c>
    </row>
    <row r="41" spans="2:12" x14ac:dyDescent="0.25">
      <c r="B41" s="63" t="s">
        <v>130</v>
      </c>
      <c r="C41" s="190">
        <v>10</v>
      </c>
      <c r="D41" s="190">
        <v>10</v>
      </c>
      <c r="E41" s="190">
        <v>10</v>
      </c>
      <c r="F41" s="190">
        <v>10</v>
      </c>
      <c r="G41" s="190">
        <v>10</v>
      </c>
      <c r="H41" s="190">
        <v>10</v>
      </c>
      <c r="I41" s="190">
        <v>10</v>
      </c>
      <c r="J41" s="190">
        <v>10</v>
      </c>
      <c r="K41" s="190">
        <v>10</v>
      </c>
      <c r="L41" s="190">
        <v>10</v>
      </c>
    </row>
    <row r="42" spans="2:12" x14ac:dyDescent="0.25">
      <c r="B42" s="63" t="s">
        <v>132</v>
      </c>
      <c r="C42" s="87">
        <f>C39/C40/C41</f>
        <v>2.1152258908364319</v>
      </c>
      <c r="D42" s="87">
        <f t="shared" ref="D42:G42" si="23">D39/D40/D41</f>
        <v>2.3373027895950114</v>
      </c>
      <c r="E42" s="87">
        <f t="shared" si="23"/>
        <v>2.5826954718715043</v>
      </c>
      <c r="F42" s="87">
        <f t="shared" si="23"/>
        <v>2.8538518544194913</v>
      </c>
      <c r="G42" s="87">
        <f t="shared" si="23"/>
        <v>3.15347686</v>
      </c>
      <c r="H42" s="87">
        <f>H39/H40/H41</f>
        <v>3.4531018655805084</v>
      </c>
      <c r="I42" s="87">
        <f>I39/I40/I41</f>
        <v>3.7811954941935388</v>
      </c>
      <c r="J42" s="87">
        <f t="shared" ref="J42:L42" si="24">J39/J40/J41</f>
        <v>4.1404626686001178</v>
      </c>
      <c r="K42" s="87">
        <f t="shared" si="24"/>
        <v>4.5338653175687229</v>
      </c>
      <c r="L42" s="87">
        <f t="shared" si="24"/>
        <v>4.9646467950893154</v>
      </c>
    </row>
    <row r="43" spans="2:12" x14ac:dyDescent="0.25">
      <c r="B43" s="181" t="s">
        <v>133</v>
      </c>
      <c r="C43" s="185">
        <v>0.7</v>
      </c>
      <c r="D43" s="185">
        <v>0.7</v>
      </c>
      <c r="E43" s="185">
        <v>0.7</v>
      </c>
      <c r="F43" s="185">
        <v>0.7</v>
      </c>
      <c r="G43" s="185">
        <v>0.7</v>
      </c>
      <c r="H43" s="185">
        <v>0.7</v>
      </c>
      <c r="I43" s="185">
        <v>0.7</v>
      </c>
      <c r="J43" s="185">
        <v>0.7</v>
      </c>
      <c r="K43" s="185">
        <v>0.7</v>
      </c>
      <c r="L43" s="185">
        <v>0.7</v>
      </c>
    </row>
    <row r="44" spans="2:12" x14ac:dyDescent="0.25">
      <c r="B44" s="63" t="s">
        <v>134</v>
      </c>
      <c r="C44" s="87">
        <f>C42/C43</f>
        <v>3.0217512726234741</v>
      </c>
      <c r="D44" s="87">
        <f t="shared" ref="D44:G44" si="25">D42/D43</f>
        <v>3.3390039851357307</v>
      </c>
      <c r="E44" s="87">
        <f t="shared" si="25"/>
        <v>3.6895649598164351</v>
      </c>
      <c r="F44" s="87">
        <f t="shared" si="25"/>
        <v>4.0769312205992732</v>
      </c>
      <c r="G44" s="87">
        <f t="shared" si="25"/>
        <v>4.5049669428571431</v>
      </c>
      <c r="H44" s="87">
        <f>H42/H43</f>
        <v>4.9330026651150121</v>
      </c>
      <c r="I44" s="87">
        <f>I42/I43</f>
        <v>5.4017078488479129</v>
      </c>
      <c r="J44" s="87">
        <f t="shared" ref="J44:L44" si="26">J42/J43</f>
        <v>5.9149466694287405</v>
      </c>
      <c r="K44" s="87">
        <f t="shared" si="26"/>
        <v>6.4769504536696045</v>
      </c>
      <c r="L44" s="87">
        <f t="shared" si="26"/>
        <v>7.0923525644133081</v>
      </c>
    </row>
    <row r="45" spans="2:12" x14ac:dyDescent="0.25">
      <c r="B45" s="63" t="s">
        <v>20</v>
      </c>
      <c r="C45" s="87">
        <f t="shared" ref="C45:G45" si="27">C44-C42</f>
        <v>0.90652538178704223</v>
      </c>
      <c r="D45" s="87">
        <f t="shared" si="27"/>
        <v>1.0017011955407193</v>
      </c>
      <c r="E45" s="87">
        <f t="shared" si="27"/>
        <v>1.1068694879449308</v>
      </c>
      <c r="F45" s="87">
        <f t="shared" si="27"/>
        <v>1.2230793661797819</v>
      </c>
      <c r="G45" s="87">
        <f t="shared" si="27"/>
        <v>1.351490082857143</v>
      </c>
      <c r="H45" s="87">
        <f>H44-H42</f>
        <v>1.4799007995345037</v>
      </c>
      <c r="I45" s="87">
        <f>I44-I42</f>
        <v>1.620512354654374</v>
      </c>
      <c r="J45" s="87">
        <f t="shared" ref="J45:L45" si="28">J44-J42</f>
        <v>1.7744840008286227</v>
      </c>
      <c r="K45" s="87">
        <f t="shared" si="28"/>
        <v>1.9430851361008816</v>
      </c>
      <c r="L45" s="87">
        <f t="shared" si="28"/>
        <v>2.1277057693239927</v>
      </c>
    </row>
    <row r="46" spans="2:12" x14ac:dyDescent="0.25">
      <c r="B46" s="182" t="s">
        <v>21</v>
      </c>
      <c r="C46" s="243">
        <v>0.3</v>
      </c>
      <c r="D46" s="243">
        <v>0.3</v>
      </c>
      <c r="E46" s="243">
        <v>0.3</v>
      </c>
      <c r="F46" s="243">
        <v>0.3</v>
      </c>
      <c r="G46" s="243">
        <v>0.3</v>
      </c>
      <c r="H46" s="243">
        <v>0.3</v>
      </c>
      <c r="I46" s="243">
        <v>0.3</v>
      </c>
      <c r="J46" s="243">
        <v>0.3</v>
      </c>
      <c r="K46" s="243">
        <v>0.3</v>
      </c>
      <c r="L46" s="243">
        <v>0.3</v>
      </c>
    </row>
    <row r="47" spans="2:12" x14ac:dyDescent="0.25">
      <c r="B47" s="63" t="s">
        <v>66</v>
      </c>
      <c r="C47" s="87">
        <f>C46*C45*100000000/1000000</f>
        <v>27.195761453611265</v>
      </c>
      <c r="D47" s="87">
        <f>D46*D45*100000000/1000000</f>
        <v>30.051035866221582</v>
      </c>
      <c r="E47" s="87">
        <f t="shared" ref="E47:G47" si="29">E46*E45*100000000/1000000</f>
        <v>33.206084638347917</v>
      </c>
      <c r="F47" s="87">
        <f t="shared" si="29"/>
        <v>36.692380985393449</v>
      </c>
      <c r="G47" s="87">
        <f t="shared" si="29"/>
        <v>40.544702485714289</v>
      </c>
      <c r="H47" s="87">
        <f>H46*H45*100000000/1000000</f>
        <v>44.397023986035109</v>
      </c>
      <c r="I47" s="87">
        <f>I46*I45*100000000/1000000</f>
        <v>48.615370639631216</v>
      </c>
      <c r="J47" s="87">
        <f>J46*J45*100000000/1000000</f>
        <v>53.234520024858675</v>
      </c>
      <c r="K47" s="87">
        <f>K46*K45*100000000/1000000</f>
        <v>58.292554083026445</v>
      </c>
      <c r="L47" s="87">
        <f>L46*L45*100000000/1000000</f>
        <v>63.831173079719782</v>
      </c>
    </row>
    <row r="48" spans="2:12" x14ac:dyDescent="0.25">
      <c r="B48" s="63" t="s">
        <v>33</v>
      </c>
      <c r="C48" s="97">
        <v>2.0000000000000001E-4</v>
      </c>
      <c r="D48" s="97">
        <v>6.2E-4</v>
      </c>
      <c r="E48" s="97">
        <v>1.8E-3</v>
      </c>
      <c r="F48" s="97">
        <v>3.8999999999999998E-3</v>
      </c>
      <c r="G48" s="97">
        <v>5.8999999999999999E-3</v>
      </c>
      <c r="H48" s="97">
        <v>7.9000000000000008E-3</v>
      </c>
      <c r="I48" s="97">
        <v>1.2500000000000001E-2</v>
      </c>
      <c r="J48" s="97">
        <v>2.1000000000000001E-2</v>
      </c>
      <c r="K48" s="97">
        <v>3.1E-2</v>
      </c>
      <c r="L48" s="97">
        <v>4.2000000000000003E-2</v>
      </c>
    </row>
    <row r="49" spans="2:13" ht="16.350000000000001" x14ac:dyDescent="0.25">
      <c r="B49" s="191" t="s">
        <v>56</v>
      </c>
      <c r="C49" s="192">
        <f t="shared" ref="C49:L49" si="30">C48*C47</f>
        <v>5.4391522907222536E-3</v>
      </c>
      <c r="D49" s="192">
        <f t="shared" si="30"/>
        <v>1.8631642237057381E-2</v>
      </c>
      <c r="E49" s="192">
        <f t="shared" si="30"/>
        <v>5.9770952349026248E-2</v>
      </c>
      <c r="F49" s="192">
        <f t="shared" si="30"/>
        <v>0.14310028584303444</v>
      </c>
      <c r="G49" s="192">
        <f t="shared" si="30"/>
        <v>0.2392137446657143</v>
      </c>
      <c r="H49" s="192">
        <f t="shared" si="30"/>
        <v>0.35073648948967739</v>
      </c>
      <c r="I49" s="192">
        <f t="shared" si="30"/>
        <v>0.60769213299539027</v>
      </c>
      <c r="J49" s="192">
        <f t="shared" si="30"/>
        <v>1.1179249205220323</v>
      </c>
      <c r="K49" s="192">
        <f t="shared" si="30"/>
        <v>1.8070691765738198</v>
      </c>
      <c r="L49" s="192">
        <f t="shared" si="30"/>
        <v>2.680909269348231</v>
      </c>
    </row>
    <row r="50" spans="2:13" x14ac:dyDescent="0.25">
      <c r="B50" s="188" t="s">
        <v>68</v>
      </c>
      <c r="C50" s="183">
        <f>C49/C$7</f>
        <v>9.8865937569814946E-2</v>
      </c>
      <c r="D50" s="183">
        <f t="shared" ref="D50:L50" si="31">D49/D$7</f>
        <v>0.19979845634407173</v>
      </c>
      <c r="E50" s="183">
        <f t="shared" si="31"/>
        <v>0.28412623108820939</v>
      </c>
      <c r="F50" s="183">
        <f t="shared" si="31"/>
        <v>0.32520270414907715</v>
      </c>
      <c r="G50" s="183">
        <f t="shared" si="31"/>
        <v>0.34544847697748227</v>
      </c>
      <c r="H50" s="183">
        <f t="shared" si="31"/>
        <v>0.35253997522118363</v>
      </c>
      <c r="I50" s="183">
        <f t="shared" si="31"/>
        <v>0.37434186337078323</v>
      </c>
      <c r="J50" s="183">
        <f t="shared" si="31"/>
        <v>0.38881893233571763</v>
      </c>
      <c r="K50" s="183">
        <f t="shared" si="31"/>
        <v>0.39807372452720075</v>
      </c>
      <c r="L50" s="183">
        <f t="shared" si="31"/>
        <v>0.40581973432385676</v>
      </c>
    </row>
    <row r="51" spans="2:13" ht="16.350000000000001" x14ac:dyDescent="0.25">
      <c r="B51" s="191" t="s">
        <v>57</v>
      </c>
      <c r="C51" s="337">
        <v>0.01</v>
      </c>
      <c r="D51" s="338">
        <f>D49-C49</f>
        <v>1.3192489946335127E-2</v>
      </c>
      <c r="E51" s="338">
        <f t="shared" ref="E51:L51" si="32">E49-D49</f>
        <v>4.1139310111968863E-2</v>
      </c>
      <c r="F51" s="338">
        <f t="shared" si="32"/>
        <v>8.3329333494008201E-2</v>
      </c>
      <c r="G51" s="338">
        <f t="shared" si="32"/>
        <v>9.6113458822679854E-2</v>
      </c>
      <c r="H51" s="338">
        <f t="shared" si="32"/>
        <v>0.1115227448239631</v>
      </c>
      <c r="I51" s="338">
        <f t="shared" si="32"/>
        <v>0.25695564350571287</v>
      </c>
      <c r="J51" s="338">
        <f t="shared" si="32"/>
        <v>0.51023278752664203</v>
      </c>
      <c r="K51" s="338">
        <f t="shared" si="32"/>
        <v>0.68914425605178753</v>
      </c>
      <c r="L51" s="338">
        <f t="shared" si="32"/>
        <v>0.87384009277441121</v>
      </c>
    </row>
    <row r="52" spans="2:13" x14ac:dyDescent="0.25">
      <c r="B52" s="189" t="s">
        <v>79</v>
      </c>
      <c r="C52" s="183" t="s">
        <v>329</v>
      </c>
      <c r="D52" s="183">
        <f>D51/D$8</f>
        <v>0.34502120733996944</v>
      </c>
      <c r="E52" s="183">
        <f t="shared" ref="E52:G52" si="33">E51/E$8</f>
        <v>0.35127152701364295</v>
      </c>
      <c r="F52" s="183">
        <f t="shared" si="33"/>
        <v>0.36282751237342337</v>
      </c>
      <c r="G52" s="183">
        <f t="shared" si="33"/>
        <v>0.38073951731804501</v>
      </c>
      <c r="H52" s="183">
        <f>H51/H$8</f>
        <v>0.36877835990898677</v>
      </c>
      <c r="I52" s="183">
        <f t="shared" ref="I52:L52" si="34">I51/I$8</f>
        <v>0.40885442805403677</v>
      </c>
      <c r="J52" s="183">
        <f t="shared" si="34"/>
        <v>0.40759281124629737</v>
      </c>
      <c r="K52" s="183">
        <f t="shared" si="34"/>
        <v>0.41406144544925028</v>
      </c>
      <c r="L52" s="183">
        <f t="shared" si="34"/>
        <v>0.42283457281285092</v>
      </c>
    </row>
    <row r="53" spans="2:13" x14ac:dyDescent="0.25">
      <c r="B53" s="232"/>
      <c r="C53" s="233"/>
      <c r="D53" s="233"/>
      <c r="E53" s="233"/>
      <c r="F53" s="233"/>
      <c r="G53" s="233"/>
      <c r="H53" s="233"/>
      <c r="I53" s="233"/>
      <c r="J53" s="233"/>
      <c r="K53" s="233"/>
      <c r="L53" s="233"/>
    </row>
    <row r="54" spans="2:13" x14ac:dyDescent="0.25">
      <c r="B54" s="104"/>
      <c r="G54" s="229" t="s">
        <v>193</v>
      </c>
      <c r="H54" s="228">
        <f>'用电量-各行业汇总'!I14</f>
        <v>0.37101095999270184</v>
      </c>
    </row>
    <row r="55" spans="2:13" ht="17.55" x14ac:dyDescent="0.25">
      <c r="B55" s="343" t="s">
        <v>136</v>
      </c>
      <c r="C55" s="344"/>
      <c r="D55" s="344"/>
      <c r="E55" s="344"/>
      <c r="F55" s="344"/>
      <c r="G55" s="344"/>
      <c r="H55" s="344"/>
      <c r="I55" s="344"/>
      <c r="J55" s="344"/>
      <c r="K55" s="344"/>
      <c r="L55" s="344"/>
    </row>
    <row r="56" spans="2:13" ht="16.350000000000001" x14ac:dyDescent="0.25">
      <c r="B56" s="8"/>
      <c r="C56" s="7">
        <v>2016</v>
      </c>
      <c r="D56" s="7">
        <v>2017</v>
      </c>
      <c r="E56" s="7">
        <v>2018</v>
      </c>
      <c r="F56" s="7">
        <v>2019</v>
      </c>
      <c r="G56" s="7">
        <v>2020</v>
      </c>
      <c r="H56" s="7">
        <v>2021</v>
      </c>
      <c r="I56" s="178" t="s">
        <v>58</v>
      </c>
      <c r="J56" s="178" t="s">
        <v>59</v>
      </c>
      <c r="K56" s="178" t="s">
        <v>60</v>
      </c>
      <c r="L56" s="180" t="s">
        <v>61</v>
      </c>
    </row>
    <row r="57" spans="2:13" x14ac:dyDescent="0.25">
      <c r="B57" s="63" t="s">
        <v>72</v>
      </c>
      <c r="C57" s="190">
        <v>21.8583904761906</v>
      </c>
      <c r="D57" s="190">
        <v>34.407142857142901</v>
      </c>
      <c r="E57" s="190">
        <v>58.767400000000002</v>
      </c>
      <c r="F57" s="190">
        <v>65.410399999999996</v>
      </c>
      <c r="G57" s="190">
        <f>'用电量-各行业汇总'!D14</f>
        <v>116.4</v>
      </c>
      <c r="H57" s="190">
        <f>'用电量-各行业汇总'!F14*10</f>
        <v>217.94290000000001</v>
      </c>
      <c r="I57" s="200">
        <f>H57*(1+$H$54)</f>
        <v>298.80210455259345</v>
      </c>
      <c r="J57" s="200">
        <f t="shared" ref="J57:K57" si="35">I57*(1+$H$54)</f>
        <v>409.66096021049083</v>
      </c>
      <c r="K57" s="200">
        <f t="shared" si="35"/>
        <v>561.64966632971709</v>
      </c>
      <c r="L57" s="184">
        <f>'用电量-各行业汇总'!G14*10</f>
        <v>770.02784821428588</v>
      </c>
    </row>
    <row r="58" spans="2:13" x14ac:dyDescent="0.25">
      <c r="B58" s="63" t="s">
        <v>129</v>
      </c>
      <c r="C58" s="184">
        <v>360</v>
      </c>
      <c r="D58" s="184">
        <v>360</v>
      </c>
      <c r="E58" s="184">
        <v>360</v>
      </c>
      <c r="F58" s="184">
        <v>360</v>
      </c>
      <c r="G58" s="184">
        <v>360</v>
      </c>
      <c r="H58" s="184">
        <v>360</v>
      </c>
      <c r="I58" s="184">
        <v>360</v>
      </c>
      <c r="J58" s="184">
        <v>360</v>
      </c>
      <c r="K58" s="184">
        <v>360</v>
      </c>
      <c r="L58" s="184">
        <v>360</v>
      </c>
      <c r="M58" s="212"/>
    </row>
    <row r="59" spans="2:13" x14ac:dyDescent="0.25">
      <c r="B59" s="63" t="s">
        <v>130</v>
      </c>
      <c r="C59" s="184">
        <v>3</v>
      </c>
      <c r="D59" s="184">
        <v>3</v>
      </c>
      <c r="E59" s="184">
        <v>3</v>
      </c>
      <c r="F59" s="184">
        <v>3</v>
      </c>
      <c r="G59" s="184">
        <v>3</v>
      </c>
      <c r="H59" s="184">
        <v>3</v>
      </c>
      <c r="I59" s="184">
        <v>3</v>
      </c>
      <c r="J59" s="184">
        <v>3</v>
      </c>
      <c r="K59" s="184">
        <v>3</v>
      </c>
      <c r="L59" s="184">
        <v>3</v>
      </c>
    </row>
    <row r="60" spans="2:13" x14ac:dyDescent="0.25">
      <c r="B60" s="63" t="s">
        <v>132</v>
      </c>
      <c r="C60" s="87">
        <f>C57/C58/C59</f>
        <v>2.0239250440917223E-2</v>
      </c>
      <c r="D60" s="87">
        <f t="shared" ref="D60:G60" si="36">D57/D58/D59</f>
        <v>3.1858465608465648E-2</v>
      </c>
      <c r="E60" s="87">
        <f t="shared" si="36"/>
        <v>5.4414259259259266E-2</v>
      </c>
      <c r="F60" s="87">
        <f t="shared" si="36"/>
        <v>6.0565185185185187E-2</v>
      </c>
      <c r="G60" s="87">
        <f t="shared" si="36"/>
        <v>0.10777777777777779</v>
      </c>
      <c r="H60" s="87">
        <f>H57/H58/H59</f>
        <v>0.20179898148148148</v>
      </c>
      <c r="I60" s="87">
        <f>I57/I58/I59</f>
        <v>0.27666861532647541</v>
      </c>
      <c r="J60" s="87">
        <f t="shared" ref="J60:L60" si="37">J57/J58/J59</f>
        <v>0.37931570389860259</v>
      </c>
      <c r="K60" s="87">
        <f t="shared" si="37"/>
        <v>0.52004598734233065</v>
      </c>
      <c r="L60" s="87">
        <f t="shared" si="37"/>
        <v>0.71298874834656101</v>
      </c>
    </row>
    <row r="61" spans="2:13" x14ac:dyDescent="0.25">
      <c r="B61" s="181" t="s">
        <v>133</v>
      </c>
      <c r="C61" s="185">
        <v>0.7</v>
      </c>
      <c r="D61" s="185">
        <v>0.7</v>
      </c>
      <c r="E61" s="185">
        <v>0.7</v>
      </c>
      <c r="F61" s="185">
        <v>0.7</v>
      </c>
      <c r="G61" s="185">
        <v>0.7</v>
      </c>
      <c r="H61" s="185">
        <v>0.7</v>
      </c>
      <c r="I61" s="185">
        <v>0.7</v>
      </c>
      <c r="J61" s="185">
        <v>0.7</v>
      </c>
      <c r="K61" s="185">
        <v>0.7</v>
      </c>
      <c r="L61" s="185">
        <v>0.7</v>
      </c>
    </row>
    <row r="62" spans="2:13" x14ac:dyDescent="0.25">
      <c r="B62" s="63" t="s">
        <v>134</v>
      </c>
      <c r="C62" s="87">
        <f t="shared" ref="C62:G62" si="38">C60/C61</f>
        <v>2.8913214915596036E-2</v>
      </c>
      <c r="D62" s="87">
        <f t="shared" si="38"/>
        <v>4.5512093726379502E-2</v>
      </c>
      <c r="E62" s="87">
        <f t="shared" si="38"/>
        <v>7.7734656084656101E-2</v>
      </c>
      <c r="F62" s="87">
        <f t="shared" si="38"/>
        <v>8.6521693121693125E-2</v>
      </c>
      <c r="G62" s="87">
        <f t="shared" si="38"/>
        <v>0.153968253968254</v>
      </c>
      <c r="H62" s="87">
        <f>H60/H61</f>
        <v>0.28828425925925927</v>
      </c>
      <c r="I62" s="87">
        <f>I60/I61</f>
        <v>0.39524087903782201</v>
      </c>
      <c r="J62" s="87">
        <f t="shared" ref="J62:L62" si="39">J60/J61</f>
        <v>0.54187957699800371</v>
      </c>
      <c r="K62" s="87">
        <f t="shared" si="39"/>
        <v>0.74292283906047241</v>
      </c>
      <c r="L62" s="87">
        <f t="shared" si="39"/>
        <v>1.0185553547808015</v>
      </c>
    </row>
    <row r="63" spans="2:13" x14ac:dyDescent="0.25">
      <c r="B63" s="63" t="s">
        <v>20</v>
      </c>
      <c r="C63" s="87">
        <f>C62-C60</f>
        <v>8.6739644746788129E-3</v>
      </c>
      <c r="D63" s="87">
        <f t="shared" ref="D63:G63" si="40">D62-D60</f>
        <v>1.3653628117913853E-2</v>
      </c>
      <c r="E63" s="87">
        <f t="shared" si="40"/>
        <v>2.3320396825396834E-2</v>
      </c>
      <c r="F63" s="87">
        <f t="shared" si="40"/>
        <v>2.5956507936507937E-2</v>
      </c>
      <c r="G63" s="87">
        <f t="shared" si="40"/>
        <v>4.6190476190476212E-2</v>
      </c>
      <c r="H63" s="87">
        <f>H62-H60</f>
        <v>8.6485277777777786E-2</v>
      </c>
      <c r="I63" s="87">
        <f>I62-I60</f>
        <v>0.1185722637113466</v>
      </c>
      <c r="J63" s="87">
        <f t="shared" ref="J63:L63" si="41">J62-J60</f>
        <v>0.16256387309940112</v>
      </c>
      <c r="K63" s="87">
        <f t="shared" si="41"/>
        <v>0.22287685171814176</v>
      </c>
      <c r="L63" s="87">
        <f t="shared" si="41"/>
        <v>0.3055666064342405</v>
      </c>
    </row>
    <row r="64" spans="2:13" x14ac:dyDescent="0.25">
      <c r="B64" s="182" t="s">
        <v>21</v>
      </c>
      <c r="C64" s="186">
        <v>0.3</v>
      </c>
      <c r="D64" s="186">
        <v>0.3</v>
      </c>
      <c r="E64" s="186">
        <v>0.3</v>
      </c>
      <c r="F64" s="186">
        <v>0.3</v>
      </c>
      <c r="G64" s="186">
        <v>0.3</v>
      </c>
      <c r="H64" s="186">
        <v>0.3</v>
      </c>
      <c r="I64" s="186">
        <v>0.3</v>
      </c>
      <c r="J64" s="186">
        <v>0.3</v>
      </c>
      <c r="K64" s="186">
        <v>0.3</v>
      </c>
      <c r="L64" s="186">
        <v>0.3</v>
      </c>
    </row>
    <row r="65" spans="2:12" x14ac:dyDescent="0.25">
      <c r="B65" s="63" t="s">
        <v>66</v>
      </c>
      <c r="C65" s="87">
        <f>C64*C63*100000000/1000000</f>
        <v>0.26021893424036435</v>
      </c>
      <c r="D65" s="87">
        <f t="shared" ref="D65:G65" si="42">D64*D63*100000000/1000000</f>
        <v>0.40960884353741556</v>
      </c>
      <c r="E65" s="87">
        <f t="shared" si="42"/>
        <v>0.69961190476190505</v>
      </c>
      <c r="F65" s="87">
        <f t="shared" si="42"/>
        <v>0.77869523809523811</v>
      </c>
      <c r="G65" s="87">
        <f t="shared" si="42"/>
        <v>1.3857142857142863</v>
      </c>
      <c r="H65" s="87">
        <f>H64*H63*100000000/1000000</f>
        <v>2.5945583333333335</v>
      </c>
      <c r="I65" s="87">
        <f>I64*I63*100000000/1000000</f>
        <v>3.5571679113403984</v>
      </c>
      <c r="J65" s="87">
        <f>J64*J63*100000000/1000000</f>
        <v>4.8769161929820335</v>
      </c>
      <c r="K65" s="87">
        <f>K64*K63*100000000/1000000</f>
        <v>6.6863055515442529</v>
      </c>
      <c r="L65" s="87">
        <f>L64*L63*100000000/1000000</f>
        <v>9.1669981930272151</v>
      </c>
    </row>
    <row r="66" spans="2:12" x14ac:dyDescent="0.25">
      <c r="B66" s="63" t="s">
        <v>33</v>
      </c>
      <c r="C66" s="97">
        <v>1E-3</v>
      </c>
      <c r="D66" s="97">
        <v>1.5E-3</v>
      </c>
      <c r="E66" s="97">
        <v>3.5000000000000001E-3</v>
      </c>
      <c r="F66" s="97">
        <v>6.7999999999999996E-3</v>
      </c>
      <c r="G66" s="97">
        <v>8.9999999999999993E-3</v>
      </c>
      <c r="H66" s="97">
        <v>1.0500000000000001E-2</v>
      </c>
      <c r="I66" s="97">
        <v>1.3599999999999999E-2</v>
      </c>
      <c r="J66" s="97">
        <v>0.02</v>
      </c>
      <c r="K66" s="97">
        <v>2.7E-2</v>
      </c>
      <c r="L66" s="97">
        <v>3.4500000000000003E-2</v>
      </c>
    </row>
    <row r="67" spans="2:12" s="205" customFormat="1" ht="16.350000000000001" x14ac:dyDescent="0.25">
      <c r="B67" s="191" t="s">
        <v>56</v>
      </c>
      <c r="C67" s="192">
        <f t="shared" ref="C67:L67" si="43">C66*C65</f>
        <v>2.6021893424036437E-4</v>
      </c>
      <c r="D67" s="192">
        <f t="shared" si="43"/>
        <v>6.1441326530612338E-4</v>
      </c>
      <c r="E67" s="192">
        <f t="shared" si="43"/>
        <v>2.4486416666666677E-3</v>
      </c>
      <c r="F67" s="192">
        <f t="shared" si="43"/>
        <v>5.2951276190476189E-3</v>
      </c>
      <c r="G67" s="192">
        <f t="shared" si="43"/>
        <v>1.2471428571428576E-2</v>
      </c>
      <c r="H67" s="192">
        <f t="shared" si="43"/>
        <v>2.7242862500000003E-2</v>
      </c>
      <c r="I67" s="192">
        <f t="shared" si="43"/>
        <v>4.8377483594229415E-2</v>
      </c>
      <c r="J67" s="192">
        <f t="shared" si="43"/>
        <v>9.7538323859640674E-2</v>
      </c>
      <c r="K67" s="192">
        <f t="shared" si="43"/>
        <v>0.18053024989169483</v>
      </c>
      <c r="L67" s="192">
        <f t="shared" si="43"/>
        <v>0.31626143765943893</v>
      </c>
    </row>
    <row r="68" spans="2:12" s="202" customFormat="1" x14ac:dyDescent="0.25">
      <c r="B68" s="189" t="s">
        <v>68</v>
      </c>
      <c r="C68" s="183">
        <f>C67/C$7</f>
        <v>4.729926196583004E-3</v>
      </c>
      <c r="D68" s="183">
        <f t="shared" ref="D68:L68" si="44">D67/D$7</f>
        <v>6.5887279502030724E-3</v>
      </c>
      <c r="E68" s="183">
        <f t="shared" si="44"/>
        <v>1.163982337060564E-2</v>
      </c>
      <c r="F68" s="183">
        <f t="shared" si="44"/>
        <v>1.2033447804692626E-2</v>
      </c>
      <c r="G68" s="183">
        <f t="shared" si="44"/>
        <v>1.8009985219511276E-2</v>
      </c>
      <c r="H68" s="183">
        <f t="shared" si="44"/>
        <v>2.7382945198197797E-2</v>
      </c>
      <c r="I68" s="183">
        <f t="shared" si="44"/>
        <v>2.9800809275888237E-2</v>
      </c>
      <c r="J68" s="183">
        <f t="shared" si="44"/>
        <v>3.3924234310128268E-2</v>
      </c>
      <c r="K68" s="183">
        <f t="shared" si="44"/>
        <v>3.9768454852662109E-2</v>
      </c>
      <c r="L68" s="183">
        <f t="shared" si="44"/>
        <v>4.7873732272572252E-2</v>
      </c>
    </row>
    <row r="69" spans="2:12" ht="16.350000000000001" x14ac:dyDescent="0.25">
      <c r="B69" s="191" t="s">
        <v>57</v>
      </c>
      <c r="C69" s="337">
        <v>1E-4</v>
      </c>
      <c r="D69" s="338">
        <f>D67-C67</f>
        <v>3.5419433106575901E-4</v>
      </c>
      <c r="E69" s="338">
        <f t="shared" ref="E69:L69" si="45">E67-D67</f>
        <v>1.8342284013605444E-3</v>
      </c>
      <c r="F69" s="338">
        <f t="shared" si="45"/>
        <v>2.8464859523809512E-3</v>
      </c>
      <c r="G69" s="338">
        <f t="shared" si="45"/>
        <v>7.1763009523809571E-3</v>
      </c>
      <c r="H69" s="338">
        <f t="shared" si="45"/>
        <v>1.4771433928571427E-2</v>
      </c>
      <c r="I69" s="338">
        <f t="shared" si="45"/>
        <v>2.1134621094229412E-2</v>
      </c>
      <c r="J69" s="338">
        <f t="shared" si="45"/>
        <v>4.916084026541126E-2</v>
      </c>
      <c r="K69" s="338">
        <f t="shared" si="45"/>
        <v>8.2991926032054159E-2</v>
      </c>
      <c r="L69" s="338">
        <f t="shared" si="45"/>
        <v>0.13573118776774409</v>
      </c>
    </row>
    <row r="70" spans="2:12" x14ac:dyDescent="0.25">
      <c r="B70" s="189" t="s">
        <v>79</v>
      </c>
      <c r="C70" s="183" t="s">
        <v>329</v>
      </c>
      <c r="D70" s="183">
        <f>D69/D$8</f>
        <v>9.2631911211900862E-3</v>
      </c>
      <c r="E70" s="183">
        <f t="shared" ref="E70:G70" si="46">E69/E$8</f>
        <v>1.5661716486836726E-2</v>
      </c>
      <c r="F70" s="183">
        <f t="shared" si="46"/>
        <v>1.2393995893205334E-2</v>
      </c>
      <c r="G70" s="183">
        <f t="shared" si="46"/>
        <v>2.8427874661959542E-2</v>
      </c>
      <c r="H70" s="183">
        <f>H69/H$8</f>
        <v>4.8845508477047835E-2</v>
      </c>
      <c r="I70" s="183">
        <f t="shared" ref="I70:L70" si="47">I69/I$8</f>
        <v>3.3628307600988075E-2</v>
      </c>
      <c r="J70" s="183">
        <f t="shared" si="47"/>
        <v>3.9271496416648601E-2</v>
      </c>
      <c r="K70" s="183">
        <f t="shared" si="47"/>
        <v>4.9864388408785126E-2</v>
      </c>
      <c r="L70" s="183">
        <f t="shared" si="47"/>
        <v>6.5677735860044925E-2</v>
      </c>
    </row>
    <row r="72" spans="2:12" x14ac:dyDescent="0.25">
      <c r="G72" s="229" t="s">
        <v>193</v>
      </c>
      <c r="H72" s="228">
        <f>'用电量-各行业汇总'!I10</f>
        <v>0.09</v>
      </c>
    </row>
    <row r="73" spans="2:12" ht="18.149999999999999" thickBot="1" x14ac:dyDescent="0.3">
      <c r="B73" s="345" t="s">
        <v>137</v>
      </c>
      <c r="C73" s="346"/>
      <c r="D73" s="346"/>
      <c r="E73" s="346"/>
      <c r="F73" s="346"/>
      <c r="G73" s="346"/>
      <c r="H73" s="346"/>
      <c r="I73" s="346"/>
      <c r="J73" s="346"/>
      <c r="K73" s="346"/>
      <c r="L73" s="346"/>
    </row>
    <row r="74" spans="2:12" ht="16.350000000000001" x14ac:dyDescent="0.25">
      <c r="B74" s="37"/>
      <c r="C74" s="38">
        <v>2016</v>
      </c>
      <c r="D74" s="38">
        <v>2017</v>
      </c>
      <c r="E74" s="38">
        <v>2018</v>
      </c>
      <c r="F74" s="38">
        <v>2019</v>
      </c>
      <c r="G74" s="38">
        <v>2020</v>
      </c>
      <c r="H74" s="38">
        <v>2021</v>
      </c>
      <c r="I74" s="57" t="s">
        <v>58</v>
      </c>
      <c r="J74" s="57" t="s">
        <v>59</v>
      </c>
      <c r="K74" s="57" t="s">
        <v>60</v>
      </c>
      <c r="L74" s="75" t="s">
        <v>61</v>
      </c>
    </row>
    <row r="75" spans="2:12" x14ac:dyDescent="0.25">
      <c r="B75" s="64" t="s">
        <v>72</v>
      </c>
      <c r="C75" s="200">
        <f t="shared" ref="C75:E75" si="48">D75*(1-$H$72)</f>
        <v>1831.3897212757513</v>
      </c>
      <c r="D75" s="200">
        <f t="shared" si="48"/>
        <v>2012.5161772261004</v>
      </c>
      <c r="E75" s="200">
        <f t="shared" si="48"/>
        <v>2211.5562387100003</v>
      </c>
      <c r="F75" s="200">
        <f>G75*(1-$H$72)</f>
        <v>2430.2815810000002</v>
      </c>
      <c r="G75" s="190">
        <f>'用电量-工业'!D38+'用电量-工业'!D40+'用电量-工业'!D43</f>
        <v>2670.6391000000003</v>
      </c>
      <c r="H75" s="200">
        <f>G75*(1+$H$72)</f>
        <v>2910.9966190000005</v>
      </c>
      <c r="I75" s="200">
        <f>H75*(1+$H$72)</f>
        <v>3172.9863147100009</v>
      </c>
      <c r="J75" s="200">
        <f>I75*(1+$H$72)</f>
        <v>3458.5550830339012</v>
      </c>
      <c r="K75" s="200">
        <f>J75*(1+$H$72)</f>
        <v>3769.8250405069525</v>
      </c>
      <c r="L75" s="200">
        <f>K75*(1+$H$72)</f>
        <v>4109.1092941525785</v>
      </c>
    </row>
    <row r="76" spans="2:12" x14ac:dyDescent="0.25">
      <c r="B76" s="64" t="s">
        <v>19</v>
      </c>
      <c r="C76" s="184">
        <v>300</v>
      </c>
      <c r="D76" s="184">
        <v>300</v>
      </c>
      <c r="E76" s="184">
        <v>300</v>
      </c>
      <c r="F76" s="184">
        <v>300</v>
      </c>
      <c r="G76" s="184">
        <v>300</v>
      </c>
      <c r="H76" s="184">
        <v>300</v>
      </c>
      <c r="I76" s="184">
        <v>300</v>
      </c>
      <c r="J76" s="184">
        <v>300</v>
      </c>
      <c r="K76" s="184">
        <v>300</v>
      </c>
      <c r="L76" s="195">
        <v>300</v>
      </c>
    </row>
    <row r="77" spans="2:12" x14ac:dyDescent="0.25">
      <c r="B77" s="64" t="s">
        <v>18</v>
      </c>
      <c r="C77" s="184">
        <v>24</v>
      </c>
      <c r="D77" s="184">
        <v>24</v>
      </c>
      <c r="E77" s="184">
        <v>24</v>
      </c>
      <c r="F77" s="184">
        <v>24</v>
      </c>
      <c r="G77" s="184">
        <v>24</v>
      </c>
      <c r="H77" s="184">
        <v>24</v>
      </c>
      <c r="I77" s="184">
        <v>24</v>
      </c>
      <c r="J77" s="184">
        <v>24</v>
      </c>
      <c r="K77" s="184">
        <v>24</v>
      </c>
      <c r="L77" s="195">
        <v>24</v>
      </c>
    </row>
    <row r="78" spans="2:12" x14ac:dyDescent="0.25">
      <c r="B78" s="64" t="s">
        <v>132</v>
      </c>
      <c r="C78" s="87">
        <f>C75/C76/C77</f>
        <v>0.25435968351052102</v>
      </c>
      <c r="D78" s="87">
        <f t="shared" ref="D78:G78" si="49">D75/D76/D77</f>
        <v>0.27951613572584727</v>
      </c>
      <c r="E78" s="87">
        <f t="shared" si="49"/>
        <v>0.30716058870972224</v>
      </c>
      <c r="F78" s="87">
        <f t="shared" si="49"/>
        <v>0.33753910847222229</v>
      </c>
      <c r="G78" s="87">
        <f t="shared" si="49"/>
        <v>0.37092209722222225</v>
      </c>
      <c r="H78" s="87">
        <f>H75/H76/H77</f>
        <v>0.40430508597222231</v>
      </c>
      <c r="I78" s="87">
        <f>I75/I76/I77</f>
        <v>0.44069254370972238</v>
      </c>
      <c r="J78" s="87">
        <f t="shared" ref="J78:L78" si="50">J75/J76/J77</f>
        <v>0.48035487264359739</v>
      </c>
      <c r="K78" s="87">
        <f t="shared" si="50"/>
        <v>0.52358681118152117</v>
      </c>
      <c r="L78" s="88">
        <f t="shared" si="50"/>
        <v>0.57070962418785809</v>
      </c>
    </row>
    <row r="79" spans="2:12" x14ac:dyDescent="0.25">
      <c r="B79" s="78" t="s">
        <v>133</v>
      </c>
      <c r="C79" s="185">
        <v>0.7</v>
      </c>
      <c r="D79" s="185">
        <v>0.7</v>
      </c>
      <c r="E79" s="185">
        <v>0.7</v>
      </c>
      <c r="F79" s="185">
        <v>0.7</v>
      </c>
      <c r="G79" s="185">
        <v>0.7</v>
      </c>
      <c r="H79" s="185">
        <v>0.7</v>
      </c>
      <c r="I79" s="185">
        <v>0.7</v>
      </c>
      <c r="J79" s="185">
        <v>0.7</v>
      </c>
      <c r="K79" s="185">
        <v>0.7</v>
      </c>
      <c r="L79" s="194">
        <v>0.7</v>
      </c>
    </row>
    <row r="80" spans="2:12" x14ac:dyDescent="0.25">
      <c r="B80" s="64" t="s">
        <v>134</v>
      </c>
      <c r="C80" s="87">
        <f t="shared" ref="C80:G80" si="51">C78/C79</f>
        <v>0.3633709764436015</v>
      </c>
      <c r="D80" s="87">
        <f t="shared" si="51"/>
        <v>0.39930876532263898</v>
      </c>
      <c r="E80" s="87">
        <f t="shared" si="51"/>
        <v>0.43880084101388894</v>
      </c>
      <c r="F80" s="87">
        <f t="shared" si="51"/>
        <v>0.482198726388889</v>
      </c>
      <c r="G80" s="87">
        <f t="shared" si="51"/>
        <v>0.52988871031746043</v>
      </c>
      <c r="H80" s="87">
        <f>H78/H79</f>
        <v>0.57757869424603192</v>
      </c>
      <c r="I80" s="87">
        <f>I78/I79</f>
        <v>0.6295607767281749</v>
      </c>
      <c r="J80" s="87">
        <f t="shared" ref="J80:L80" si="52">J78/J79</f>
        <v>0.68622124663371065</v>
      </c>
      <c r="K80" s="87">
        <f t="shared" si="52"/>
        <v>0.74798115883074456</v>
      </c>
      <c r="L80" s="88">
        <f t="shared" si="52"/>
        <v>0.8152994631255116</v>
      </c>
    </row>
    <row r="81" spans="2:13" x14ac:dyDescent="0.25">
      <c r="B81" s="64" t="s">
        <v>20</v>
      </c>
      <c r="C81" s="87">
        <f t="shared" ref="C81:G81" si="53">C80-C78</f>
        <v>0.10901129293308048</v>
      </c>
      <c r="D81" s="87">
        <f t="shared" si="53"/>
        <v>0.11979262959679171</v>
      </c>
      <c r="E81" s="87">
        <f t="shared" si="53"/>
        <v>0.1316402523041667</v>
      </c>
      <c r="F81" s="87">
        <f t="shared" si="53"/>
        <v>0.14465961791666671</v>
      </c>
      <c r="G81" s="87">
        <f t="shared" si="53"/>
        <v>0.15896661309523819</v>
      </c>
      <c r="H81" s="87">
        <f>H80-H78</f>
        <v>0.17327360827380961</v>
      </c>
      <c r="I81" s="87">
        <f>I80-I78</f>
        <v>0.18886823301845251</v>
      </c>
      <c r="J81" s="87">
        <f t="shared" ref="J81:L81" si="54">J80-J78</f>
        <v>0.20586637399011326</v>
      </c>
      <c r="K81" s="87">
        <f t="shared" si="54"/>
        <v>0.22439434764922339</v>
      </c>
      <c r="L81" s="88">
        <f t="shared" si="54"/>
        <v>0.24458983893765351</v>
      </c>
    </row>
    <row r="82" spans="2:13" x14ac:dyDescent="0.25">
      <c r="B82" s="81" t="s">
        <v>21</v>
      </c>
      <c r="C82" s="243">
        <v>0.3</v>
      </c>
      <c r="D82" s="243">
        <v>0.3</v>
      </c>
      <c r="E82" s="243">
        <v>0.3</v>
      </c>
      <c r="F82" s="243">
        <v>0.3</v>
      </c>
      <c r="G82" s="243">
        <v>0.3</v>
      </c>
      <c r="H82" s="243">
        <v>0.3</v>
      </c>
      <c r="I82" s="243">
        <v>0.3</v>
      </c>
      <c r="J82" s="243">
        <v>0.3</v>
      </c>
      <c r="K82" s="243">
        <v>0.3</v>
      </c>
      <c r="L82" s="243">
        <v>0.3</v>
      </c>
    </row>
    <row r="83" spans="2:13" x14ac:dyDescent="0.25">
      <c r="B83" s="64" t="s">
        <v>66</v>
      </c>
      <c r="C83" s="87">
        <f>C82*C81*100000000/1000000</f>
        <v>3.2703387879924142</v>
      </c>
      <c r="D83" s="87">
        <f t="shared" ref="D83:G83" si="55">D82*D81*100000000/1000000</f>
        <v>3.5937788879037513</v>
      </c>
      <c r="E83" s="87">
        <f t="shared" si="55"/>
        <v>3.9492075691250008</v>
      </c>
      <c r="F83" s="87">
        <f t="shared" si="55"/>
        <v>4.3397885375000005</v>
      </c>
      <c r="G83" s="87">
        <f t="shared" si="55"/>
        <v>4.7689983928571458</v>
      </c>
      <c r="H83" s="87">
        <f>H82*H81*100000000/1000000</f>
        <v>5.1982082482142875</v>
      </c>
      <c r="I83" s="87">
        <f>I82*I81*100000000/1000000</f>
        <v>5.6660469905535749</v>
      </c>
      <c r="J83" s="87">
        <f>J82*J81*100000000/1000000</f>
        <v>6.1759912197033975</v>
      </c>
      <c r="K83" s="87">
        <f>K82*K81*100000000/1000000</f>
        <v>6.7318304294767008</v>
      </c>
      <c r="L83" s="88">
        <f>L82*L81*100000000/1000000</f>
        <v>7.3376951681296054</v>
      </c>
    </row>
    <row r="84" spans="2:13" x14ac:dyDescent="0.25">
      <c r="B84" s="64" t="s">
        <v>33</v>
      </c>
      <c r="C84" s="97">
        <v>0</v>
      </c>
      <c r="D84" s="97">
        <v>5.0000000000000002E-5</v>
      </c>
      <c r="E84" s="97">
        <v>2.0000000000000001E-4</v>
      </c>
      <c r="F84" s="97">
        <v>5.0000000000000001E-4</v>
      </c>
      <c r="G84" s="97">
        <v>1E-3</v>
      </c>
      <c r="H84" s="97">
        <v>2E-3</v>
      </c>
      <c r="I84" s="97">
        <v>4.4000000000000003E-3</v>
      </c>
      <c r="J84" s="97">
        <v>8.3999999999999995E-3</v>
      </c>
      <c r="K84" s="97">
        <v>1.4200000000000001E-2</v>
      </c>
      <c r="L84" s="97">
        <v>2.1999999999999999E-2</v>
      </c>
    </row>
    <row r="85" spans="2:13" s="205" customFormat="1" ht="16.350000000000001" x14ac:dyDescent="0.25">
      <c r="B85" s="206" t="s">
        <v>56</v>
      </c>
      <c r="C85" s="192">
        <f t="shared" ref="C85:L85" si="56">C84*C83</f>
        <v>0</v>
      </c>
      <c r="D85" s="192">
        <f t="shared" si="56"/>
        <v>1.7968894439518757E-4</v>
      </c>
      <c r="E85" s="192">
        <f t="shared" si="56"/>
        <v>7.8984151382500024E-4</v>
      </c>
      <c r="F85" s="192">
        <f t="shared" si="56"/>
        <v>2.1698942687500005E-3</v>
      </c>
      <c r="G85" s="192">
        <f t="shared" si="56"/>
        <v>4.7689983928571461E-3</v>
      </c>
      <c r="H85" s="192">
        <f t="shared" si="56"/>
        <v>1.0396416496428576E-2</v>
      </c>
      <c r="I85" s="192">
        <f t="shared" si="56"/>
        <v>2.4930606758435732E-2</v>
      </c>
      <c r="J85" s="192">
        <f t="shared" si="56"/>
        <v>5.1878326245508533E-2</v>
      </c>
      <c r="K85" s="192">
        <f t="shared" si="56"/>
        <v>9.5591992098569153E-2</v>
      </c>
      <c r="L85" s="207">
        <f>L84*L83</f>
        <v>0.16142929369885131</v>
      </c>
    </row>
    <row r="86" spans="2:13" s="202" customFormat="1" ht="16.350000000000001" thickBot="1" x14ac:dyDescent="0.3">
      <c r="B86" s="198" t="s">
        <v>68</v>
      </c>
      <c r="C86" s="199">
        <f>C85/C$7</f>
        <v>0</v>
      </c>
      <c r="D86" s="199">
        <f t="shared" ref="D86:L86" si="57">D85/D$7</f>
        <v>1.9269140774315551E-3</v>
      </c>
      <c r="E86" s="199">
        <f t="shared" si="57"/>
        <v>3.7545778285354558E-3</v>
      </c>
      <c r="F86" s="199">
        <f t="shared" si="57"/>
        <v>4.9311954882404101E-3</v>
      </c>
      <c r="G86" s="199">
        <f t="shared" si="57"/>
        <v>6.8869087510952057E-3</v>
      </c>
      <c r="H86" s="199">
        <f t="shared" si="57"/>
        <v>1.0449874831594631E-2</v>
      </c>
      <c r="I86" s="199">
        <f t="shared" si="57"/>
        <v>1.5357397738416776E-2</v>
      </c>
      <c r="J86" s="199">
        <f t="shared" si="57"/>
        <v>1.8043497422638523E-2</v>
      </c>
      <c r="K86" s="199">
        <f t="shared" si="57"/>
        <v>2.1057666647714909E-2</v>
      </c>
      <c r="L86" s="199">
        <f t="shared" si="57"/>
        <v>2.4436184331177471E-2</v>
      </c>
    </row>
    <row r="87" spans="2:13" ht="16.350000000000001" x14ac:dyDescent="0.25">
      <c r="B87" s="191" t="s">
        <v>57</v>
      </c>
      <c r="C87" s="337">
        <v>0</v>
      </c>
      <c r="D87" s="338">
        <f>D85-C85</f>
        <v>1.7968894439518757E-4</v>
      </c>
      <c r="E87" s="338">
        <f>E85-D85</f>
        <v>6.1015256942981264E-4</v>
      </c>
      <c r="F87" s="338">
        <f t="shared" ref="F87:L87" si="58">F85-E85</f>
        <v>1.3800527549250002E-3</v>
      </c>
      <c r="G87" s="338">
        <f t="shared" si="58"/>
        <v>2.5991041241071457E-3</v>
      </c>
      <c r="H87" s="338">
        <f t="shared" si="58"/>
        <v>5.6274181035714296E-3</v>
      </c>
      <c r="I87" s="338">
        <f t="shared" si="58"/>
        <v>1.4534190262007156E-2</v>
      </c>
      <c r="J87" s="338">
        <f t="shared" si="58"/>
        <v>2.6947719487072801E-2</v>
      </c>
      <c r="K87" s="338">
        <f t="shared" si="58"/>
        <v>4.3713665853060621E-2</v>
      </c>
      <c r="L87" s="338">
        <f t="shared" si="58"/>
        <v>6.5837301600282158E-2</v>
      </c>
    </row>
    <row r="88" spans="2:13" x14ac:dyDescent="0.25">
      <c r="B88" s="189" t="s">
        <v>79</v>
      </c>
      <c r="C88" s="183" t="s">
        <v>329</v>
      </c>
      <c r="D88" s="183">
        <f>D87/D$8</f>
        <v>4.6993779637554229E-3</v>
      </c>
      <c r="E88" s="183">
        <f t="shared" ref="E88:G88" si="59">E87/E$8</f>
        <v>5.2098400335729555E-3</v>
      </c>
      <c r="F88" s="183">
        <f t="shared" si="59"/>
        <v>6.0089417137787603E-3</v>
      </c>
      <c r="G88" s="183">
        <f t="shared" si="59"/>
        <v>1.0295973756366197E-2</v>
      </c>
      <c r="H88" s="183">
        <f>H87/H$8</f>
        <v>1.8608491227802844E-2</v>
      </c>
      <c r="I88" s="183">
        <f t="shared" ref="I88:L88" si="60">I87/I$8</f>
        <v>2.3126046058876967E-2</v>
      </c>
      <c r="J88" s="183">
        <f t="shared" si="60"/>
        <v>2.1526834438955211E-2</v>
      </c>
      <c r="K88" s="183">
        <f t="shared" si="60"/>
        <v>2.6264665939033281E-2</v>
      </c>
      <c r="L88" s="183">
        <f t="shared" si="60"/>
        <v>3.1857415936273371E-2</v>
      </c>
    </row>
    <row r="90" spans="2:13" x14ac:dyDescent="0.25">
      <c r="G90" s="229" t="s">
        <v>193</v>
      </c>
      <c r="H90" s="230">
        <f>'用电量-各行业汇总'!I13</f>
        <v>0.19</v>
      </c>
    </row>
    <row r="91" spans="2:13" ht="17.55" x14ac:dyDescent="0.25">
      <c r="B91" s="343" t="s">
        <v>135</v>
      </c>
      <c r="C91" s="344"/>
      <c r="D91" s="344"/>
      <c r="E91" s="344"/>
      <c r="F91" s="344"/>
      <c r="G91" s="344"/>
      <c r="H91" s="344"/>
      <c r="I91" s="344"/>
      <c r="J91" s="344"/>
      <c r="K91" s="344"/>
      <c r="L91" s="344"/>
    </row>
    <row r="92" spans="2:13" ht="16.350000000000001" x14ac:dyDescent="0.25">
      <c r="B92" s="187" t="s">
        <v>131</v>
      </c>
      <c r="C92" s="7">
        <v>2016</v>
      </c>
      <c r="D92" s="7">
        <v>2017</v>
      </c>
      <c r="E92" s="7">
        <v>2018</v>
      </c>
      <c r="F92" s="7">
        <v>2019</v>
      </c>
      <c r="G92" s="7">
        <v>2020</v>
      </c>
      <c r="H92" s="7">
        <v>2021</v>
      </c>
      <c r="I92" s="178" t="s">
        <v>58</v>
      </c>
      <c r="J92" s="178" t="s">
        <v>59</v>
      </c>
      <c r="K92" s="178" t="s">
        <v>60</v>
      </c>
      <c r="L92" s="180" t="s">
        <v>61</v>
      </c>
    </row>
    <row r="93" spans="2:13" x14ac:dyDescent="0.25">
      <c r="B93" s="63" t="s">
        <v>72</v>
      </c>
      <c r="C93" s="200">
        <f t="shared" ref="C93:E93" si="61">D93*(1-$H$90)</f>
        <v>879.44451003000017</v>
      </c>
      <c r="D93" s="200">
        <f t="shared" si="61"/>
        <v>1085.7339630000001</v>
      </c>
      <c r="E93" s="200">
        <f t="shared" si="61"/>
        <v>1340.4123000000002</v>
      </c>
      <c r="F93" s="200">
        <f>G93*(1-$H$90)</f>
        <v>1654.8300000000002</v>
      </c>
      <c r="G93" s="190">
        <f>'用电量-各行业汇总'!D13</f>
        <v>2043</v>
      </c>
      <c r="H93" s="200">
        <f>G93*(1+$H$90)</f>
        <v>2431.17</v>
      </c>
      <c r="I93" s="200">
        <f t="shared" ref="I93:L93" si="62">H93*(1+$H$90)</f>
        <v>2893.0922999999998</v>
      </c>
      <c r="J93" s="200">
        <f t="shared" si="62"/>
        <v>3442.7798369999996</v>
      </c>
      <c r="K93" s="200">
        <f t="shared" si="62"/>
        <v>4096.9080060299993</v>
      </c>
      <c r="L93" s="190">
        <f t="shared" si="62"/>
        <v>4875.3205271756988</v>
      </c>
      <c r="M93" s="347" t="s">
        <v>331</v>
      </c>
    </row>
    <row r="94" spans="2:13" x14ac:dyDescent="0.25">
      <c r="B94" s="63" t="s">
        <v>129</v>
      </c>
      <c r="C94" s="184">
        <v>365</v>
      </c>
      <c r="D94" s="184">
        <v>365</v>
      </c>
      <c r="E94" s="184">
        <v>365</v>
      </c>
      <c r="F94" s="184">
        <v>365</v>
      </c>
      <c r="G94" s="184">
        <v>365</v>
      </c>
      <c r="H94" s="184">
        <v>365</v>
      </c>
      <c r="I94" s="184">
        <v>365</v>
      </c>
      <c r="J94" s="184">
        <v>365</v>
      </c>
      <c r="K94" s="184">
        <v>365</v>
      </c>
      <c r="L94" s="184">
        <v>365</v>
      </c>
      <c r="M94" s="347" t="s">
        <v>332</v>
      </c>
    </row>
    <row r="95" spans="2:13" x14ac:dyDescent="0.25">
      <c r="B95" s="63" t="s">
        <v>130</v>
      </c>
      <c r="C95" s="184">
        <v>24</v>
      </c>
      <c r="D95" s="184">
        <v>24</v>
      </c>
      <c r="E95" s="184">
        <v>24</v>
      </c>
      <c r="F95" s="184">
        <v>24</v>
      </c>
      <c r="G95" s="184">
        <v>24</v>
      </c>
      <c r="H95" s="184">
        <v>24</v>
      </c>
      <c r="I95" s="184">
        <v>24</v>
      </c>
      <c r="J95" s="184">
        <v>24</v>
      </c>
      <c r="K95" s="184">
        <v>24</v>
      </c>
      <c r="L95" s="184">
        <v>24</v>
      </c>
      <c r="M95" s="347" t="s">
        <v>332</v>
      </c>
    </row>
    <row r="96" spans="2:13" x14ac:dyDescent="0.25">
      <c r="B96" s="63" t="s">
        <v>132</v>
      </c>
      <c r="C96" s="87">
        <f>C93/C94/C95</f>
        <v>0.10039320890753427</v>
      </c>
      <c r="D96" s="87">
        <f t="shared" ref="D96:G96" si="63">D93/D94/D95</f>
        <v>0.12394223321917809</v>
      </c>
      <c r="E96" s="87">
        <f t="shared" si="63"/>
        <v>0.15301510273972604</v>
      </c>
      <c r="F96" s="87">
        <f t="shared" si="63"/>
        <v>0.18890753424657536</v>
      </c>
      <c r="G96" s="87">
        <f t="shared" si="63"/>
        <v>0.23321917808219181</v>
      </c>
      <c r="H96" s="87">
        <f>H93/H94/H95</f>
        <v>0.27753082191780826</v>
      </c>
      <c r="I96" s="87">
        <f>I93/I94/I95</f>
        <v>0.33026167808219176</v>
      </c>
      <c r="J96" s="87">
        <f t="shared" ref="J96:L96" si="64">J93/J94/J95</f>
        <v>0.39301139691780818</v>
      </c>
      <c r="K96" s="87">
        <f t="shared" si="64"/>
        <v>0.46768356233219172</v>
      </c>
      <c r="L96" s="87">
        <f>L93/L94/L95</f>
        <v>0.55654343917530802</v>
      </c>
      <c r="M96" s="347" t="s">
        <v>335</v>
      </c>
    </row>
    <row r="97" spans="2:13" s="202" customFormat="1" x14ac:dyDescent="0.25">
      <c r="B97" s="201" t="s">
        <v>133</v>
      </c>
      <c r="C97" s="186">
        <v>0.7</v>
      </c>
      <c r="D97" s="186">
        <v>0.7</v>
      </c>
      <c r="E97" s="186">
        <v>0.7</v>
      </c>
      <c r="F97" s="186">
        <v>0.7</v>
      </c>
      <c r="G97" s="186">
        <v>0.7</v>
      </c>
      <c r="H97" s="186">
        <v>0.7</v>
      </c>
      <c r="I97" s="186">
        <v>0.7</v>
      </c>
      <c r="J97" s="186">
        <v>0.7</v>
      </c>
      <c r="K97" s="186">
        <v>0.7</v>
      </c>
      <c r="L97" s="186">
        <v>0.7</v>
      </c>
      <c r="M97" s="202" t="s">
        <v>333</v>
      </c>
    </row>
    <row r="98" spans="2:13" x14ac:dyDescent="0.25">
      <c r="B98" s="63" t="s">
        <v>134</v>
      </c>
      <c r="C98" s="87">
        <f t="shared" ref="C98:G98" si="65">C96/C97</f>
        <v>0.14341886986790611</v>
      </c>
      <c r="D98" s="87">
        <f t="shared" si="65"/>
        <v>0.17706033317025444</v>
      </c>
      <c r="E98" s="87">
        <f t="shared" si="65"/>
        <v>0.21859300391389436</v>
      </c>
      <c r="F98" s="87">
        <f t="shared" si="65"/>
        <v>0.26986790606653627</v>
      </c>
      <c r="G98" s="87">
        <f t="shared" si="65"/>
        <v>0.33317025440313119</v>
      </c>
      <c r="H98" s="87">
        <f>H96/H97</f>
        <v>0.39647260273972612</v>
      </c>
      <c r="I98" s="87">
        <f>I96/I97</f>
        <v>0.47180239726027395</v>
      </c>
      <c r="J98" s="87">
        <f t="shared" ref="J98:L98" si="66">J96/J97</f>
        <v>0.561444852739726</v>
      </c>
      <c r="K98" s="87">
        <f t="shared" si="66"/>
        <v>0.66811937476027394</v>
      </c>
      <c r="L98" s="87">
        <f>L96/L97</f>
        <v>0.79506205596472579</v>
      </c>
      <c r="M98" s="347" t="s">
        <v>336</v>
      </c>
    </row>
    <row r="99" spans="2:13" x14ac:dyDescent="0.25">
      <c r="B99" s="63" t="s">
        <v>20</v>
      </c>
      <c r="C99" s="87">
        <f t="shared" ref="C99:G99" si="67">C98-C96</f>
        <v>4.3025660960371845E-2</v>
      </c>
      <c r="D99" s="87">
        <f t="shared" si="67"/>
        <v>5.3118099951076345E-2</v>
      </c>
      <c r="E99" s="87">
        <f t="shared" si="67"/>
        <v>6.5577901174168313E-2</v>
      </c>
      <c r="F99" s="87">
        <f t="shared" si="67"/>
        <v>8.0960371819960908E-2</v>
      </c>
      <c r="G99" s="87">
        <f t="shared" si="67"/>
        <v>9.9951076320939386E-2</v>
      </c>
      <c r="H99" s="87">
        <f>H98-H96</f>
        <v>0.11894178082191786</v>
      </c>
      <c r="I99" s="87">
        <f>I98-I96</f>
        <v>0.1415407191780822</v>
      </c>
      <c r="J99" s="87">
        <f t="shared" ref="J99:L99" si="68">J98-J96</f>
        <v>0.16843345582191782</v>
      </c>
      <c r="K99" s="87">
        <f t="shared" si="68"/>
        <v>0.20043581242808223</v>
      </c>
      <c r="L99" s="87">
        <f>L98-L96</f>
        <v>0.23851861678941777</v>
      </c>
      <c r="M99" s="347" t="s">
        <v>337</v>
      </c>
    </row>
    <row r="100" spans="2:13" x14ac:dyDescent="0.25">
      <c r="B100" s="81" t="s">
        <v>21</v>
      </c>
      <c r="C100" s="243">
        <v>0.3</v>
      </c>
      <c r="D100" s="243">
        <v>0.3</v>
      </c>
      <c r="E100" s="243">
        <v>0.3</v>
      </c>
      <c r="F100" s="243">
        <v>0.3</v>
      </c>
      <c r="G100" s="243">
        <v>0.3</v>
      </c>
      <c r="H100" s="243">
        <v>0.3</v>
      </c>
      <c r="I100" s="243">
        <v>0.3</v>
      </c>
      <c r="J100" s="243">
        <v>0.3</v>
      </c>
      <c r="K100" s="243">
        <v>0.3</v>
      </c>
      <c r="L100" s="243">
        <v>0.3</v>
      </c>
      <c r="M100" s="202" t="s">
        <v>333</v>
      </c>
    </row>
    <row r="101" spans="2:13" x14ac:dyDescent="0.25">
      <c r="B101" s="63" t="s">
        <v>66</v>
      </c>
      <c r="C101" s="87">
        <f>C100*C99*100000000/1000000</f>
        <v>1.2907698288111551</v>
      </c>
      <c r="D101" s="87">
        <f t="shared" ref="D101:G101" si="69">D100*D99*100000000/1000000</f>
        <v>1.5935429985322904</v>
      </c>
      <c r="E101" s="87">
        <f t="shared" si="69"/>
        <v>1.9673370352250492</v>
      </c>
      <c r="F101" s="87">
        <f t="shared" si="69"/>
        <v>2.4288111545988276</v>
      </c>
      <c r="G101" s="87">
        <f t="shared" si="69"/>
        <v>2.9985322896281814</v>
      </c>
      <c r="H101" s="87">
        <f>H100*H99*100000000/1000000</f>
        <v>3.5682534246575357</v>
      </c>
      <c r="I101" s="87">
        <f>I100*I99*100000000/1000000</f>
        <v>4.2462215753424664</v>
      </c>
      <c r="J101" s="87">
        <f>J100*J99*100000000/1000000</f>
        <v>5.0530036746575346</v>
      </c>
      <c r="K101" s="87">
        <f>K100*K99*100000000/1000000</f>
        <v>6.0130743728424667</v>
      </c>
      <c r="L101" s="87">
        <f>L100*L99*100000000/1000000</f>
        <v>7.1555585036825322</v>
      </c>
      <c r="M101" s="347" t="s">
        <v>338</v>
      </c>
    </row>
    <row r="102" spans="2:13" s="202" customFormat="1" x14ac:dyDescent="0.25">
      <c r="B102" s="203" t="s">
        <v>33</v>
      </c>
      <c r="C102" s="204">
        <v>0</v>
      </c>
      <c r="D102" s="204">
        <v>0</v>
      </c>
      <c r="E102" s="204">
        <v>0</v>
      </c>
      <c r="F102" s="204">
        <v>1E-4</v>
      </c>
      <c r="G102" s="204">
        <v>2.0000000000000001E-4</v>
      </c>
      <c r="H102" s="204">
        <v>2.9999999999999997E-4</v>
      </c>
      <c r="I102" s="204">
        <v>4.4999999999999999E-4</v>
      </c>
      <c r="J102" s="204">
        <v>5.9999999999999995E-4</v>
      </c>
      <c r="K102" s="204">
        <v>8.9999999999999998E-4</v>
      </c>
      <c r="L102" s="204">
        <v>1.1999999999999999E-3</v>
      </c>
      <c r="M102" s="202" t="s">
        <v>334</v>
      </c>
    </row>
    <row r="103" spans="2:13" s="196" customFormat="1" ht="16.350000000000001" x14ac:dyDescent="0.25">
      <c r="B103" s="191" t="s">
        <v>56</v>
      </c>
      <c r="C103" s="192">
        <f t="shared" ref="C103:L103" si="70">C102*C101</f>
        <v>0</v>
      </c>
      <c r="D103" s="192">
        <f t="shared" si="70"/>
        <v>0</v>
      </c>
      <c r="E103" s="239">
        <f t="shared" si="70"/>
        <v>0</v>
      </c>
      <c r="F103" s="239">
        <f t="shared" si="70"/>
        <v>2.4288111545988278E-4</v>
      </c>
      <c r="G103" s="239">
        <f t="shared" si="70"/>
        <v>5.997064579256363E-4</v>
      </c>
      <c r="H103" s="239">
        <f t="shared" si="70"/>
        <v>1.0704760273972606E-3</v>
      </c>
      <c r="I103" s="239">
        <f t="shared" si="70"/>
        <v>1.9107997089041098E-3</v>
      </c>
      <c r="J103" s="239">
        <f t="shared" si="70"/>
        <v>3.0318022047945204E-3</v>
      </c>
      <c r="K103" s="239">
        <f t="shared" si="70"/>
        <v>5.4117669355582196E-3</v>
      </c>
      <c r="L103" s="239">
        <f>L102*L101</f>
        <v>8.5866702044190384E-3</v>
      </c>
      <c r="M103" s="347" t="s">
        <v>339</v>
      </c>
    </row>
    <row r="104" spans="2:13" x14ac:dyDescent="0.25">
      <c r="B104" s="189" t="s">
        <v>68</v>
      </c>
      <c r="C104" s="199">
        <f>C103/C$7</f>
        <v>0</v>
      </c>
      <c r="D104" s="199">
        <f t="shared" ref="D104:L104" si="71">D103/D$7</f>
        <v>0</v>
      </c>
      <c r="E104" s="199">
        <f t="shared" si="71"/>
        <v>0</v>
      </c>
      <c r="F104" s="199">
        <f t="shared" si="71"/>
        <v>5.5195973277745068E-4</v>
      </c>
      <c r="G104" s="199">
        <f t="shared" si="71"/>
        <v>8.6603586601378198E-4</v>
      </c>
      <c r="H104" s="199">
        <f t="shared" si="71"/>
        <v>1.0759804111702164E-3</v>
      </c>
      <c r="I104" s="199">
        <f t="shared" si="71"/>
        <v>1.1770636556273151E-3</v>
      </c>
      <c r="J104" s="199">
        <f t="shared" si="71"/>
        <v>1.0544734039659935E-3</v>
      </c>
      <c r="K104" s="199">
        <f t="shared" si="71"/>
        <v>1.1921415340586507E-3</v>
      </c>
      <c r="L104" s="199">
        <f>L103/L$7</f>
        <v>1.2997978935449311E-3</v>
      </c>
      <c r="M104" s="347" t="s">
        <v>340</v>
      </c>
    </row>
    <row r="105" spans="2:13" ht="16.350000000000001" x14ac:dyDescent="0.25">
      <c r="B105" s="191" t="s">
        <v>57</v>
      </c>
      <c r="C105" s="337">
        <v>0</v>
      </c>
      <c r="D105" s="338">
        <f>D103-C103</f>
        <v>0</v>
      </c>
      <c r="E105" s="338">
        <f>E103-D103</f>
        <v>0</v>
      </c>
      <c r="F105" s="338">
        <f t="shared" ref="F105:L105" si="72">F103-E103</f>
        <v>2.4288111545988278E-4</v>
      </c>
      <c r="G105" s="338">
        <f t="shared" si="72"/>
        <v>3.5682534246575352E-4</v>
      </c>
      <c r="H105" s="338">
        <f t="shared" si="72"/>
        <v>4.7076956947162427E-4</v>
      </c>
      <c r="I105" s="338">
        <f t="shared" si="72"/>
        <v>8.4032368150684924E-4</v>
      </c>
      <c r="J105" s="338">
        <f t="shared" si="72"/>
        <v>1.1210024958904106E-3</v>
      </c>
      <c r="K105" s="338">
        <f t="shared" si="72"/>
        <v>2.3799647307636992E-3</v>
      </c>
      <c r="L105" s="338">
        <f>L103-K103</f>
        <v>3.1749032688608188E-3</v>
      </c>
      <c r="M105" s="347" t="s">
        <v>341</v>
      </c>
    </row>
    <row r="106" spans="2:13" x14ac:dyDescent="0.25">
      <c r="B106" s="189" t="s">
        <v>79</v>
      </c>
      <c r="C106" s="183" t="s">
        <v>329</v>
      </c>
      <c r="D106" s="199">
        <f>D105/D$8</f>
        <v>0</v>
      </c>
      <c r="E106" s="199">
        <f t="shared" ref="E106:G106" si="73">E105/E$8</f>
        <v>0</v>
      </c>
      <c r="F106" s="199">
        <f t="shared" si="73"/>
        <v>1.057538170890663E-3</v>
      </c>
      <c r="G106" s="199">
        <f t="shared" si="73"/>
        <v>1.4135118049169496E-3</v>
      </c>
      <c r="H106" s="199">
        <f>H105/H$8</f>
        <v>1.5567194835353585E-3</v>
      </c>
      <c r="I106" s="199">
        <f t="shared" ref="I106:L106" si="74">I105/I$8</f>
        <v>1.3370792464229603E-3</v>
      </c>
      <c r="J106" s="199">
        <f t="shared" si="74"/>
        <v>8.9549823116812251E-4</v>
      </c>
      <c r="K106" s="199">
        <f t="shared" si="74"/>
        <v>1.4299642315587968E-3</v>
      </c>
      <c r="L106" s="199">
        <f>L105/L$8</f>
        <v>1.536275204710085E-3</v>
      </c>
      <c r="M106" s="347" t="s">
        <v>342</v>
      </c>
    </row>
  </sheetData>
  <phoneticPr fontId="7" type="noConversion"/>
  <pageMargins left="0.7" right="0.7" top="0.75" bottom="0.75" header="0.3" footer="0.3"/>
  <pageSetup paperSize="9"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EBC5F-C64F-48F2-80FE-D231F4C57177}">
  <dimension ref="B1:J35"/>
  <sheetViews>
    <sheetView showGridLines="0" topLeftCell="A22" workbookViewId="0">
      <selection activeCell="K31" sqref="K31"/>
    </sheetView>
  </sheetViews>
  <sheetFormatPr defaultRowHeight="13.35" x14ac:dyDescent="0.25"/>
  <cols>
    <col min="1" max="1" width="7.33203125" style="58" customWidth="1"/>
    <col min="2" max="2" width="4.5546875" style="58" bestFit="1" customWidth="1"/>
    <col min="3" max="3" width="8.21875" style="58" bestFit="1" customWidth="1"/>
    <col min="4" max="4" width="22.109375" style="58" customWidth="1"/>
    <col min="5" max="5" width="14.5546875" style="58" customWidth="1"/>
    <col min="6" max="7" width="16.109375" style="58" customWidth="1"/>
    <col min="8" max="8" width="19.6640625" style="58" customWidth="1"/>
    <col min="9" max="10" width="32.77734375" style="58" customWidth="1"/>
    <col min="11" max="11" width="18.77734375" style="58" bestFit="1" customWidth="1"/>
    <col min="12" max="12" width="18.88671875" style="58" bestFit="1" customWidth="1"/>
    <col min="13" max="13" width="46" style="58" customWidth="1"/>
    <col min="14" max="16384" width="8.88671875" style="58"/>
  </cols>
  <sheetData>
    <row r="1" spans="2:10" x14ac:dyDescent="0.25">
      <c r="B1" s="255" t="s">
        <v>94</v>
      </c>
      <c r="C1" s="255" t="s">
        <v>96</v>
      </c>
      <c r="D1" s="255"/>
      <c r="E1" s="255"/>
      <c r="F1" s="255"/>
      <c r="G1" s="255"/>
      <c r="H1" s="255"/>
      <c r="I1" s="255"/>
    </row>
    <row r="2" spans="2:10" x14ac:dyDescent="0.25">
      <c r="B2" s="256" t="s">
        <v>94</v>
      </c>
      <c r="C2" s="256" t="s">
        <v>214</v>
      </c>
      <c r="D2" s="255"/>
      <c r="E2" s="255"/>
      <c r="F2" s="255"/>
      <c r="G2" s="255"/>
      <c r="H2" s="255"/>
      <c r="I2" s="255"/>
    </row>
    <row r="3" spans="2:10" x14ac:dyDescent="0.25">
      <c r="B3" s="257" t="s">
        <v>94</v>
      </c>
      <c r="C3" s="257" t="s">
        <v>215</v>
      </c>
      <c r="D3" s="258"/>
      <c r="E3" s="258"/>
      <c r="F3" s="258"/>
      <c r="G3" s="258"/>
      <c r="H3" s="258"/>
      <c r="I3" s="258"/>
    </row>
    <row r="5" spans="2:10" ht="13.95" thickBot="1" x14ac:dyDescent="0.3">
      <c r="B5" s="259"/>
    </row>
    <row r="6" spans="2:10" ht="31.2" customHeight="1" x14ac:dyDescent="0.25">
      <c r="B6" s="260" t="s">
        <v>216</v>
      </c>
      <c r="C6" s="261"/>
      <c r="D6" s="261"/>
      <c r="E6" s="261"/>
      <c r="F6" s="261"/>
      <c r="G6" s="261"/>
      <c r="H6" s="261"/>
      <c r="I6" s="261"/>
      <c r="J6" s="262"/>
    </row>
    <row r="7" spans="2:10" s="267" customFormat="1" ht="29.95" customHeight="1" x14ac:dyDescent="0.25">
      <c r="B7" s="263" t="s">
        <v>199</v>
      </c>
      <c r="C7" s="264" t="s">
        <v>200</v>
      </c>
      <c r="D7" s="265" t="s">
        <v>217</v>
      </c>
      <c r="E7" s="265" t="s">
        <v>218</v>
      </c>
      <c r="F7" s="266" t="s">
        <v>219</v>
      </c>
      <c r="G7" s="266" t="s">
        <v>220</v>
      </c>
      <c r="H7" s="266" t="s">
        <v>221</v>
      </c>
      <c r="I7" s="367" t="s">
        <v>222</v>
      </c>
      <c r="J7" s="368"/>
    </row>
    <row r="8" spans="2:10" ht="21.05" customHeight="1" x14ac:dyDescent="0.25">
      <c r="B8" s="268">
        <v>1</v>
      </c>
      <c r="C8" s="269" t="s">
        <v>202</v>
      </c>
      <c r="D8" s="270">
        <v>1000000000</v>
      </c>
      <c r="E8" s="270">
        <v>1000000000</v>
      </c>
      <c r="F8" s="249">
        <f>E8/D8</f>
        <v>1</v>
      </c>
      <c r="G8" s="271">
        <v>0.2</v>
      </c>
      <c r="H8" s="272">
        <v>1300</v>
      </c>
      <c r="I8" s="360" t="s">
        <v>223</v>
      </c>
      <c r="J8" s="361"/>
    </row>
    <row r="9" spans="2:10" ht="21.05" customHeight="1" x14ac:dyDescent="0.25">
      <c r="B9" s="268">
        <v>4</v>
      </c>
      <c r="C9" s="269" t="s">
        <v>204</v>
      </c>
      <c r="D9" s="270">
        <v>1000000000</v>
      </c>
      <c r="E9" s="270">
        <v>1000000000</v>
      </c>
      <c r="F9" s="249">
        <f>E9/D9</f>
        <v>1</v>
      </c>
      <c r="G9" s="271" t="s">
        <v>224</v>
      </c>
      <c r="H9" s="272">
        <v>400</v>
      </c>
      <c r="I9" s="360" t="s">
        <v>225</v>
      </c>
      <c r="J9" s="361"/>
    </row>
    <row r="10" spans="2:10" ht="21.05" customHeight="1" x14ac:dyDescent="0.25">
      <c r="B10" s="268">
        <v>2</v>
      </c>
      <c r="C10" s="269" t="s">
        <v>209</v>
      </c>
      <c r="D10" s="270">
        <v>800000000</v>
      </c>
      <c r="E10" s="270">
        <v>250000000</v>
      </c>
      <c r="F10" s="249">
        <f t="shared" ref="F10:F15" si="0">E10/D10</f>
        <v>0.3125</v>
      </c>
      <c r="G10" s="273">
        <v>0.24</v>
      </c>
      <c r="H10" s="272">
        <v>250</v>
      </c>
      <c r="I10" s="360" t="s">
        <v>226</v>
      </c>
      <c r="J10" s="361"/>
    </row>
    <row r="11" spans="2:10" ht="21.05" customHeight="1" x14ac:dyDescent="0.25">
      <c r="B11" s="268">
        <v>6</v>
      </c>
      <c r="C11" s="269" t="s">
        <v>210</v>
      </c>
      <c r="D11" s="270">
        <v>150000000</v>
      </c>
      <c r="E11" s="270">
        <v>150000000</v>
      </c>
      <c r="F11" s="249">
        <f>E11/D11</f>
        <v>1</v>
      </c>
      <c r="G11" s="271">
        <v>0.25</v>
      </c>
      <c r="H11" s="272">
        <v>150</v>
      </c>
      <c r="I11" s="360" t="s">
        <v>227</v>
      </c>
      <c r="J11" s="361"/>
    </row>
    <row r="12" spans="2:10" ht="21.05" customHeight="1" x14ac:dyDescent="0.25">
      <c r="B12" s="268">
        <v>3</v>
      </c>
      <c r="C12" s="269" t="s">
        <v>203</v>
      </c>
      <c r="D12" s="274">
        <v>23000000</v>
      </c>
      <c r="E12" s="274">
        <v>23000000</v>
      </c>
      <c r="F12" s="249">
        <f t="shared" si="0"/>
        <v>1</v>
      </c>
      <c r="G12" s="271">
        <v>0.2</v>
      </c>
      <c r="H12" s="272">
        <v>15</v>
      </c>
      <c r="I12" s="360" t="s">
        <v>227</v>
      </c>
      <c r="J12" s="361"/>
    </row>
    <row r="13" spans="2:10" ht="21.05" customHeight="1" x14ac:dyDescent="0.25">
      <c r="B13" s="275">
        <v>5</v>
      </c>
      <c r="C13" s="276" t="s">
        <v>211</v>
      </c>
      <c r="D13" s="274">
        <v>122620000</v>
      </c>
      <c r="E13" s="274">
        <v>122620000</v>
      </c>
      <c r="F13" s="250">
        <f t="shared" si="0"/>
        <v>1</v>
      </c>
      <c r="G13" s="277">
        <v>0.51</v>
      </c>
      <c r="H13" s="278">
        <v>80</v>
      </c>
      <c r="I13" s="360" t="s">
        <v>227</v>
      </c>
      <c r="J13" s="361"/>
    </row>
    <row r="14" spans="2:10" ht="21.05" customHeight="1" x14ac:dyDescent="0.25">
      <c r="B14" s="268">
        <v>7</v>
      </c>
      <c r="C14" s="279" t="s">
        <v>205</v>
      </c>
      <c r="D14" s="270">
        <v>1500000</v>
      </c>
      <c r="E14" s="270">
        <v>1500000</v>
      </c>
      <c r="F14" s="249">
        <f t="shared" si="0"/>
        <v>1</v>
      </c>
      <c r="G14" s="271">
        <v>7.0000000000000007E-2</v>
      </c>
      <c r="H14" s="272">
        <v>1</v>
      </c>
      <c r="I14" s="360" t="s">
        <v>228</v>
      </c>
      <c r="J14" s="361"/>
    </row>
    <row r="15" spans="2:10" ht="21.05" customHeight="1" x14ac:dyDescent="0.25">
      <c r="B15" s="268">
        <v>8</v>
      </c>
      <c r="C15" s="280" t="s">
        <v>206</v>
      </c>
      <c r="D15" s="274">
        <v>5120000</v>
      </c>
      <c r="E15" s="274">
        <v>5120000</v>
      </c>
      <c r="F15" s="249">
        <f t="shared" si="0"/>
        <v>1</v>
      </c>
      <c r="G15" s="271">
        <v>0.09</v>
      </c>
      <c r="H15" s="272">
        <v>3</v>
      </c>
      <c r="I15" s="360" t="s">
        <v>227</v>
      </c>
      <c r="J15" s="361"/>
    </row>
    <row r="16" spans="2:10" ht="21.05" customHeight="1" x14ac:dyDescent="0.25">
      <c r="B16" s="281"/>
      <c r="C16" s="282"/>
      <c r="D16" s="282"/>
      <c r="E16" s="282"/>
      <c r="F16" s="282"/>
      <c r="G16" s="282"/>
      <c r="H16" s="282" t="s">
        <v>229</v>
      </c>
      <c r="I16" s="283"/>
      <c r="J16" s="284"/>
    </row>
    <row r="17" spans="2:10" ht="21.05" customHeight="1" x14ac:dyDescent="0.25">
      <c r="B17" s="268">
        <v>9</v>
      </c>
      <c r="C17" s="279" t="s">
        <v>212</v>
      </c>
      <c r="D17" s="285">
        <v>1021384948.83</v>
      </c>
      <c r="E17" s="270">
        <v>110000000</v>
      </c>
      <c r="F17" s="249">
        <f>E17/D17</f>
        <v>0.10769690715141766</v>
      </c>
      <c r="G17" s="273">
        <v>0.36159999999999998</v>
      </c>
      <c r="H17" s="272">
        <v>170</v>
      </c>
      <c r="I17" s="360" t="s">
        <v>230</v>
      </c>
      <c r="J17" s="361"/>
    </row>
    <row r="18" spans="2:10" ht="21.05" customHeight="1" x14ac:dyDescent="0.25">
      <c r="B18" s="268">
        <v>10</v>
      </c>
      <c r="C18" s="280" t="s">
        <v>201</v>
      </c>
      <c r="D18" s="270">
        <v>100000000</v>
      </c>
      <c r="E18" s="270">
        <v>1000000</v>
      </c>
      <c r="F18" s="249">
        <f>E18/D18</f>
        <v>0.01</v>
      </c>
      <c r="G18" s="271" t="s">
        <v>231</v>
      </c>
      <c r="H18" s="286">
        <v>300</v>
      </c>
      <c r="I18" s="360" t="s">
        <v>232</v>
      </c>
      <c r="J18" s="361"/>
    </row>
    <row r="19" spans="2:10" ht="21.05" customHeight="1" thickBot="1" x14ac:dyDescent="0.3">
      <c r="B19" s="287" t="s">
        <v>233</v>
      </c>
      <c r="C19" s="288"/>
      <c r="D19" s="288"/>
      <c r="E19" s="288"/>
      <c r="F19" s="288"/>
      <c r="G19" s="288"/>
      <c r="H19" s="288"/>
      <c r="I19" s="362"/>
      <c r="J19" s="363"/>
    </row>
    <row r="20" spans="2:10" ht="21.05" customHeight="1" x14ac:dyDescent="0.25">
      <c r="I20" s="289"/>
      <c r="J20" s="289"/>
    </row>
    <row r="21" spans="2:10" ht="21.05" customHeight="1" thickBot="1" x14ac:dyDescent="0.3">
      <c r="B21" s="259"/>
      <c r="I21" s="364"/>
      <c r="J21" s="364"/>
    </row>
    <row r="22" spans="2:10" ht="31.2" customHeight="1" x14ac:dyDescent="0.25">
      <c r="B22" s="260" t="s">
        <v>234</v>
      </c>
      <c r="C22" s="261"/>
      <c r="D22" s="261"/>
      <c r="E22" s="261"/>
      <c r="F22" s="261" t="s">
        <v>235</v>
      </c>
      <c r="G22" s="261"/>
      <c r="H22" s="261"/>
      <c r="I22" s="290"/>
      <c r="J22" s="291"/>
    </row>
    <row r="23" spans="2:10" ht="21.05" customHeight="1" x14ac:dyDescent="0.25">
      <c r="B23" s="292" t="s">
        <v>199</v>
      </c>
      <c r="C23" s="293" t="s">
        <v>200</v>
      </c>
      <c r="D23" s="294" t="s">
        <v>236</v>
      </c>
      <c r="E23" s="101" t="s">
        <v>208</v>
      </c>
      <c r="F23" s="101" t="s">
        <v>207</v>
      </c>
      <c r="G23" s="365" t="s">
        <v>237</v>
      </c>
      <c r="H23" s="366"/>
      <c r="I23" s="367" t="s">
        <v>238</v>
      </c>
      <c r="J23" s="368"/>
    </row>
    <row r="24" spans="2:10" ht="24.05" customHeight="1" x14ac:dyDescent="0.25">
      <c r="B24" s="268">
        <v>1</v>
      </c>
      <c r="C24" s="269" t="s">
        <v>202</v>
      </c>
      <c r="D24" s="295">
        <v>70</v>
      </c>
      <c r="E24" s="249">
        <f t="shared" ref="E24:E31" si="1">D24/H8</f>
        <v>5.3846153846153849E-2</v>
      </c>
      <c r="F24" s="296">
        <f>D24/('[3]用户侧市场测算-分行业'!$H$8*3*1000)</f>
        <v>8.6698892950244799E-2</v>
      </c>
      <c r="G24" s="358" t="s">
        <v>239</v>
      </c>
      <c r="H24" s="359"/>
      <c r="I24" s="360" t="s">
        <v>240</v>
      </c>
      <c r="J24" s="361"/>
    </row>
    <row r="25" spans="2:10" ht="24.05" customHeight="1" x14ac:dyDescent="0.25">
      <c r="B25" s="268">
        <v>4</v>
      </c>
      <c r="C25" s="269" t="s">
        <v>204</v>
      </c>
      <c r="D25" s="295">
        <v>80</v>
      </c>
      <c r="E25" s="249">
        <f t="shared" si="1"/>
        <v>0.2</v>
      </c>
      <c r="F25" s="296">
        <f>D25/('[3]用户侧市场测算-分行业'!$H$8*3*1000)</f>
        <v>9.908444908599405E-2</v>
      </c>
      <c r="G25" s="358" t="s">
        <v>241</v>
      </c>
      <c r="H25" s="359"/>
      <c r="I25" s="360" t="s">
        <v>242</v>
      </c>
      <c r="J25" s="361"/>
    </row>
    <row r="26" spans="2:10" ht="24.05" customHeight="1" x14ac:dyDescent="0.25">
      <c r="B26" s="268">
        <v>2</v>
      </c>
      <c r="C26" s="269" t="s">
        <v>209</v>
      </c>
      <c r="D26" s="295">
        <v>10</v>
      </c>
      <c r="E26" s="249">
        <f t="shared" si="1"/>
        <v>0.04</v>
      </c>
      <c r="F26" s="296">
        <f>D26/('[3]用户侧市场测算-分行业'!$H$8*3*1000)</f>
        <v>1.2385556135749256E-2</v>
      </c>
      <c r="G26" s="358" t="s">
        <v>243</v>
      </c>
      <c r="H26" s="359"/>
      <c r="I26" s="360" t="s">
        <v>244</v>
      </c>
      <c r="J26" s="361"/>
    </row>
    <row r="27" spans="2:10" ht="24.05" customHeight="1" x14ac:dyDescent="0.25">
      <c r="B27" s="268">
        <v>6</v>
      </c>
      <c r="C27" s="269" t="s">
        <v>210</v>
      </c>
      <c r="D27" s="295">
        <v>130</v>
      </c>
      <c r="E27" s="249">
        <f t="shared" si="1"/>
        <v>0.8666666666666667</v>
      </c>
      <c r="F27" s="296">
        <f>D27/('[3]用户侧市场测算-分行业'!$H$8*3*1000)</f>
        <v>0.16101222976474033</v>
      </c>
      <c r="G27" s="358" t="s">
        <v>245</v>
      </c>
      <c r="H27" s="359"/>
      <c r="I27" s="360" t="s">
        <v>246</v>
      </c>
      <c r="J27" s="361"/>
    </row>
    <row r="28" spans="2:10" ht="24.05" customHeight="1" x14ac:dyDescent="0.25">
      <c r="B28" s="268">
        <v>3</v>
      </c>
      <c r="C28" s="269" t="s">
        <v>203</v>
      </c>
      <c r="D28" s="295">
        <v>15</v>
      </c>
      <c r="E28" s="249">
        <f t="shared" si="1"/>
        <v>1</v>
      </c>
      <c r="F28" s="296">
        <f>D28/('[3]用户侧市场测算-分行业'!$H$8*3*1000)</f>
        <v>1.8578334203623884E-2</v>
      </c>
      <c r="G28" s="358" t="s">
        <v>247</v>
      </c>
      <c r="H28" s="359"/>
      <c r="I28" s="360" t="s">
        <v>248</v>
      </c>
      <c r="J28" s="361"/>
    </row>
    <row r="29" spans="2:10" ht="24.05" customHeight="1" x14ac:dyDescent="0.25">
      <c r="B29" s="275">
        <v>5</v>
      </c>
      <c r="C29" s="276" t="s">
        <v>211</v>
      </c>
      <c r="D29" s="297">
        <v>15</v>
      </c>
      <c r="E29" s="250">
        <f t="shared" si="1"/>
        <v>0.1875</v>
      </c>
      <c r="F29" s="296">
        <f>D29/('[3]用户侧市场测算-分行业'!$H$8*3*1000)</f>
        <v>1.8578334203623884E-2</v>
      </c>
      <c r="G29" s="358" t="s">
        <v>249</v>
      </c>
      <c r="H29" s="359"/>
      <c r="I29" s="360" t="s">
        <v>250</v>
      </c>
      <c r="J29" s="361"/>
    </row>
    <row r="30" spans="2:10" ht="24.05" customHeight="1" x14ac:dyDescent="0.25">
      <c r="B30" s="268">
        <v>7</v>
      </c>
      <c r="C30" s="279" t="s">
        <v>205</v>
      </c>
      <c r="D30" s="295">
        <v>1</v>
      </c>
      <c r="E30" s="249">
        <f t="shared" si="1"/>
        <v>1</v>
      </c>
      <c r="F30" s="296">
        <f>D30/('[3]用户侧市场测算-分行业'!$H$8*3*1000)</f>
        <v>1.2385556135749256E-3</v>
      </c>
      <c r="G30" s="360" t="s">
        <v>227</v>
      </c>
      <c r="H30" s="360"/>
      <c r="I30" s="360" t="s">
        <v>251</v>
      </c>
      <c r="J30" s="361"/>
    </row>
    <row r="31" spans="2:10" ht="24.05" customHeight="1" x14ac:dyDescent="0.25">
      <c r="B31" s="268">
        <v>8</v>
      </c>
      <c r="C31" s="280" t="s">
        <v>206</v>
      </c>
      <c r="D31" s="295">
        <v>3</v>
      </c>
      <c r="E31" s="249">
        <f t="shared" si="1"/>
        <v>1</v>
      </c>
      <c r="F31" s="296">
        <f>D31/('[3]用户侧市场测算-分行业'!$H$8*3*1000)</f>
        <v>3.715666840724777E-3</v>
      </c>
      <c r="G31" s="360" t="s">
        <v>227</v>
      </c>
      <c r="H31" s="360"/>
      <c r="I31" s="360" t="s">
        <v>252</v>
      </c>
      <c r="J31" s="361"/>
    </row>
    <row r="32" spans="2:10" ht="24.05" customHeight="1" x14ac:dyDescent="0.25">
      <c r="B32" s="298"/>
      <c r="C32" s="299"/>
      <c r="D32" s="282" t="s">
        <v>229</v>
      </c>
      <c r="E32" s="251"/>
      <c r="F32" s="300"/>
      <c r="G32" s="301"/>
      <c r="H32" s="301"/>
      <c r="I32" s="302"/>
      <c r="J32" s="303"/>
    </row>
    <row r="33" spans="2:10" ht="24.05" customHeight="1" x14ac:dyDescent="0.25">
      <c r="B33" s="268">
        <v>9</v>
      </c>
      <c r="C33" s="279" t="s">
        <v>212</v>
      </c>
      <c r="D33" s="295">
        <v>60</v>
      </c>
      <c r="E33" s="249">
        <f>D33/H17</f>
        <v>0.35294117647058826</v>
      </c>
      <c r="F33" s="296">
        <f>D33/('[3]用户侧市场测算-分行业'!$H$8*2*1000)</f>
        <v>0.11147000522174332</v>
      </c>
      <c r="G33" s="358" t="s">
        <v>253</v>
      </c>
      <c r="H33" s="359"/>
      <c r="I33" s="360" t="s">
        <v>254</v>
      </c>
      <c r="J33" s="361"/>
    </row>
    <row r="34" spans="2:10" ht="24.05" customHeight="1" x14ac:dyDescent="0.25">
      <c r="B34" s="268">
        <v>10</v>
      </c>
      <c r="C34" s="280" t="s">
        <v>201</v>
      </c>
      <c r="D34" s="295">
        <v>50</v>
      </c>
      <c r="E34" s="249">
        <f>D34/H18</f>
        <v>0.16666666666666666</v>
      </c>
      <c r="F34" s="296">
        <f>D34/('[3]用户侧市场测算-分行业'!$H$8*2*1000)</f>
        <v>9.2891671018119432E-2</v>
      </c>
      <c r="G34" s="360" t="s">
        <v>227</v>
      </c>
      <c r="H34" s="360"/>
      <c r="I34" s="360" t="s">
        <v>255</v>
      </c>
      <c r="J34" s="361"/>
    </row>
    <row r="35" spans="2:10" ht="13.95" thickBot="1" x14ac:dyDescent="0.3">
      <c r="B35" s="287" t="s">
        <v>256</v>
      </c>
      <c r="C35" s="288"/>
      <c r="D35" s="288"/>
      <c r="E35" s="288"/>
      <c r="F35" s="288"/>
      <c r="G35" s="288"/>
      <c r="H35" s="288"/>
      <c r="I35" s="288"/>
      <c r="J35" s="304"/>
    </row>
  </sheetData>
  <autoFilter ref="B7:J18" xr:uid="{B5F62957-B4B3-41E8-AB0C-700C4E7C37B9}">
    <filterColumn colId="7" showButton="0"/>
  </autoFilter>
  <mergeCells count="35">
    <mergeCell ref="I12:J12"/>
    <mergeCell ref="I7:J7"/>
    <mergeCell ref="I8:J8"/>
    <mergeCell ref="I9:J9"/>
    <mergeCell ref="I10:J10"/>
    <mergeCell ref="I11:J11"/>
    <mergeCell ref="G25:H25"/>
    <mergeCell ref="I25:J25"/>
    <mergeCell ref="I13:J13"/>
    <mergeCell ref="I14:J14"/>
    <mergeCell ref="I15:J15"/>
    <mergeCell ref="I17:J17"/>
    <mergeCell ref="I18:J18"/>
    <mergeCell ref="I19:J19"/>
    <mergeCell ref="I21:J21"/>
    <mergeCell ref="G23:H23"/>
    <mergeCell ref="I23:J23"/>
    <mergeCell ref="G24:H24"/>
    <mergeCell ref="I24:J24"/>
    <mergeCell ref="G26:H26"/>
    <mergeCell ref="I26:J26"/>
    <mergeCell ref="G27:H27"/>
    <mergeCell ref="I27:J27"/>
    <mergeCell ref="G28:H28"/>
    <mergeCell ref="I28:J28"/>
    <mergeCell ref="G33:H33"/>
    <mergeCell ref="I33:J33"/>
    <mergeCell ref="G34:H34"/>
    <mergeCell ref="I34:J34"/>
    <mergeCell ref="G29:H29"/>
    <mergeCell ref="I29:J29"/>
    <mergeCell ref="G30:H30"/>
    <mergeCell ref="I30:J30"/>
    <mergeCell ref="G31:H31"/>
    <mergeCell ref="I31:J31"/>
  </mergeCells>
  <phoneticPr fontId="7" type="noConversion"/>
  <pageMargins left="0.7" right="0.7" top="0.75" bottom="0.75" header="0.3" footer="0.3"/>
  <pageSetup paperSize="9"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AF53-0874-4477-94D3-584307FBE39F}">
  <dimension ref="B2:O16"/>
  <sheetViews>
    <sheetView showGridLines="0" zoomScale="85" zoomScaleNormal="85" workbookViewId="0">
      <selection activeCell="H10" sqref="H10"/>
    </sheetView>
  </sheetViews>
  <sheetFormatPr defaultRowHeight="13.35" x14ac:dyDescent="0.25"/>
  <cols>
    <col min="1" max="1" width="3.44140625" style="58" customWidth="1"/>
    <col min="2" max="3" width="4.88671875" style="58" bestFit="1" customWidth="1"/>
    <col min="4" max="4" width="10.21875" style="58" bestFit="1" customWidth="1"/>
    <col min="5" max="5" width="13.5546875" style="307" bestFit="1" customWidth="1"/>
    <col min="6" max="6" width="4.88671875" style="308" bestFit="1" customWidth="1"/>
    <col min="7" max="7" width="8.21875" style="308" bestFit="1" customWidth="1"/>
    <col min="8" max="8" width="9.88671875" style="309" bestFit="1" customWidth="1"/>
    <col min="9" max="9" width="8.109375" style="309" customWidth="1"/>
    <col min="10" max="10" width="44.109375" style="309" bestFit="1" customWidth="1"/>
    <col min="11" max="12" width="41.21875" style="309" customWidth="1"/>
    <col min="13" max="13" width="24.44140625" style="58" customWidth="1"/>
    <col min="14" max="16384" width="8.88671875" style="58"/>
  </cols>
  <sheetData>
    <row r="2" spans="2:15" x14ac:dyDescent="0.25">
      <c r="B2" s="311" t="s">
        <v>277</v>
      </c>
      <c r="E2" s="58"/>
      <c r="F2" s="58"/>
      <c r="G2" s="58"/>
      <c r="H2" s="58"/>
      <c r="I2" s="58"/>
      <c r="J2" s="58"/>
      <c r="K2" s="58"/>
      <c r="L2" s="58"/>
    </row>
    <row r="3" spans="2:15" x14ac:dyDescent="0.25">
      <c r="E3" s="58"/>
      <c r="F3" s="58"/>
      <c r="G3" s="58"/>
      <c r="H3" s="58"/>
      <c r="I3" s="58"/>
      <c r="J3" s="58"/>
      <c r="K3" s="58"/>
      <c r="L3" s="58"/>
    </row>
    <row r="4" spans="2:15" x14ac:dyDescent="0.25">
      <c r="B4" s="58" t="s">
        <v>325</v>
      </c>
      <c r="E4" s="58"/>
      <c r="F4" s="58"/>
      <c r="G4" s="58"/>
      <c r="H4" s="58"/>
      <c r="I4" s="58"/>
      <c r="J4" s="58"/>
      <c r="K4" s="58"/>
      <c r="L4" s="58"/>
    </row>
    <row r="5" spans="2:15" s="310" customFormat="1" x14ac:dyDescent="0.25">
      <c r="B5" s="315" t="s">
        <v>257</v>
      </c>
      <c r="C5" s="315" t="s">
        <v>262</v>
      </c>
      <c r="D5" s="315" t="s">
        <v>258</v>
      </c>
      <c r="E5" s="315" t="s">
        <v>280</v>
      </c>
      <c r="F5" s="315" t="s">
        <v>269</v>
      </c>
      <c r="G5" s="315" t="s">
        <v>276</v>
      </c>
      <c r="H5" s="315" t="s">
        <v>260</v>
      </c>
      <c r="I5" s="315" t="s">
        <v>263</v>
      </c>
      <c r="J5" s="315" t="s">
        <v>281</v>
      </c>
      <c r="K5" s="315" t="s">
        <v>285</v>
      </c>
      <c r="L5" s="315" t="s">
        <v>327</v>
      </c>
      <c r="M5" s="315" t="s">
        <v>259</v>
      </c>
      <c r="N5" s="102" t="s">
        <v>275</v>
      </c>
    </row>
    <row r="6" spans="2:15" s="310" customFormat="1" ht="106.5" x14ac:dyDescent="0.25">
      <c r="B6" s="312">
        <f t="shared" ref="B6:B12" si="0">ROW()-5</f>
        <v>1</v>
      </c>
      <c r="C6" s="312" t="s">
        <v>261</v>
      </c>
      <c r="D6" s="312" t="s">
        <v>267</v>
      </c>
      <c r="E6" s="313">
        <v>0.1</v>
      </c>
      <c r="F6" s="314"/>
      <c r="G6" s="325" t="s">
        <v>287</v>
      </c>
      <c r="H6" s="326">
        <v>44713</v>
      </c>
      <c r="I6" s="321" t="s">
        <v>264</v>
      </c>
      <c r="J6" s="323" t="s">
        <v>330</v>
      </c>
      <c r="K6" s="323" t="s">
        <v>291</v>
      </c>
      <c r="L6" s="323" t="s">
        <v>328</v>
      </c>
      <c r="M6" s="329" t="s">
        <v>265</v>
      </c>
      <c r="N6" s="333" t="s">
        <v>272</v>
      </c>
    </row>
    <row r="7" spans="2:15" s="310" customFormat="1" ht="119.8" x14ac:dyDescent="0.25">
      <c r="B7" s="312">
        <f t="shared" si="0"/>
        <v>2</v>
      </c>
      <c r="C7" s="312" t="s">
        <v>261</v>
      </c>
      <c r="D7" s="312" t="s">
        <v>271</v>
      </c>
      <c r="E7" s="313">
        <v>0.1</v>
      </c>
      <c r="F7" s="314"/>
      <c r="G7" s="325" t="s">
        <v>297</v>
      </c>
      <c r="H7" s="326">
        <v>44682</v>
      </c>
      <c r="I7" s="321" t="s">
        <v>296</v>
      </c>
      <c r="J7" s="323" t="s">
        <v>306</v>
      </c>
      <c r="K7" s="323" t="s">
        <v>298</v>
      </c>
      <c r="L7" s="323"/>
      <c r="M7" s="329" t="s">
        <v>295</v>
      </c>
      <c r="N7" s="333" t="s">
        <v>299</v>
      </c>
    </row>
    <row r="8" spans="2:15" ht="66.55" x14ac:dyDescent="0.25">
      <c r="B8" s="312">
        <f t="shared" si="0"/>
        <v>3</v>
      </c>
      <c r="C8" s="312" t="s">
        <v>261</v>
      </c>
      <c r="D8" s="330" t="s">
        <v>301</v>
      </c>
      <c r="E8" s="313">
        <v>0.1</v>
      </c>
      <c r="F8" s="314" t="s">
        <v>274</v>
      </c>
      <c r="G8" s="325" t="s">
        <v>303</v>
      </c>
      <c r="H8" s="326">
        <v>44531</v>
      </c>
      <c r="I8" s="321" t="s">
        <v>304</v>
      </c>
      <c r="J8" s="323" t="s">
        <v>305</v>
      </c>
      <c r="K8" s="323" t="s">
        <v>312</v>
      </c>
      <c r="L8" s="323"/>
      <c r="M8" s="329" t="s">
        <v>302</v>
      </c>
      <c r="N8" s="333" t="s">
        <v>315</v>
      </c>
    </row>
    <row r="9" spans="2:15" ht="26.65" x14ac:dyDescent="0.25">
      <c r="B9" s="312">
        <f t="shared" si="0"/>
        <v>4</v>
      </c>
      <c r="C9" s="312" t="s">
        <v>266</v>
      </c>
      <c r="D9" s="312" t="s">
        <v>310</v>
      </c>
      <c r="E9" s="313" t="s">
        <v>268</v>
      </c>
      <c r="F9" s="314" t="s">
        <v>270</v>
      </c>
      <c r="G9" s="325"/>
      <c r="H9" s="326">
        <v>44501</v>
      </c>
      <c r="I9" s="321" t="s">
        <v>311</v>
      </c>
      <c r="J9" s="323" t="s">
        <v>313</v>
      </c>
      <c r="K9" s="318" t="s">
        <v>283</v>
      </c>
      <c r="L9" s="318"/>
      <c r="M9" s="329" t="s">
        <v>309</v>
      </c>
      <c r="N9" s="333" t="s">
        <v>314</v>
      </c>
    </row>
    <row r="10" spans="2:15" ht="39.950000000000003" x14ac:dyDescent="0.25">
      <c r="B10" s="312">
        <f t="shared" si="0"/>
        <v>5</v>
      </c>
      <c r="C10" s="318" t="s">
        <v>278</v>
      </c>
      <c r="D10" s="318" t="s">
        <v>279</v>
      </c>
      <c r="E10" s="319">
        <v>0.08</v>
      </c>
      <c r="F10" s="318" t="s">
        <v>283</v>
      </c>
      <c r="G10" s="320"/>
      <c r="H10" s="324">
        <v>44743</v>
      </c>
      <c r="I10" s="320" t="s">
        <v>282</v>
      </c>
      <c r="J10" s="327" t="s">
        <v>308</v>
      </c>
      <c r="K10" s="318" t="s">
        <v>283</v>
      </c>
      <c r="L10" s="318"/>
      <c r="M10" s="328" t="s">
        <v>284</v>
      </c>
      <c r="N10" s="331" t="s">
        <v>290</v>
      </c>
    </row>
    <row r="11" spans="2:15" ht="39.950000000000003" x14ac:dyDescent="0.25">
      <c r="B11" s="312">
        <f t="shared" si="0"/>
        <v>6</v>
      </c>
      <c r="C11" s="318" t="s">
        <v>278</v>
      </c>
      <c r="D11" s="318" t="s">
        <v>286</v>
      </c>
      <c r="E11" s="319">
        <v>0.08</v>
      </c>
      <c r="F11" s="318"/>
      <c r="G11" s="320"/>
      <c r="H11" s="324">
        <v>44682</v>
      </c>
      <c r="I11" s="320" t="s">
        <v>293</v>
      </c>
      <c r="J11" s="322" t="s">
        <v>307</v>
      </c>
      <c r="K11" s="318" t="s">
        <v>283</v>
      </c>
      <c r="L11" s="318"/>
      <c r="M11" s="328" t="s">
        <v>294</v>
      </c>
      <c r="N11" s="332" t="s">
        <v>300</v>
      </c>
    </row>
    <row r="12" spans="2:15" ht="53.25" x14ac:dyDescent="0.25">
      <c r="B12" s="312">
        <f t="shared" si="0"/>
        <v>7</v>
      </c>
      <c r="C12" s="312" t="s">
        <v>273</v>
      </c>
      <c r="D12" s="312" t="s">
        <v>317</v>
      </c>
      <c r="E12" s="313"/>
      <c r="F12" s="314"/>
      <c r="G12" s="325"/>
      <c r="H12" s="326">
        <v>44621</v>
      </c>
      <c r="I12" s="321" t="s">
        <v>288</v>
      </c>
      <c r="J12" s="323" t="s">
        <v>292</v>
      </c>
      <c r="K12" s="323"/>
      <c r="L12" s="323"/>
      <c r="M12" s="329" t="s">
        <v>289</v>
      </c>
      <c r="N12" s="333" t="s">
        <v>316</v>
      </c>
      <c r="O12" s="333" t="s">
        <v>326</v>
      </c>
    </row>
    <row r="14" spans="2:15" x14ac:dyDescent="0.25">
      <c r="B14" s="316"/>
    </row>
    <row r="15" spans="2:15" x14ac:dyDescent="0.25">
      <c r="B15" s="317"/>
    </row>
    <row r="16" spans="2:15" x14ac:dyDescent="0.25">
      <c r="B16" s="317"/>
    </row>
  </sheetData>
  <autoFilter ref="B5:N12" xr:uid="{E07AAF53-0874-4477-94D3-584307FBE39F}">
    <sortState xmlns:xlrd2="http://schemas.microsoft.com/office/spreadsheetml/2017/richdata2" ref="B6:N12">
      <sortCondition descending="1" ref="C5:C12"/>
    </sortState>
  </autoFilter>
  <phoneticPr fontId="7" type="noConversion"/>
  <hyperlinks>
    <hyperlink ref="N6" r:id="rId1" xr:uid="{F3394F35-0E58-49BD-A6F2-6E25A5EC29D9}"/>
    <hyperlink ref="N10" r:id="rId2" xr:uid="{B5AFD96A-4FF0-423E-BFB3-9F5C87BE1935}"/>
    <hyperlink ref="N7" r:id="rId3" xr:uid="{7B7EED02-7475-4BD4-AEC9-DB756B3D9BFD}"/>
    <hyperlink ref="N11" r:id="rId4" xr:uid="{DC552D3D-CB6D-4AB4-AB0A-2442AA5D51A7}"/>
    <hyperlink ref="N9" r:id="rId5" xr:uid="{53F47A37-3ACC-4F15-B20D-07C9796E8A99}"/>
    <hyperlink ref="N8" r:id="rId6" xr:uid="{59B9FD57-6974-49CE-9F3D-DD4AE3131A2B}"/>
    <hyperlink ref="N12" r:id="rId7" xr:uid="{C278ECB1-F717-4C2D-992A-A9C6D20C4834}"/>
    <hyperlink ref="O12" r:id="rId8" xr:uid="{C46FC4B8-0725-465A-855F-30D04B699A35}"/>
  </hyperlinks>
  <pageMargins left="0.7" right="0.7" top="0.75" bottom="0.75" header="0.3" footer="0.3"/>
  <pageSetup paperSize="9" orientation="portrait" horizontalDpi="300" verticalDpi="300"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EFB55-9782-4645-AB5F-6C7D47B06DCE}">
  <dimension ref="A1:F36"/>
  <sheetViews>
    <sheetView zoomScale="70" zoomScaleNormal="70" workbookViewId="0">
      <selection activeCell="D61" sqref="D61"/>
    </sheetView>
  </sheetViews>
  <sheetFormatPr defaultColWidth="8.6640625" defaultRowHeight="13.95" x14ac:dyDescent="0.25"/>
  <cols>
    <col min="1" max="1" width="7.21875" style="30" customWidth="1"/>
    <col min="2" max="2" width="68.33203125" style="30" bestFit="1" customWidth="1"/>
    <col min="3" max="3" width="15.6640625" style="30" bestFit="1" customWidth="1"/>
    <col min="4" max="5" width="16.6640625" style="30" bestFit="1" customWidth="1"/>
    <col min="6" max="16384" width="8.6640625" style="30"/>
  </cols>
  <sheetData>
    <row r="1" spans="1:6" s="2" customFormat="1" ht="26.05" x14ac:dyDescent="0.35">
      <c r="A1" s="1"/>
      <c r="C1" s="3">
        <f>C4/C3</f>
        <v>0</v>
      </c>
      <c r="D1" s="3">
        <f>D4/D3</f>
        <v>1.5702301234567901</v>
      </c>
      <c r="E1" s="3">
        <f>E4/E3</f>
        <v>5.4416748768472907</v>
      </c>
    </row>
    <row r="2" spans="1:6" s="2" customFormat="1" ht="17.55" x14ac:dyDescent="0.35">
      <c r="A2" s="4"/>
      <c r="B2" s="5" t="s">
        <v>198</v>
      </c>
      <c r="C2" s="5"/>
      <c r="D2" s="5"/>
      <c r="E2" s="5"/>
    </row>
    <row r="3" spans="1:6" s="2" customFormat="1" ht="16.350000000000001" x14ac:dyDescent="0.35">
      <c r="A3" s="4"/>
      <c r="B3" s="6"/>
      <c r="C3" s="7">
        <v>2021</v>
      </c>
      <c r="D3" s="7">
        <v>2025</v>
      </c>
      <c r="E3" s="7">
        <v>2030</v>
      </c>
    </row>
    <row r="4" spans="1:6" s="2" customFormat="1" ht="15.75" x14ac:dyDescent="0.35">
      <c r="A4" s="4"/>
      <c r="B4" s="6" t="s">
        <v>0</v>
      </c>
      <c r="C4" s="8"/>
      <c r="D4" s="8">
        <v>3179.7159999999999</v>
      </c>
      <c r="E4" s="8">
        <v>11046.6</v>
      </c>
    </row>
    <row r="5" spans="1:6" s="2" customFormat="1" ht="15.75" x14ac:dyDescent="0.35">
      <c r="A5" s="4"/>
      <c r="B5" s="6" t="s">
        <v>1</v>
      </c>
      <c r="C5" s="8"/>
      <c r="D5" s="8">
        <f>20%*D4</f>
        <v>635.94320000000005</v>
      </c>
      <c r="E5" s="8">
        <f>20%*E4</f>
        <v>2209.3200000000002</v>
      </c>
    </row>
    <row r="6" spans="1:6" s="2" customFormat="1" ht="15.75" x14ac:dyDescent="0.35">
      <c r="A6" s="4"/>
      <c r="B6" s="6" t="s">
        <v>2</v>
      </c>
      <c r="C6" s="8"/>
      <c r="D6" s="8">
        <v>0.4</v>
      </c>
      <c r="E6" s="8">
        <v>0.6</v>
      </c>
    </row>
    <row r="7" spans="1:6" s="2" customFormat="1" ht="15.75" x14ac:dyDescent="0.35">
      <c r="A7" s="4"/>
      <c r="B7" s="6" t="s">
        <v>3</v>
      </c>
      <c r="C7" s="8"/>
      <c r="D7" s="8">
        <f>D5*D6*100</f>
        <v>25437.728000000003</v>
      </c>
      <c r="E7" s="8">
        <f>E5*E6*100</f>
        <v>132559.20000000001</v>
      </c>
    </row>
    <row r="8" spans="1:6" s="2" customFormat="1" ht="15.75" x14ac:dyDescent="0.35">
      <c r="A8" s="4"/>
      <c r="B8" s="6" t="s">
        <v>4</v>
      </c>
      <c r="C8" s="9"/>
      <c r="D8" s="9">
        <v>0.15</v>
      </c>
      <c r="E8" s="9">
        <v>0.2</v>
      </c>
    </row>
    <row r="9" spans="1:6" s="2" customFormat="1" ht="15.75" x14ac:dyDescent="0.35">
      <c r="A9" s="4"/>
      <c r="B9" s="6" t="s">
        <v>5</v>
      </c>
      <c r="C9" s="8">
        <v>490</v>
      </c>
      <c r="D9" s="8">
        <f>3241.45805825243</f>
        <v>3241.45805825243</v>
      </c>
      <c r="E9" s="10">
        <v>15014.7961165049</v>
      </c>
    </row>
    <row r="10" spans="1:6" s="2" customFormat="1" ht="15.75" x14ac:dyDescent="0.35">
      <c r="A10" s="4"/>
      <c r="B10" s="6" t="s">
        <v>6</v>
      </c>
      <c r="C10" s="8"/>
      <c r="D10" s="8">
        <v>721</v>
      </c>
      <c r="E10" s="8">
        <v>721</v>
      </c>
      <c r="F10" s="252" t="s">
        <v>213</v>
      </c>
    </row>
    <row r="11" spans="1:6" s="2" customFormat="1" ht="15.75" x14ac:dyDescent="0.35">
      <c r="A11" s="4"/>
      <c r="B11" s="6" t="s">
        <v>7</v>
      </c>
      <c r="C11" s="8"/>
      <c r="D11" s="8">
        <f>D5*D8*100000000/D10</f>
        <v>13230441.054091539</v>
      </c>
      <c r="E11" s="8">
        <f>E5*E8*100000000/E10</f>
        <v>61284882.108183078</v>
      </c>
    </row>
    <row r="12" spans="1:6" s="2" customFormat="1" ht="15.75" x14ac:dyDescent="0.35">
      <c r="A12" s="4"/>
      <c r="B12" s="6" t="s">
        <v>8</v>
      </c>
      <c r="C12" s="8"/>
      <c r="D12" s="8">
        <v>2</v>
      </c>
      <c r="E12" s="8">
        <v>2</v>
      </c>
    </row>
    <row r="13" spans="1:6" s="2" customFormat="1" ht="15.75" x14ac:dyDescent="0.35">
      <c r="A13" s="4"/>
      <c r="B13" s="6" t="s">
        <v>9</v>
      </c>
      <c r="C13" s="8">
        <v>1000</v>
      </c>
      <c r="D13" s="8">
        <f>D11/D12/1000</f>
        <v>6615.2205270457698</v>
      </c>
      <c r="E13" s="8">
        <f>E11/E12/1000</f>
        <v>30642.441054091538</v>
      </c>
    </row>
    <row r="14" spans="1:6" s="2" customFormat="1" ht="15.75" x14ac:dyDescent="0.35">
      <c r="A14" s="4"/>
      <c r="B14" s="6"/>
      <c r="C14" s="8"/>
      <c r="D14" s="8"/>
      <c r="E14" s="8"/>
    </row>
    <row r="15" spans="1:6" s="2" customFormat="1" ht="16.350000000000001" thickBot="1" x14ac:dyDescent="0.4">
      <c r="A15" s="4"/>
      <c r="B15" s="11"/>
      <c r="C15" s="12"/>
      <c r="D15" s="12"/>
      <c r="E15" s="45">
        <f>30/200</f>
        <v>0.15</v>
      </c>
    </row>
    <row r="16" spans="1:6" s="2" customFormat="1" ht="15.75" x14ac:dyDescent="0.35">
      <c r="A16" s="4"/>
      <c r="B16" s="4"/>
      <c r="C16" s="13"/>
      <c r="D16" s="4"/>
      <c r="E16" s="4"/>
    </row>
    <row r="17" spans="1:5" s="2" customFormat="1" ht="50.85" hidden="1" x14ac:dyDescent="0.35">
      <c r="A17" s="14"/>
      <c r="B17" s="4"/>
      <c r="C17" s="15"/>
      <c r="D17" s="16"/>
      <c r="E17" s="4"/>
    </row>
    <row r="18" spans="1:5" s="2" customFormat="1" ht="15.75" hidden="1" x14ac:dyDescent="0.35">
      <c r="A18" s="4"/>
      <c r="B18" s="17"/>
      <c r="C18" s="18"/>
      <c r="D18" s="18"/>
      <c r="E18" s="18"/>
    </row>
    <row r="19" spans="1:5" s="2" customFormat="1" ht="15.75" hidden="1" x14ac:dyDescent="0.35">
      <c r="A19" s="4"/>
      <c r="B19" s="19"/>
      <c r="C19" s="20"/>
      <c r="D19" s="20"/>
      <c r="E19" s="20"/>
    </row>
    <row r="20" spans="1:5" s="2" customFormat="1" ht="15.75" hidden="1" x14ac:dyDescent="0.35">
      <c r="A20" s="4"/>
      <c r="B20" s="19"/>
      <c r="C20" s="20">
        <v>2021</v>
      </c>
      <c r="D20" s="20">
        <v>2025</v>
      </c>
      <c r="E20" s="20">
        <v>2030</v>
      </c>
    </row>
    <row r="21" spans="1:5" s="2" customFormat="1" ht="15.75" hidden="1" x14ac:dyDescent="0.35">
      <c r="B21" s="21" t="s">
        <v>10</v>
      </c>
      <c r="C21" s="22">
        <v>1000</v>
      </c>
      <c r="D21" s="22"/>
      <c r="E21" s="22"/>
    </row>
    <row r="22" spans="1:5" s="2" customFormat="1" ht="15.75" hidden="1" x14ac:dyDescent="0.35">
      <c r="B22" s="21"/>
      <c r="C22" s="22"/>
      <c r="D22" s="22"/>
      <c r="E22" s="22"/>
    </row>
    <row r="23" spans="1:5" s="2" customFormat="1" ht="15.75" hidden="1" x14ac:dyDescent="0.35">
      <c r="B23" s="21"/>
      <c r="C23" s="22"/>
      <c r="D23" s="22"/>
      <c r="E23" s="22"/>
    </row>
    <row r="24" spans="1:5" s="2" customFormat="1" ht="15.75" hidden="1" x14ac:dyDescent="0.35">
      <c r="B24" s="21"/>
      <c r="C24" s="22"/>
      <c r="D24" s="22"/>
      <c r="E24" s="22"/>
    </row>
    <row r="25" spans="1:5" s="2" customFormat="1" ht="15.75" hidden="1" x14ac:dyDescent="0.35">
      <c r="B25" s="21"/>
      <c r="C25" s="22"/>
      <c r="D25" s="22"/>
      <c r="E25" s="22"/>
    </row>
    <row r="26" spans="1:5" s="2" customFormat="1" ht="15.75" hidden="1" x14ac:dyDescent="0.35">
      <c r="B26" s="21"/>
      <c r="C26" s="22"/>
      <c r="D26" s="22"/>
      <c r="E26" s="22"/>
    </row>
    <row r="27" spans="1:5" s="2" customFormat="1" ht="15.75" hidden="1" x14ac:dyDescent="0.35">
      <c r="B27" s="21"/>
      <c r="C27" s="22"/>
      <c r="D27" s="22"/>
      <c r="E27" s="22"/>
    </row>
    <row r="28" spans="1:5" s="2" customFormat="1" ht="15.75" hidden="1" x14ac:dyDescent="0.35">
      <c r="B28" s="21"/>
      <c r="C28" s="22"/>
      <c r="D28" s="22"/>
      <c r="E28" s="22"/>
    </row>
    <row r="29" spans="1:5" s="2" customFormat="1" ht="15.75" hidden="1" x14ac:dyDescent="0.35">
      <c r="B29" s="21"/>
      <c r="C29" s="22"/>
      <c r="D29" s="22"/>
      <c r="E29" s="22"/>
    </row>
    <row r="30" spans="1:5" s="2" customFormat="1" ht="15.75" hidden="1" x14ac:dyDescent="0.35">
      <c r="B30" s="21"/>
      <c r="C30" s="22"/>
      <c r="D30" s="22"/>
      <c r="E30" s="22"/>
    </row>
    <row r="31" spans="1:5" s="2" customFormat="1" ht="15.75" hidden="1" x14ac:dyDescent="0.35">
      <c r="B31" s="23"/>
      <c r="C31" s="24"/>
      <c r="D31" s="24"/>
      <c r="E31" s="24"/>
    </row>
    <row r="32" spans="1:5" s="2" customFormat="1" ht="15.75" x14ac:dyDescent="0.35">
      <c r="B32" s="27" t="s">
        <v>11</v>
      </c>
      <c r="C32" s="28"/>
      <c r="D32" s="28"/>
      <c r="E32" s="28"/>
    </row>
    <row r="33" spans="2:5" s="2" customFormat="1" ht="15.75" x14ac:dyDescent="0.35">
      <c r="B33" s="25" t="s">
        <v>12</v>
      </c>
      <c r="C33" s="29">
        <v>1.06</v>
      </c>
      <c r="D33" s="28"/>
      <c r="E33" s="28"/>
    </row>
    <row r="34" spans="2:5" s="2" customFormat="1" ht="15.75" x14ac:dyDescent="0.35">
      <c r="B34" s="25" t="s">
        <v>13</v>
      </c>
      <c r="C34" s="26">
        <v>0.67</v>
      </c>
      <c r="D34" s="28"/>
      <c r="E34" s="28"/>
    </row>
    <row r="35" spans="2:5" s="2" customFormat="1" ht="15.75" x14ac:dyDescent="0.35">
      <c r="B35" s="25" t="s">
        <v>14</v>
      </c>
      <c r="C35" s="26">
        <v>0.36</v>
      </c>
      <c r="D35" s="28"/>
      <c r="E35" s="28"/>
    </row>
    <row r="36" spans="2:5" s="2" customFormat="1" ht="15.75" x14ac:dyDescent="0.35">
      <c r="B36" s="27" t="s">
        <v>15</v>
      </c>
      <c r="C36" s="28"/>
      <c r="D36" s="28"/>
      <c r="E36" s="28"/>
    </row>
  </sheetData>
  <phoneticPr fontId="7"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理论市场规模（供参考）</vt:lpstr>
      <vt:lpstr>全国装机</vt:lpstr>
      <vt:lpstr>Bottom-Up分行业_Min</vt:lpstr>
      <vt:lpstr>01 Bottom-Up旧版本</vt:lpstr>
      <vt:lpstr>用电量-各行业汇总</vt:lpstr>
      <vt:lpstr>用电量-工业</vt:lpstr>
      <vt:lpstr>01Bottom-Up</vt:lpstr>
      <vt:lpstr>02Top-Down</vt:lpstr>
      <vt:lpstr>03分布式配储</vt:lpstr>
      <vt:lpstr>03 Cross-Check 现货电量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dc:creator>
  <cp:lastModifiedBy>WM</cp:lastModifiedBy>
  <dcterms:created xsi:type="dcterms:W3CDTF">2022-05-30T07:58:13Z</dcterms:created>
  <dcterms:modified xsi:type="dcterms:W3CDTF">2022-08-29T07:03:02Z</dcterms:modified>
</cp:coreProperties>
</file>