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in\Desktop\赵敏\其他\已完成\壳牌\模型\"/>
    </mc:Choice>
  </mc:AlternateContent>
  <xr:revisionPtr revIDLastSave="0" documentId="13_ncr:1_{5295ED9B-9311-4DFE-8CB2-ED43737D356E}" xr6:coauthVersionLast="47" xr6:coauthVersionMax="47" xr10:uidLastSave="{00000000-0000-0000-0000-000000000000}"/>
  <bookViews>
    <workbookView xWindow="-28920" yWindow="-30" windowWidth="29040" windowHeight="15840" firstSheet="3" activeTab="4" xr2:uid="{00000000-000D-0000-FFFF-FFFF00000000}"/>
  </bookViews>
  <sheets>
    <sheet name="分布式光伏电站IRR汇总" sheetId="12" r:id="rId1"/>
    <sheet name="自发自用比例=70%" sheetId="15" r:id="rId2"/>
    <sheet name="自发自用比例=100%（结合储能-自投）" sheetId="16" r:id="rId3"/>
    <sheet name="自发自用比例=100%（结合储能-合同能源管理收益）" sheetId="17" r:id="rId4"/>
    <sheet name="储能经济模型" sheetId="14" r:id="rId5"/>
    <sheet name="Backup分地区光伏小时数及电价" sheetId="5" r:id="rId6"/>
    <sheet name="分布式光伏经济性模型-分地区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9" i="17" l="1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H39" i="16"/>
  <c r="H41" i="16" s="1"/>
  <c r="D43" i="16"/>
  <c r="G32" i="16" s="1"/>
  <c r="H43" i="17"/>
  <c r="H22" i="17"/>
  <c r="H20" i="17"/>
  <c r="H20" i="16"/>
  <c r="B40" i="14" l="1"/>
  <c r="G38" i="17"/>
  <c r="H17" i="17"/>
  <c r="D44" i="16"/>
  <c r="G13" i="16"/>
  <c r="G44" i="17"/>
  <c r="G44" i="16"/>
  <c r="D37" i="15"/>
  <c r="D38" i="15" s="1"/>
  <c r="D37" i="16"/>
  <c r="H34" i="16"/>
  <c r="H15" i="16"/>
  <c r="G14" i="16"/>
  <c r="F21" i="14"/>
  <c r="H17" i="16"/>
  <c r="I17" i="16"/>
  <c r="J17" i="16"/>
  <c r="K17" i="16"/>
  <c r="L17" i="16"/>
  <c r="M17" i="16"/>
  <c r="N17" i="16"/>
  <c r="O17" i="16"/>
  <c r="P17" i="16"/>
  <c r="Q17" i="16"/>
  <c r="R17" i="16"/>
  <c r="S17" i="16"/>
  <c r="D41" i="16"/>
  <c r="D37" i="17"/>
  <c r="D38" i="17" s="1"/>
  <c r="T36" i="17"/>
  <c r="L36" i="17"/>
  <c r="D32" i="17"/>
  <c r="D31" i="17"/>
  <c r="Z36" i="17" s="1"/>
  <c r="D30" i="17"/>
  <c r="D29" i="17"/>
  <c r="T39" i="17" s="1"/>
  <c r="T41" i="17" s="1"/>
  <c r="D28" i="17"/>
  <c r="D27" i="17"/>
  <c r="D26" i="17"/>
  <c r="D25" i="17"/>
  <c r="D24" i="17"/>
  <c r="D23" i="17"/>
  <c r="D22" i="17"/>
  <c r="D21" i="17"/>
  <c r="T20" i="17"/>
  <c r="T22" i="17" s="1"/>
  <c r="L20" i="17"/>
  <c r="L22" i="17" s="1"/>
  <c r="D20" i="17"/>
  <c r="D19" i="17"/>
  <c r="D18" i="17"/>
  <c r="U17" i="17"/>
  <c r="T17" i="17"/>
  <c r="M17" i="17"/>
  <c r="L17" i="17"/>
  <c r="D17" i="17"/>
  <c r="D16" i="17"/>
  <c r="D15" i="17"/>
  <c r="D14" i="17"/>
  <c r="D13" i="17"/>
  <c r="D12" i="17"/>
  <c r="D11" i="17"/>
  <c r="D10" i="17"/>
  <c r="AA39" i="17" s="1"/>
  <c r="AA41" i="17" s="1"/>
  <c r="D2" i="17"/>
  <c r="D38" i="16"/>
  <c r="Y36" i="16"/>
  <c r="U36" i="16"/>
  <c r="T36" i="16"/>
  <c r="Q36" i="16"/>
  <c r="M36" i="16"/>
  <c r="L36" i="16"/>
  <c r="I36" i="16"/>
  <c r="D32" i="16"/>
  <c r="D31" i="16"/>
  <c r="AA36" i="16" s="1"/>
  <c r="D30" i="16"/>
  <c r="D29" i="16"/>
  <c r="D28" i="16"/>
  <c r="D27" i="16"/>
  <c r="D26" i="16"/>
  <c r="D25" i="16"/>
  <c r="D24" i="16"/>
  <c r="D23" i="16"/>
  <c r="D22" i="16"/>
  <c r="D21" i="16"/>
  <c r="T20" i="16"/>
  <c r="L20" i="16"/>
  <c r="D20" i="16"/>
  <c r="D19" i="16"/>
  <c r="D18" i="16"/>
  <c r="Z17" i="16"/>
  <c r="X17" i="16"/>
  <c r="W17" i="16"/>
  <c r="V17" i="16"/>
  <c r="U17" i="16"/>
  <c r="D17" i="16"/>
  <c r="D16" i="16"/>
  <c r="D15" i="16"/>
  <c r="D14" i="16"/>
  <c r="D13" i="16"/>
  <c r="D12" i="16"/>
  <c r="D11" i="16"/>
  <c r="D10" i="16"/>
  <c r="D2" i="16"/>
  <c r="D32" i="15"/>
  <c r="D31" i="15"/>
  <c r="T31" i="15" s="1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AA34" i="15" s="1"/>
  <c r="D2" i="15"/>
  <c r="H20" i="11"/>
  <c r="Q37" i="14"/>
  <c r="E37" i="14"/>
  <c r="B36" i="14"/>
  <c r="B37" i="14" s="1"/>
  <c r="B35" i="14"/>
  <c r="B34" i="14"/>
  <c r="B33" i="14"/>
  <c r="B32" i="14"/>
  <c r="S19" i="14" s="1"/>
  <c r="B31" i="14"/>
  <c r="Z26" i="14"/>
  <c r="Z30" i="14" s="1"/>
  <c r="Y26" i="14"/>
  <c r="Y30" i="14" s="1"/>
  <c r="X26" i="14"/>
  <c r="X30" i="14" s="1"/>
  <c r="W26" i="14"/>
  <c r="W30" i="14" s="1"/>
  <c r="V26" i="14"/>
  <c r="V30" i="14" s="1"/>
  <c r="U26" i="14"/>
  <c r="U30" i="14" s="1"/>
  <c r="T26" i="14"/>
  <c r="T30" i="14" s="1"/>
  <c r="S26" i="14"/>
  <c r="S30" i="14" s="1"/>
  <c r="R26" i="14"/>
  <c r="R30" i="14" s="1"/>
  <c r="N26" i="14"/>
  <c r="N30" i="14" s="1"/>
  <c r="M26" i="14"/>
  <c r="M30" i="14" s="1"/>
  <c r="L26" i="14"/>
  <c r="L30" i="14" s="1"/>
  <c r="K26" i="14"/>
  <c r="K30" i="14" s="1"/>
  <c r="J26" i="14"/>
  <c r="J30" i="14" s="1"/>
  <c r="I26" i="14"/>
  <c r="I30" i="14" s="1"/>
  <c r="H26" i="14"/>
  <c r="H30" i="14" s="1"/>
  <c r="G26" i="14"/>
  <c r="G30" i="14" s="1"/>
  <c r="F26" i="14"/>
  <c r="F30" i="14" s="1"/>
  <c r="Z24" i="14"/>
  <c r="Z28" i="14" s="1"/>
  <c r="Y24" i="14"/>
  <c r="Y28" i="14" s="1"/>
  <c r="X24" i="14"/>
  <c r="X28" i="14" s="1"/>
  <c r="W24" i="14"/>
  <c r="W28" i="14" s="1"/>
  <c r="V24" i="14"/>
  <c r="V28" i="14" s="1"/>
  <c r="U24" i="14"/>
  <c r="U28" i="14" s="1"/>
  <c r="T24" i="14"/>
  <c r="T28" i="14" s="1"/>
  <c r="S24" i="14"/>
  <c r="S28" i="14" s="1"/>
  <c r="R24" i="14"/>
  <c r="Q23" i="14" s="1"/>
  <c r="N24" i="14"/>
  <c r="N28" i="14" s="1"/>
  <c r="M24" i="14"/>
  <c r="M28" i="14" s="1"/>
  <c r="L24" i="14"/>
  <c r="L28" i="14" s="1"/>
  <c r="K24" i="14"/>
  <c r="K28" i="14" s="1"/>
  <c r="J24" i="14"/>
  <c r="J28" i="14" s="1"/>
  <c r="I24" i="14"/>
  <c r="I28" i="14" s="1"/>
  <c r="H24" i="14"/>
  <c r="H28" i="14" s="1"/>
  <c r="G24" i="14"/>
  <c r="G28" i="14" s="1"/>
  <c r="F24" i="14"/>
  <c r="F28" i="14" s="1"/>
  <c r="Z22" i="14"/>
  <c r="N22" i="14"/>
  <c r="T19" i="14"/>
  <c r="I19" i="14"/>
  <c r="C18" i="14"/>
  <c r="F14" i="12"/>
  <c r="T44" i="17" l="1"/>
  <c r="Q44" i="17"/>
  <c r="P44" i="17"/>
  <c r="W44" i="17"/>
  <c r="U44" i="17"/>
  <c r="I44" i="17"/>
  <c r="K44" i="17"/>
  <c r="V44" i="17"/>
  <c r="J44" i="17"/>
  <c r="H44" i="17"/>
  <c r="X44" i="17"/>
  <c r="L44" i="17"/>
  <c r="Y44" i="17"/>
  <c r="M44" i="17"/>
  <c r="R44" i="17"/>
  <c r="Z44" i="17"/>
  <c r="N44" i="17"/>
  <c r="S44" i="17"/>
  <c r="AA44" i="17"/>
  <c r="O44" i="17"/>
  <c r="L31" i="15"/>
  <c r="M12" i="15"/>
  <c r="N12" i="15"/>
  <c r="L15" i="15"/>
  <c r="L17" i="15" s="1"/>
  <c r="O12" i="15"/>
  <c r="T15" i="15"/>
  <c r="T17" i="15" s="1"/>
  <c r="H15" i="15"/>
  <c r="U12" i="15"/>
  <c r="AA15" i="15"/>
  <c r="AA17" i="15" s="1"/>
  <c r="V12" i="15"/>
  <c r="W12" i="15"/>
  <c r="AA31" i="15"/>
  <c r="AA41" i="16"/>
  <c r="L22" i="16"/>
  <c r="T22" i="16"/>
  <c r="Q41" i="16"/>
  <c r="AA36" i="15"/>
  <c r="H17" i="15"/>
  <c r="N17" i="17"/>
  <c r="V17" i="17"/>
  <c r="M20" i="17"/>
  <c r="M22" i="17" s="1"/>
  <c r="U20" i="17"/>
  <c r="U22" i="17" s="1"/>
  <c r="M36" i="17"/>
  <c r="U36" i="17"/>
  <c r="M39" i="17"/>
  <c r="M41" i="17" s="1"/>
  <c r="U39" i="17"/>
  <c r="U41" i="17" s="1"/>
  <c r="L39" i="17"/>
  <c r="L41" i="17" s="1"/>
  <c r="O17" i="17"/>
  <c r="W17" i="17"/>
  <c r="N20" i="17"/>
  <c r="N22" i="17" s="1"/>
  <c r="V20" i="17"/>
  <c r="V22" i="17" s="1"/>
  <c r="N36" i="17"/>
  <c r="V36" i="17"/>
  <c r="N39" i="17"/>
  <c r="N41" i="17" s="1"/>
  <c r="V39" i="17"/>
  <c r="V41" i="17" s="1"/>
  <c r="P17" i="17"/>
  <c r="X17" i="17"/>
  <c r="O20" i="17"/>
  <c r="O22" i="17" s="1"/>
  <c r="W20" i="17"/>
  <c r="W22" i="17" s="1"/>
  <c r="O36" i="17"/>
  <c r="W36" i="17"/>
  <c r="O39" i="17"/>
  <c r="O41" i="17" s="1"/>
  <c r="W39" i="17"/>
  <c r="W41" i="17" s="1"/>
  <c r="I17" i="17"/>
  <c r="Q17" i="17"/>
  <c r="Y17" i="17"/>
  <c r="P20" i="17"/>
  <c r="P22" i="17" s="1"/>
  <c r="X20" i="17"/>
  <c r="X22" i="17" s="1"/>
  <c r="H36" i="17"/>
  <c r="P36" i="17"/>
  <c r="X36" i="17"/>
  <c r="P39" i="17"/>
  <c r="P41" i="17" s="1"/>
  <c r="X39" i="17"/>
  <c r="X41" i="17" s="1"/>
  <c r="J17" i="17"/>
  <c r="R17" i="17"/>
  <c r="Z17" i="17"/>
  <c r="I20" i="17"/>
  <c r="I22" i="17" s="1"/>
  <c r="Q20" i="17"/>
  <c r="Q22" i="17" s="1"/>
  <c r="Y20" i="17"/>
  <c r="Y22" i="17" s="1"/>
  <c r="I36" i="17"/>
  <c r="Q36" i="17"/>
  <c r="Y36" i="17"/>
  <c r="I39" i="17"/>
  <c r="I41" i="17" s="1"/>
  <c r="I43" i="17" s="1"/>
  <c r="Q39" i="17"/>
  <c r="Q41" i="17" s="1"/>
  <c r="Y39" i="17"/>
  <c r="Y41" i="17" s="1"/>
  <c r="K17" i="17"/>
  <c r="S17" i="17"/>
  <c r="AA17" i="17"/>
  <c r="J20" i="17"/>
  <c r="J22" i="17" s="1"/>
  <c r="R20" i="17"/>
  <c r="R22" i="17" s="1"/>
  <c r="Z20" i="17"/>
  <c r="Z22" i="17" s="1"/>
  <c r="D34" i="17"/>
  <c r="AA37" i="17" s="1"/>
  <c r="J36" i="17"/>
  <c r="R36" i="17"/>
  <c r="J39" i="17"/>
  <c r="J41" i="17" s="1"/>
  <c r="R39" i="17"/>
  <c r="R41" i="17" s="1"/>
  <c r="Z39" i="17"/>
  <c r="Z41" i="17" s="1"/>
  <c r="K20" i="17"/>
  <c r="K22" i="17" s="1"/>
  <c r="S20" i="17"/>
  <c r="S22" i="17" s="1"/>
  <c r="AA20" i="17"/>
  <c r="AA22" i="17" s="1"/>
  <c r="K36" i="17"/>
  <c r="S36" i="17"/>
  <c r="AA36" i="17"/>
  <c r="K39" i="17"/>
  <c r="K41" i="17" s="1"/>
  <c r="S39" i="17"/>
  <c r="S41" i="17" s="1"/>
  <c r="U20" i="16"/>
  <c r="U22" i="16" s="1"/>
  <c r="N20" i="16"/>
  <c r="N22" i="16" s="1"/>
  <c r="V20" i="16"/>
  <c r="V22" i="16" s="1"/>
  <c r="N36" i="16"/>
  <c r="V36" i="16"/>
  <c r="N41" i="16"/>
  <c r="V41" i="16"/>
  <c r="M20" i="16"/>
  <c r="M22" i="16" s="1"/>
  <c r="M41" i="16"/>
  <c r="O20" i="16"/>
  <c r="O22" i="16" s="1"/>
  <c r="W20" i="16"/>
  <c r="W22" i="16" s="1"/>
  <c r="O36" i="16"/>
  <c r="W36" i="16"/>
  <c r="O41" i="16"/>
  <c r="W41" i="16"/>
  <c r="L41" i="16"/>
  <c r="U41" i="16"/>
  <c r="Y17" i="16"/>
  <c r="P20" i="16"/>
  <c r="P22" i="16" s="1"/>
  <c r="X20" i="16"/>
  <c r="X22" i="16" s="1"/>
  <c r="H36" i="16"/>
  <c r="G35" i="16" s="1"/>
  <c r="P36" i="16"/>
  <c r="X36" i="16"/>
  <c r="P41" i="16"/>
  <c r="X41" i="16"/>
  <c r="I20" i="16"/>
  <c r="I22" i="16" s="1"/>
  <c r="Q20" i="16"/>
  <c r="Q22" i="16" s="1"/>
  <c r="Y20" i="16"/>
  <c r="Y22" i="16" s="1"/>
  <c r="I41" i="16"/>
  <c r="Y41" i="16"/>
  <c r="AA17" i="16"/>
  <c r="J20" i="16"/>
  <c r="J22" i="16" s="1"/>
  <c r="R20" i="16"/>
  <c r="R22" i="16" s="1"/>
  <c r="Z20" i="16"/>
  <c r="Z22" i="16" s="1"/>
  <c r="D34" i="16"/>
  <c r="J36" i="16"/>
  <c r="R36" i="16"/>
  <c r="Z36" i="16"/>
  <c r="J41" i="16"/>
  <c r="R41" i="16"/>
  <c r="Z41" i="16"/>
  <c r="T41" i="16"/>
  <c r="T17" i="16"/>
  <c r="K20" i="16"/>
  <c r="K22" i="16" s="1"/>
  <c r="S20" i="16"/>
  <c r="S22" i="16" s="1"/>
  <c r="AA20" i="16"/>
  <c r="AA22" i="16" s="1"/>
  <c r="K36" i="16"/>
  <c r="S36" i="16"/>
  <c r="K41" i="16"/>
  <c r="S41" i="16"/>
  <c r="M15" i="15"/>
  <c r="M17" i="15" s="1"/>
  <c r="U15" i="15"/>
  <c r="U17" i="15" s="1"/>
  <c r="M31" i="15"/>
  <c r="U31" i="15"/>
  <c r="M34" i="15"/>
  <c r="M36" i="15" s="1"/>
  <c r="U34" i="15"/>
  <c r="U36" i="15" s="1"/>
  <c r="N15" i="15"/>
  <c r="N17" i="15" s="1"/>
  <c r="V31" i="15"/>
  <c r="H12" i="15"/>
  <c r="P12" i="15"/>
  <c r="X12" i="15"/>
  <c r="O15" i="15"/>
  <c r="O17" i="15" s="1"/>
  <c r="W15" i="15"/>
  <c r="W17" i="15" s="1"/>
  <c r="O31" i="15"/>
  <c r="W31" i="15"/>
  <c r="O34" i="15"/>
  <c r="O36" i="15" s="1"/>
  <c r="W34" i="15"/>
  <c r="W36" i="15" s="1"/>
  <c r="T34" i="15"/>
  <c r="T36" i="15" s="1"/>
  <c r="V15" i="15"/>
  <c r="V17" i="15" s="1"/>
  <c r="N31" i="15"/>
  <c r="N34" i="15"/>
  <c r="N36" i="15" s="1"/>
  <c r="I12" i="15"/>
  <c r="Q12" i="15"/>
  <c r="Y12" i="15"/>
  <c r="P15" i="15"/>
  <c r="P17" i="15" s="1"/>
  <c r="X15" i="15"/>
  <c r="X17" i="15" s="1"/>
  <c r="H31" i="15"/>
  <c r="P31" i="15"/>
  <c r="X31" i="15"/>
  <c r="H34" i="15"/>
  <c r="H36" i="15" s="1"/>
  <c r="P34" i="15"/>
  <c r="P36" i="15" s="1"/>
  <c r="X34" i="15"/>
  <c r="X36" i="15" s="1"/>
  <c r="V34" i="15"/>
  <c r="V36" i="15" s="1"/>
  <c r="J12" i="15"/>
  <c r="R12" i="15"/>
  <c r="Z12" i="15"/>
  <c r="I15" i="15"/>
  <c r="Q15" i="15"/>
  <c r="Q17" i="15" s="1"/>
  <c r="Y15" i="15"/>
  <c r="Y17" i="15" s="1"/>
  <c r="I31" i="15"/>
  <c r="Q31" i="15"/>
  <c r="Y31" i="15"/>
  <c r="I34" i="15"/>
  <c r="I36" i="15" s="1"/>
  <c r="Q34" i="15"/>
  <c r="Q36" i="15" s="1"/>
  <c r="Y34" i="15"/>
  <c r="Y36" i="15" s="1"/>
  <c r="L34" i="15"/>
  <c r="L36" i="15" s="1"/>
  <c r="K12" i="15"/>
  <c r="S12" i="15"/>
  <c r="AA12" i="15"/>
  <c r="J15" i="15"/>
  <c r="J17" i="15" s="1"/>
  <c r="R15" i="15"/>
  <c r="R17" i="15" s="1"/>
  <c r="Z15" i="15"/>
  <c r="Z17" i="15" s="1"/>
  <c r="D34" i="15"/>
  <c r="J31" i="15"/>
  <c r="R31" i="15"/>
  <c r="Z31" i="15"/>
  <c r="J34" i="15"/>
  <c r="J36" i="15" s="1"/>
  <c r="R34" i="15"/>
  <c r="R36" i="15" s="1"/>
  <c r="Z34" i="15"/>
  <c r="Z36" i="15" s="1"/>
  <c r="L12" i="15"/>
  <c r="T12" i="15"/>
  <c r="K15" i="15"/>
  <c r="K17" i="15" s="1"/>
  <c r="S15" i="15"/>
  <c r="S17" i="15" s="1"/>
  <c r="K31" i="15"/>
  <c r="S31" i="15"/>
  <c r="K34" i="15"/>
  <c r="K36" i="15" s="1"/>
  <c r="S34" i="15"/>
  <c r="S36" i="15" s="1"/>
  <c r="I34" i="14"/>
  <c r="T34" i="14"/>
  <c r="V34" i="14"/>
  <c r="U34" i="14"/>
  <c r="E27" i="14"/>
  <c r="L34" i="14"/>
  <c r="W34" i="14"/>
  <c r="X34" i="14"/>
  <c r="E17" i="14"/>
  <c r="Q17" i="14"/>
  <c r="H34" i="14"/>
  <c r="J34" i="14"/>
  <c r="M34" i="14"/>
  <c r="F34" i="14"/>
  <c r="E29" i="14"/>
  <c r="N34" i="14"/>
  <c r="Y34" i="14"/>
  <c r="S34" i="14"/>
  <c r="K34" i="14"/>
  <c r="G34" i="14"/>
  <c r="Q29" i="14"/>
  <c r="Z34" i="14"/>
  <c r="K19" i="14"/>
  <c r="V19" i="14"/>
  <c r="Q25" i="14"/>
  <c r="E25" i="14"/>
  <c r="L19" i="14"/>
  <c r="W19" i="14"/>
  <c r="J19" i="14"/>
  <c r="M19" i="14"/>
  <c r="X19" i="14"/>
  <c r="U19" i="14"/>
  <c r="F19" i="14"/>
  <c r="E18" i="14" s="1"/>
  <c r="N19" i="14"/>
  <c r="Y19" i="14"/>
  <c r="E23" i="14"/>
  <c r="R28" i="14"/>
  <c r="Q27" i="14" s="1"/>
  <c r="G19" i="14"/>
  <c r="R19" i="14"/>
  <c r="Q18" i="14" s="1"/>
  <c r="Z19" i="14"/>
  <c r="H19" i="14"/>
  <c r="G45" i="17" l="1"/>
  <c r="AA25" i="17"/>
  <c r="Z25" i="17"/>
  <c r="W25" i="17"/>
  <c r="J25" i="17"/>
  <c r="Q25" i="17"/>
  <c r="G14" i="15"/>
  <c r="I17" i="15"/>
  <c r="M43" i="17"/>
  <c r="Z43" i="17"/>
  <c r="G19" i="17"/>
  <c r="W24" i="17"/>
  <c r="O24" i="17"/>
  <c r="O25" i="17" s="1"/>
  <c r="J43" i="17"/>
  <c r="H41" i="17"/>
  <c r="I24" i="17"/>
  <c r="I25" i="17" s="1"/>
  <c r="G16" i="17"/>
  <c r="AA24" i="17"/>
  <c r="X34" i="17"/>
  <c r="X43" i="17" s="1"/>
  <c r="P34" i="17"/>
  <c r="P43" i="17" s="1"/>
  <c r="H34" i="17"/>
  <c r="AA15" i="17"/>
  <c r="S15" i="17"/>
  <c r="K15" i="17"/>
  <c r="K24" i="17" s="1"/>
  <c r="K25" i="17" s="1"/>
  <c r="I34" i="17"/>
  <c r="W34" i="17"/>
  <c r="W43" i="17" s="1"/>
  <c r="O34" i="17"/>
  <c r="Z15" i="17"/>
  <c r="Z24" i="17" s="1"/>
  <c r="R15" i="17"/>
  <c r="R24" i="17" s="1"/>
  <c r="R25" i="17" s="1"/>
  <c r="J15" i="17"/>
  <c r="J24" i="17" s="1"/>
  <c r="T15" i="17"/>
  <c r="T24" i="17" s="1"/>
  <c r="T25" i="17" s="1"/>
  <c r="V34" i="17"/>
  <c r="N34" i="17"/>
  <c r="N43" i="17" s="1"/>
  <c r="Y15" i="17"/>
  <c r="Y24" i="17" s="1"/>
  <c r="Y25" i="17" s="1"/>
  <c r="Q15" i="17"/>
  <c r="Q24" i="17" s="1"/>
  <c r="I15" i="17"/>
  <c r="U34" i="17"/>
  <c r="U43" i="17" s="1"/>
  <c r="M34" i="17"/>
  <c r="G32" i="17"/>
  <c r="X15" i="17"/>
  <c r="P15" i="17"/>
  <c r="P24" i="17" s="1"/>
  <c r="P25" i="17" s="1"/>
  <c r="H15" i="17"/>
  <c r="Y34" i="17"/>
  <c r="Y43" i="17" s="1"/>
  <c r="T34" i="17"/>
  <c r="T43" i="17" s="1"/>
  <c r="L34" i="17"/>
  <c r="L43" i="17" s="1"/>
  <c r="W15" i="17"/>
  <c r="O15" i="17"/>
  <c r="AA34" i="17"/>
  <c r="AA43" i="17" s="1"/>
  <c r="S34" i="17"/>
  <c r="S43" i="17" s="1"/>
  <c r="K34" i="17"/>
  <c r="K43" i="17" s="1"/>
  <c r="V15" i="17"/>
  <c r="V24" i="17" s="1"/>
  <c r="V25" i="17" s="1"/>
  <c r="N15" i="17"/>
  <c r="N24" i="17" s="1"/>
  <c r="N25" i="17" s="1"/>
  <c r="Q34" i="17"/>
  <c r="Q43" i="17" s="1"/>
  <c r="G13" i="17"/>
  <c r="Z34" i="17"/>
  <c r="R34" i="17"/>
  <c r="R43" i="17" s="1"/>
  <c r="J34" i="17"/>
  <c r="U15" i="17"/>
  <c r="U24" i="17" s="1"/>
  <c r="U25" i="17" s="1"/>
  <c r="M15" i="17"/>
  <c r="M24" i="17" s="1"/>
  <c r="M25" i="17" s="1"/>
  <c r="AA18" i="17"/>
  <c r="L15" i="17"/>
  <c r="L24" i="17" s="1"/>
  <c r="L25" i="17" s="1"/>
  <c r="G35" i="17"/>
  <c r="O43" i="17"/>
  <c r="V43" i="17"/>
  <c r="S24" i="17"/>
  <c r="S25" i="17" s="1"/>
  <c r="X24" i="17"/>
  <c r="X25" i="17" s="1"/>
  <c r="I24" i="16"/>
  <c r="I25" i="16" s="1"/>
  <c r="K43" i="16"/>
  <c r="K44" i="16" s="1"/>
  <c r="X43" i="16"/>
  <c r="X44" i="16" s="1"/>
  <c r="H22" i="16"/>
  <c r="G19" i="16"/>
  <c r="L43" i="16"/>
  <c r="L44" i="16" s="1"/>
  <c r="Z43" i="16"/>
  <c r="Z44" i="16" s="1"/>
  <c r="G38" i="16"/>
  <c r="G16" i="16"/>
  <c r="O24" i="16"/>
  <c r="O25" i="16" s="1"/>
  <c r="N24" i="16"/>
  <c r="N25" i="16" s="1"/>
  <c r="R24" i="16"/>
  <c r="R25" i="16" s="1"/>
  <c r="X34" i="16"/>
  <c r="P34" i="16"/>
  <c r="P43" i="16" s="1"/>
  <c r="P44" i="16" s="1"/>
  <c r="AA15" i="16"/>
  <c r="AA24" i="16" s="1"/>
  <c r="AA25" i="16" s="1"/>
  <c r="S15" i="16"/>
  <c r="S24" i="16" s="1"/>
  <c r="S25" i="16" s="1"/>
  <c r="K15" i="16"/>
  <c r="K24" i="16" s="1"/>
  <c r="K25" i="16" s="1"/>
  <c r="V34" i="16"/>
  <c r="V43" i="16" s="1"/>
  <c r="V44" i="16" s="1"/>
  <c r="N34" i="16"/>
  <c r="N43" i="16" s="1"/>
  <c r="N44" i="16" s="1"/>
  <c r="Y15" i="16"/>
  <c r="Y24" i="16" s="1"/>
  <c r="Y25" i="16" s="1"/>
  <c r="I15" i="16"/>
  <c r="U15" i="16"/>
  <c r="Y34" i="16"/>
  <c r="Y43" i="16" s="1"/>
  <c r="Y44" i="16" s="1"/>
  <c r="Q34" i="16"/>
  <c r="Q43" i="16" s="1"/>
  <c r="Q44" i="16" s="1"/>
  <c r="W34" i="16"/>
  <c r="W43" i="16" s="1"/>
  <c r="W44" i="16" s="1"/>
  <c r="O34" i="16"/>
  <c r="O43" i="16" s="1"/>
  <c r="O44" i="16" s="1"/>
  <c r="Z15" i="16"/>
  <c r="Z24" i="16" s="1"/>
  <c r="Z25" i="16" s="1"/>
  <c r="R15" i="16"/>
  <c r="J15" i="16"/>
  <c r="J24" i="16" s="1"/>
  <c r="J25" i="16" s="1"/>
  <c r="Q15" i="16"/>
  <c r="Q24" i="16" s="1"/>
  <c r="Q25" i="16" s="1"/>
  <c r="M15" i="16"/>
  <c r="M24" i="16" s="1"/>
  <c r="M25" i="16" s="1"/>
  <c r="U34" i="16"/>
  <c r="U43" i="16" s="1"/>
  <c r="U44" i="16" s="1"/>
  <c r="M34" i="16"/>
  <c r="M43" i="16" s="1"/>
  <c r="M44" i="16" s="1"/>
  <c r="X15" i="16"/>
  <c r="X24" i="16" s="1"/>
  <c r="X25" i="16" s="1"/>
  <c r="P15" i="16"/>
  <c r="P24" i="16" s="1"/>
  <c r="P25" i="16" s="1"/>
  <c r="O15" i="16"/>
  <c r="AA37" i="16"/>
  <c r="R34" i="16"/>
  <c r="R43" i="16" s="1"/>
  <c r="R44" i="16" s="1"/>
  <c r="I34" i="16"/>
  <c r="I43" i="16" s="1"/>
  <c r="I44" i="16" s="1"/>
  <c r="T15" i="16"/>
  <c r="T24" i="16" s="1"/>
  <c r="T25" i="16" s="1"/>
  <c r="L15" i="16"/>
  <c r="L24" i="16" s="1"/>
  <c r="L25" i="16" s="1"/>
  <c r="T34" i="16"/>
  <c r="T43" i="16" s="1"/>
  <c r="T44" i="16" s="1"/>
  <c r="L34" i="16"/>
  <c r="W15" i="16"/>
  <c r="W24" i="16" s="1"/>
  <c r="W25" i="16" s="1"/>
  <c r="Z34" i="16"/>
  <c r="J34" i="16"/>
  <c r="J43" i="16" s="1"/>
  <c r="J44" i="16" s="1"/>
  <c r="AA34" i="16"/>
  <c r="AA43" i="16" s="1"/>
  <c r="AA44" i="16" s="1"/>
  <c r="S34" i="16"/>
  <c r="S43" i="16" s="1"/>
  <c r="S44" i="16" s="1"/>
  <c r="K34" i="16"/>
  <c r="V15" i="16"/>
  <c r="V24" i="16" s="1"/>
  <c r="V25" i="16" s="1"/>
  <c r="N15" i="16"/>
  <c r="AA18" i="16"/>
  <c r="U24" i="16"/>
  <c r="U25" i="16" s="1"/>
  <c r="G11" i="15"/>
  <c r="G33" i="15"/>
  <c r="X29" i="15"/>
  <c r="X38" i="15" s="1"/>
  <c r="X39" i="15" s="1"/>
  <c r="P29" i="15"/>
  <c r="P38" i="15" s="1"/>
  <c r="P39" i="15" s="1"/>
  <c r="H29" i="15"/>
  <c r="AA10" i="15"/>
  <c r="AA19" i="15" s="1"/>
  <c r="AA20" i="15" s="1"/>
  <c r="S10" i="15"/>
  <c r="S19" i="15" s="1"/>
  <c r="S20" i="15" s="1"/>
  <c r="K10" i="15"/>
  <c r="K19" i="15" s="1"/>
  <c r="K20" i="15" s="1"/>
  <c r="M10" i="15"/>
  <c r="M19" i="15" s="1"/>
  <c r="M20" i="15" s="1"/>
  <c r="G8" i="15"/>
  <c r="W29" i="15"/>
  <c r="W38" i="15" s="1"/>
  <c r="W39" i="15" s="1"/>
  <c r="O29" i="15"/>
  <c r="O38" i="15" s="1"/>
  <c r="O39" i="15" s="1"/>
  <c r="Z10" i="15"/>
  <c r="R10" i="15"/>
  <c r="R19" i="15" s="1"/>
  <c r="R20" i="15" s="1"/>
  <c r="J10" i="15"/>
  <c r="AA29" i="15"/>
  <c r="AA38" i="15" s="1"/>
  <c r="AA39" i="15" s="1"/>
  <c r="Q29" i="15"/>
  <c r="Q38" i="15" s="1"/>
  <c r="Q39" i="15" s="1"/>
  <c r="V29" i="15"/>
  <c r="V38" i="15" s="1"/>
  <c r="V39" i="15" s="1"/>
  <c r="N29" i="15"/>
  <c r="N38" i="15" s="1"/>
  <c r="N39" i="15" s="1"/>
  <c r="Y10" i="15"/>
  <c r="Y19" i="15" s="1"/>
  <c r="Y20" i="15" s="1"/>
  <c r="Q10" i="15"/>
  <c r="Q19" i="15" s="1"/>
  <c r="Q20" i="15" s="1"/>
  <c r="I10" i="15"/>
  <c r="I19" i="15" s="1"/>
  <c r="I20" i="15" s="1"/>
  <c r="S29" i="15"/>
  <c r="N10" i="15"/>
  <c r="N19" i="15" s="1"/>
  <c r="N20" i="15" s="1"/>
  <c r="I29" i="15"/>
  <c r="I38" i="15" s="1"/>
  <c r="I39" i="15" s="1"/>
  <c r="U29" i="15"/>
  <c r="U38" i="15" s="1"/>
  <c r="U39" i="15" s="1"/>
  <c r="M29" i="15"/>
  <c r="M38" i="15" s="1"/>
  <c r="M39" i="15" s="1"/>
  <c r="G27" i="15"/>
  <c r="X10" i="15"/>
  <c r="P10" i="15"/>
  <c r="P19" i="15" s="1"/>
  <c r="P20" i="15" s="1"/>
  <c r="H10" i="15"/>
  <c r="H19" i="15" s="1"/>
  <c r="U10" i="15"/>
  <c r="U19" i="15" s="1"/>
  <c r="U20" i="15" s="1"/>
  <c r="Y29" i="15"/>
  <c r="Y38" i="15" s="1"/>
  <c r="Y39" i="15" s="1"/>
  <c r="T29" i="15"/>
  <c r="T38" i="15" s="1"/>
  <c r="T39" i="15" s="1"/>
  <c r="L29" i="15"/>
  <c r="L38" i="15" s="1"/>
  <c r="L39" i="15" s="1"/>
  <c r="W10" i="15"/>
  <c r="W19" i="15" s="1"/>
  <c r="W20" i="15" s="1"/>
  <c r="O10" i="15"/>
  <c r="K29" i="15"/>
  <c r="K38" i="15" s="1"/>
  <c r="K39" i="15" s="1"/>
  <c r="V10" i="15"/>
  <c r="V19" i="15" s="1"/>
  <c r="V20" i="15" s="1"/>
  <c r="AA13" i="15"/>
  <c r="L10" i="15"/>
  <c r="L19" i="15" s="1"/>
  <c r="L20" i="15" s="1"/>
  <c r="Z29" i="15"/>
  <c r="Z38" i="15" s="1"/>
  <c r="Z39" i="15" s="1"/>
  <c r="R29" i="15"/>
  <c r="R38" i="15" s="1"/>
  <c r="R39" i="15" s="1"/>
  <c r="J29" i="15"/>
  <c r="J38" i="15" s="1"/>
  <c r="J39" i="15" s="1"/>
  <c r="T10" i="15"/>
  <c r="Z19" i="15"/>
  <c r="Z20" i="15" s="1"/>
  <c r="T19" i="15"/>
  <c r="T20" i="15" s="1"/>
  <c r="S38" i="15"/>
  <c r="S39" i="15" s="1"/>
  <c r="G30" i="15"/>
  <c r="O19" i="15"/>
  <c r="O20" i="15" s="1"/>
  <c r="AA32" i="15"/>
  <c r="J19" i="15"/>
  <c r="J20" i="15" s="1"/>
  <c r="X19" i="15"/>
  <c r="X20" i="15" s="1"/>
  <c r="W21" i="14"/>
  <c r="W32" i="14" s="1"/>
  <c r="W36" i="14" s="1"/>
  <c r="W41" i="14" s="1"/>
  <c r="W42" i="14" s="1"/>
  <c r="V21" i="14"/>
  <c r="V32" i="14" s="1"/>
  <c r="V36" i="14" s="1"/>
  <c r="V41" i="14" s="1"/>
  <c r="V42" i="14" s="1"/>
  <c r="X21" i="14"/>
  <c r="X32" i="14" s="1"/>
  <c r="X36" i="14" s="1"/>
  <c r="X41" i="14" s="1"/>
  <c r="X42" i="14" s="1"/>
  <c r="Q42" i="14"/>
  <c r="U21" i="14"/>
  <c r="U32" i="14" s="1"/>
  <c r="U36" i="14" s="1"/>
  <c r="U41" i="14" s="1"/>
  <c r="U42" i="14" s="1"/>
  <c r="T21" i="14"/>
  <c r="T32" i="14" s="1"/>
  <c r="T36" i="14" s="1"/>
  <c r="T41" i="14" s="1"/>
  <c r="T42" i="14" s="1"/>
  <c r="Y21" i="14"/>
  <c r="Y32" i="14" s="1"/>
  <c r="Y36" i="14" s="1"/>
  <c r="Y41" i="14" s="1"/>
  <c r="Y42" i="14" s="1"/>
  <c r="Q38" i="14"/>
  <c r="S21" i="14"/>
  <c r="S32" i="14" s="1"/>
  <c r="S36" i="14" s="1"/>
  <c r="S41" i="14" s="1"/>
  <c r="S42" i="14" s="1"/>
  <c r="Z21" i="14"/>
  <c r="Z32" i="14" s="1"/>
  <c r="Z36" i="14" s="1"/>
  <c r="Z41" i="14" s="1"/>
  <c r="Z42" i="14" s="1"/>
  <c r="R21" i="14"/>
  <c r="L21" i="14"/>
  <c r="L32" i="14" s="1"/>
  <c r="L36" i="14" s="1"/>
  <c r="L41" i="14" s="1"/>
  <c r="L42" i="14" s="1"/>
  <c r="K21" i="14"/>
  <c r="K32" i="14" s="1"/>
  <c r="K36" i="14" s="1"/>
  <c r="K41" i="14" s="1"/>
  <c r="K42" i="14" s="1"/>
  <c r="M21" i="14"/>
  <c r="M32" i="14" s="1"/>
  <c r="M36" i="14" s="1"/>
  <c r="M41" i="14" s="1"/>
  <c r="M42" i="14" s="1"/>
  <c r="J21" i="14"/>
  <c r="J32" i="14" s="1"/>
  <c r="J36" i="14" s="1"/>
  <c r="J41" i="14" s="1"/>
  <c r="J42" i="14" s="1"/>
  <c r="I21" i="14"/>
  <c r="I32" i="14" s="1"/>
  <c r="I36" i="14" s="1"/>
  <c r="I41" i="14" s="1"/>
  <c r="I42" i="14" s="1"/>
  <c r="E42" i="14"/>
  <c r="H21" i="14"/>
  <c r="H32" i="14" s="1"/>
  <c r="H36" i="14" s="1"/>
  <c r="H41" i="14" s="1"/>
  <c r="H42" i="14" s="1"/>
  <c r="E38" i="14"/>
  <c r="E7" i="14" s="1"/>
  <c r="G21" i="14"/>
  <c r="G32" i="14" s="1"/>
  <c r="G36" i="14" s="1"/>
  <c r="G41" i="14" s="1"/>
  <c r="G42" i="14" s="1"/>
  <c r="N21" i="14"/>
  <c r="N32" i="14" s="1"/>
  <c r="N36" i="14" s="1"/>
  <c r="N41" i="14" s="1"/>
  <c r="N42" i="14" s="1"/>
  <c r="Q39" i="14"/>
  <c r="E33" i="14"/>
  <c r="R34" i="14"/>
  <c r="Q33" i="14" s="1"/>
  <c r="E39" i="14"/>
  <c r="G14" i="17" l="1"/>
  <c r="H24" i="17"/>
  <c r="G21" i="17"/>
  <c r="G42" i="17"/>
  <c r="G40" i="17"/>
  <c r="D3" i="17"/>
  <c r="G33" i="17"/>
  <c r="G25" i="17"/>
  <c r="D4" i="17"/>
  <c r="G25" i="16"/>
  <c r="D4" i="16"/>
  <c r="D3" i="16"/>
  <c r="H43" i="16"/>
  <c r="G40" i="16"/>
  <c r="G33" i="16"/>
  <c r="G21" i="16"/>
  <c r="H24" i="16"/>
  <c r="G23" i="16" s="1"/>
  <c r="G20" i="15"/>
  <c r="D4" i="15"/>
  <c r="G9" i="15"/>
  <c r="H38" i="15"/>
  <c r="G37" i="15" s="1"/>
  <c r="G35" i="15"/>
  <c r="G28" i="15"/>
  <c r="G18" i="15"/>
  <c r="G16" i="15"/>
  <c r="D3" i="15"/>
  <c r="G39" i="15"/>
  <c r="Q20" i="14"/>
  <c r="R32" i="14"/>
  <c r="E20" i="14"/>
  <c r="F32" i="14"/>
  <c r="G42" i="16" l="1"/>
  <c r="H44" i="16"/>
  <c r="G45" i="16" s="1"/>
  <c r="D7" i="16" s="1"/>
  <c r="G23" i="17"/>
  <c r="H25" i="17"/>
  <c r="D7" i="17"/>
  <c r="G26" i="17"/>
  <c r="D5" i="17" s="1"/>
  <c r="H25" i="16"/>
  <c r="D6" i="16"/>
  <c r="H20" i="15"/>
  <c r="G21" i="15" s="1"/>
  <c r="D5" i="15" s="1"/>
  <c r="H39" i="15"/>
  <c r="G40" i="15" s="1"/>
  <c r="D7" i="15" s="1"/>
  <c r="Q31" i="14"/>
  <c r="R36" i="14"/>
  <c r="E31" i="14"/>
  <c r="F36" i="14"/>
  <c r="G26" i="16" l="1"/>
  <c r="D5" i="16" s="1"/>
  <c r="D6" i="17"/>
  <c r="D6" i="15"/>
  <c r="F41" i="14"/>
  <c r="E35" i="14"/>
  <c r="Q35" i="14"/>
  <c r="R41" i="14"/>
  <c r="Q40" i="14" l="1"/>
  <c r="R42" i="14"/>
  <c r="Q43" i="14" s="1"/>
  <c r="E10" i="14" s="1"/>
  <c r="E40" i="14"/>
  <c r="F42" i="14"/>
  <c r="E43" i="14" l="1"/>
  <c r="E9" i="14"/>
  <c r="E8" i="14" l="1"/>
  <c r="B39" i="14"/>
  <c r="G105" i="11" l="1"/>
  <c r="D48" i="1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E2" i="12"/>
  <c r="E4" i="12"/>
  <c r="E5" i="12"/>
  <c r="B7" i="12"/>
  <c r="D1232" i="11"/>
  <c r="D175" i="11"/>
  <c r="D176" i="11" s="1"/>
  <c r="D170" i="11"/>
  <c r="D169" i="11"/>
  <c r="N155" i="11" s="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0" i="11"/>
  <c r="D149" i="11"/>
  <c r="D148" i="11"/>
  <c r="D140" i="11"/>
  <c r="D129" i="11"/>
  <c r="D130" i="11" s="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4" i="11"/>
  <c r="D103" i="11"/>
  <c r="D102" i="11"/>
  <c r="D94" i="11"/>
  <c r="D83" i="11"/>
  <c r="D84" i="11" s="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58" i="11"/>
  <c r="D57" i="11"/>
  <c r="D56" i="11"/>
  <c r="E3" i="12"/>
  <c r="D37" i="11"/>
  <c r="D38" i="11" s="1"/>
  <c r="D2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2" i="11"/>
  <c r="D11" i="11"/>
  <c r="D10" i="11"/>
  <c r="D358" i="11"/>
  <c r="D312" i="11"/>
  <c r="D266" i="11"/>
  <c r="D1186" i="11"/>
  <c r="L155" i="11" l="1"/>
  <c r="M155" i="11"/>
  <c r="T158" i="11"/>
  <c r="T160" i="11" s="1"/>
  <c r="T85" i="11"/>
  <c r="T87" i="11" s="1"/>
  <c r="T174" i="11"/>
  <c r="T155" i="11"/>
  <c r="AA158" i="11"/>
  <c r="AA160" i="11" s="1"/>
  <c r="U155" i="11"/>
  <c r="V155" i="11"/>
  <c r="AA177" i="11"/>
  <c r="AA179" i="11" s="1"/>
  <c r="H155" i="11"/>
  <c r="X155" i="11"/>
  <c r="Z174" i="11"/>
  <c r="L174" i="11"/>
  <c r="P155" i="11"/>
  <c r="L158" i="11"/>
  <c r="L160" i="11" s="1"/>
  <c r="M158" i="11"/>
  <c r="M160" i="11" s="1"/>
  <c r="U158" i="11"/>
  <c r="U160" i="11" s="1"/>
  <c r="M174" i="11"/>
  <c r="U174" i="11"/>
  <c r="M177" i="11"/>
  <c r="M179" i="11" s="1"/>
  <c r="U177" i="11"/>
  <c r="U179" i="11" s="1"/>
  <c r="O155" i="11"/>
  <c r="W155" i="11"/>
  <c r="N158" i="11"/>
  <c r="N160" i="11" s="1"/>
  <c r="V158" i="11"/>
  <c r="V160" i="11" s="1"/>
  <c r="N174" i="11"/>
  <c r="V174" i="11"/>
  <c r="N177" i="11"/>
  <c r="N179" i="11" s="1"/>
  <c r="V177" i="11"/>
  <c r="V179" i="11" s="1"/>
  <c r="W158" i="11"/>
  <c r="W160" i="11" s="1"/>
  <c r="O174" i="11"/>
  <c r="W174" i="11"/>
  <c r="O177" i="11"/>
  <c r="O179" i="11" s="1"/>
  <c r="W177" i="11"/>
  <c r="W179" i="11" s="1"/>
  <c r="I155" i="11"/>
  <c r="Q155" i="11"/>
  <c r="Y155" i="11"/>
  <c r="H158" i="11"/>
  <c r="P158" i="11"/>
  <c r="P160" i="11" s="1"/>
  <c r="X158" i="11"/>
  <c r="X160" i="11" s="1"/>
  <c r="H174" i="11"/>
  <c r="P174" i="11"/>
  <c r="X174" i="11"/>
  <c r="H177" i="11"/>
  <c r="P177" i="11"/>
  <c r="P179" i="11" s="1"/>
  <c r="X177" i="11"/>
  <c r="X179" i="11" s="1"/>
  <c r="T177" i="11"/>
  <c r="T179" i="11" s="1"/>
  <c r="J155" i="11"/>
  <c r="R155" i="11"/>
  <c r="Z155" i="11"/>
  <c r="I158" i="11"/>
  <c r="I160" i="11" s="1"/>
  <c r="Q158" i="11"/>
  <c r="Q160" i="11" s="1"/>
  <c r="Y158" i="11"/>
  <c r="Y160" i="11" s="1"/>
  <c r="I174" i="11"/>
  <c r="Q174" i="11"/>
  <c r="Y174" i="11"/>
  <c r="I177" i="11"/>
  <c r="I179" i="11" s="1"/>
  <c r="Q177" i="11"/>
  <c r="Q179" i="11" s="1"/>
  <c r="Y177" i="11"/>
  <c r="Y179" i="11" s="1"/>
  <c r="L177" i="11"/>
  <c r="L179" i="11" s="1"/>
  <c r="O158" i="11"/>
  <c r="O160" i="11" s="1"/>
  <c r="K155" i="11"/>
  <c r="S155" i="11"/>
  <c r="AA155" i="11"/>
  <c r="J158" i="11"/>
  <c r="J160" i="11" s="1"/>
  <c r="R158" i="11"/>
  <c r="R160" i="11" s="1"/>
  <c r="Z158" i="11"/>
  <c r="Z160" i="11" s="1"/>
  <c r="J174" i="11"/>
  <c r="R174" i="11"/>
  <c r="J177" i="11"/>
  <c r="J179" i="11" s="1"/>
  <c r="R177" i="11"/>
  <c r="R179" i="11" s="1"/>
  <c r="Z177" i="11"/>
  <c r="Z179" i="11" s="1"/>
  <c r="K158" i="11"/>
  <c r="K160" i="11" s="1"/>
  <c r="S158" i="11"/>
  <c r="S160" i="11" s="1"/>
  <c r="K174" i="11"/>
  <c r="S174" i="11"/>
  <c r="AA174" i="11"/>
  <c r="K177" i="11"/>
  <c r="K179" i="11" s="1"/>
  <c r="S177" i="11"/>
  <c r="S179" i="11" s="1"/>
  <c r="N112" i="11"/>
  <c r="N114" i="11" s="1"/>
  <c r="AA128" i="11"/>
  <c r="T112" i="11"/>
  <c r="T114" i="11" s="1"/>
  <c r="N109" i="11"/>
  <c r="V109" i="11"/>
  <c r="K112" i="11"/>
  <c r="K114" i="11" s="1"/>
  <c r="AA112" i="11"/>
  <c r="AA114" i="11" s="1"/>
  <c r="V131" i="11"/>
  <c r="V133" i="11" s="1"/>
  <c r="L112" i="11"/>
  <c r="L114" i="11" s="1"/>
  <c r="Y112" i="11"/>
  <c r="Y114" i="11" s="1"/>
  <c r="V112" i="11"/>
  <c r="V114" i="11" s="1"/>
  <c r="N131" i="11"/>
  <c r="N133" i="11" s="1"/>
  <c r="O109" i="11"/>
  <c r="T82" i="11"/>
  <c r="T109" i="11"/>
  <c r="U109" i="11"/>
  <c r="M112" i="11"/>
  <c r="M114" i="11" s="1"/>
  <c r="W109" i="11"/>
  <c r="S112" i="11"/>
  <c r="S114" i="11" s="1"/>
  <c r="L109" i="11"/>
  <c r="AA131" i="11"/>
  <c r="AA133" i="11" s="1"/>
  <c r="M109" i="11"/>
  <c r="U112" i="11"/>
  <c r="U114" i="11" s="1"/>
  <c r="AA85" i="11"/>
  <c r="AA87" i="11" s="1"/>
  <c r="L128" i="11"/>
  <c r="T128" i="11"/>
  <c r="L131" i="11"/>
  <c r="L133" i="11" s="1"/>
  <c r="T131" i="11"/>
  <c r="T133" i="11" s="1"/>
  <c r="M128" i="11"/>
  <c r="U128" i="11"/>
  <c r="M131" i="11"/>
  <c r="M133" i="11" s="1"/>
  <c r="U131" i="11"/>
  <c r="U133" i="11" s="1"/>
  <c r="M63" i="11"/>
  <c r="U63" i="11"/>
  <c r="AA36" i="11"/>
  <c r="L82" i="11"/>
  <c r="H109" i="11"/>
  <c r="P109" i="11"/>
  <c r="X109" i="11"/>
  <c r="O112" i="11"/>
  <c r="O114" i="11" s="1"/>
  <c r="W112" i="11"/>
  <c r="W114" i="11" s="1"/>
  <c r="O128" i="11"/>
  <c r="W128" i="11"/>
  <c r="O131" i="11"/>
  <c r="O133" i="11" s="1"/>
  <c r="W131" i="11"/>
  <c r="W133" i="11" s="1"/>
  <c r="I109" i="11"/>
  <c r="Q109" i="11"/>
  <c r="Y109" i="11"/>
  <c r="H112" i="11"/>
  <c r="P112" i="11"/>
  <c r="P114" i="11" s="1"/>
  <c r="X112" i="11"/>
  <c r="X114" i="11" s="1"/>
  <c r="H128" i="11"/>
  <c r="P128" i="11"/>
  <c r="X128" i="11"/>
  <c r="H131" i="11"/>
  <c r="P131" i="11"/>
  <c r="P133" i="11" s="1"/>
  <c r="X131" i="11"/>
  <c r="X133" i="11" s="1"/>
  <c r="J109" i="11"/>
  <c r="R109" i="11"/>
  <c r="Z109" i="11"/>
  <c r="I112" i="11"/>
  <c r="I114" i="11" s="1"/>
  <c r="Q112" i="11"/>
  <c r="Q114" i="11" s="1"/>
  <c r="I128" i="11"/>
  <c r="Q128" i="11"/>
  <c r="Y128" i="11"/>
  <c r="I131" i="11"/>
  <c r="I133" i="11" s="1"/>
  <c r="Q131" i="11"/>
  <c r="Q133" i="11" s="1"/>
  <c r="Y131" i="11"/>
  <c r="Y133" i="11" s="1"/>
  <c r="AA82" i="11"/>
  <c r="N128" i="11"/>
  <c r="V128" i="11"/>
  <c r="L66" i="11"/>
  <c r="L68" i="11" s="1"/>
  <c r="T66" i="11"/>
  <c r="T68" i="11" s="1"/>
  <c r="K109" i="11"/>
  <c r="S109" i="11"/>
  <c r="AA109" i="11"/>
  <c r="J112" i="11"/>
  <c r="J114" i="11" s="1"/>
  <c r="R112" i="11"/>
  <c r="R114" i="11" s="1"/>
  <c r="Z112" i="11"/>
  <c r="Z114" i="11" s="1"/>
  <c r="J128" i="11"/>
  <c r="R128" i="11"/>
  <c r="Z128" i="11"/>
  <c r="J131" i="11"/>
  <c r="J133" i="11" s="1"/>
  <c r="R131" i="11"/>
  <c r="R133" i="11" s="1"/>
  <c r="Z131" i="11"/>
  <c r="Z133" i="11" s="1"/>
  <c r="K128" i="11"/>
  <c r="S128" i="11"/>
  <c r="K131" i="11"/>
  <c r="K133" i="11" s="1"/>
  <c r="S131" i="11"/>
  <c r="S133" i="11" s="1"/>
  <c r="M82" i="11"/>
  <c r="U82" i="11"/>
  <c r="M85" i="11"/>
  <c r="M87" i="11" s="1"/>
  <c r="U85" i="11"/>
  <c r="U87" i="11" s="1"/>
  <c r="N63" i="11"/>
  <c r="U66" i="11"/>
  <c r="U68" i="11" s="1"/>
  <c r="O63" i="11"/>
  <c r="W63" i="11"/>
  <c r="N66" i="11"/>
  <c r="N68" i="11" s="1"/>
  <c r="V66" i="11"/>
  <c r="V68" i="11" s="1"/>
  <c r="N82" i="11"/>
  <c r="V82" i="11"/>
  <c r="N85" i="11"/>
  <c r="N87" i="11" s="1"/>
  <c r="V85" i="11"/>
  <c r="V87" i="11" s="1"/>
  <c r="L85" i="11"/>
  <c r="L87" i="11" s="1"/>
  <c r="V63" i="11"/>
  <c r="M66" i="11"/>
  <c r="M68" i="11" s="1"/>
  <c r="H63" i="11"/>
  <c r="P63" i="11"/>
  <c r="X63" i="11"/>
  <c r="O66" i="11"/>
  <c r="O68" i="11" s="1"/>
  <c r="W66" i="11"/>
  <c r="W68" i="11" s="1"/>
  <c r="O82" i="11"/>
  <c r="W82" i="11"/>
  <c r="O85" i="11"/>
  <c r="O87" i="11" s="1"/>
  <c r="W85" i="11"/>
  <c r="W87" i="11" s="1"/>
  <c r="H66" i="11"/>
  <c r="H82" i="11"/>
  <c r="P82" i="11"/>
  <c r="X82" i="11"/>
  <c r="H85" i="11"/>
  <c r="P85" i="11"/>
  <c r="P87" i="11" s="1"/>
  <c r="X85" i="11"/>
  <c r="X87" i="11" s="1"/>
  <c r="J63" i="11"/>
  <c r="I66" i="11"/>
  <c r="I68" i="11" s="1"/>
  <c r="Y66" i="11"/>
  <c r="Y68" i="11" s="1"/>
  <c r="I82" i="11"/>
  <c r="Q82" i="11"/>
  <c r="Y82" i="11"/>
  <c r="I85" i="11"/>
  <c r="I87" i="11" s="1"/>
  <c r="Q85" i="11"/>
  <c r="Q87" i="11" s="1"/>
  <c r="Y85" i="11"/>
  <c r="Y87" i="11" s="1"/>
  <c r="I63" i="11"/>
  <c r="Y63" i="11"/>
  <c r="X66" i="11"/>
  <c r="X68" i="11" s="1"/>
  <c r="Z63" i="11"/>
  <c r="K63" i="11"/>
  <c r="S63" i="11"/>
  <c r="AA63" i="11"/>
  <c r="J66" i="11"/>
  <c r="J68" i="11" s="1"/>
  <c r="R66" i="11"/>
  <c r="R68" i="11" s="1"/>
  <c r="Z66" i="11"/>
  <c r="Z68" i="11" s="1"/>
  <c r="J82" i="11"/>
  <c r="R82" i="11"/>
  <c r="Z82" i="11"/>
  <c r="J85" i="11"/>
  <c r="J87" i="11" s="1"/>
  <c r="R85" i="11"/>
  <c r="R87" i="11" s="1"/>
  <c r="Z85" i="11"/>
  <c r="Z87" i="11" s="1"/>
  <c r="AA39" i="11"/>
  <c r="AA41" i="11" s="1"/>
  <c r="Q63" i="11"/>
  <c r="P66" i="11"/>
  <c r="P68" i="11" s="1"/>
  <c r="R63" i="11"/>
  <c r="Q66" i="11"/>
  <c r="Q68" i="11" s="1"/>
  <c r="L63" i="11"/>
  <c r="T63" i="11"/>
  <c r="K66" i="11"/>
  <c r="K68" i="11" s="1"/>
  <c r="S66" i="11"/>
  <c r="S68" i="11" s="1"/>
  <c r="AA66" i="11"/>
  <c r="AA68" i="11" s="1"/>
  <c r="K82" i="11"/>
  <c r="S82" i="11"/>
  <c r="K85" i="11"/>
  <c r="K87" i="11" s="1"/>
  <c r="S85" i="11"/>
  <c r="S87" i="11" s="1"/>
  <c r="W17" i="11"/>
  <c r="N20" i="11"/>
  <c r="N22" i="11" s="1"/>
  <c r="V20" i="11"/>
  <c r="V22" i="11" s="1"/>
  <c r="L36" i="11"/>
  <c r="T36" i="11"/>
  <c r="L39" i="11"/>
  <c r="L41" i="11" s="1"/>
  <c r="T39" i="11"/>
  <c r="T41" i="11" s="1"/>
  <c r="P20" i="11"/>
  <c r="P22" i="11" s="1"/>
  <c r="O17" i="11"/>
  <c r="H17" i="11"/>
  <c r="P17" i="11"/>
  <c r="X17" i="11"/>
  <c r="O20" i="11"/>
  <c r="O22" i="11" s="1"/>
  <c r="W20" i="11"/>
  <c r="W22" i="11" s="1"/>
  <c r="M36" i="11"/>
  <c r="U36" i="11"/>
  <c r="M39" i="11"/>
  <c r="M41" i="11" s="1"/>
  <c r="U39" i="11"/>
  <c r="U41" i="11" s="1"/>
  <c r="I20" i="11"/>
  <c r="I22" i="11" s="1"/>
  <c r="K17" i="11"/>
  <c r="AA17" i="11"/>
  <c r="R20" i="11"/>
  <c r="R22" i="11" s="1"/>
  <c r="Z20" i="11"/>
  <c r="Z22" i="11" s="1"/>
  <c r="H36" i="11"/>
  <c r="P36" i="11"/>
  <c r="X36" i="11"/>
  <c r="H39" i="11"/>
  <c r="P39" i="11"/>
  <c r="P41" i="11" s="1"/>
  <c r="X39" i="11"/>
  <c r="X41" i="11" s="1"/>
  <c r="Q17" i="11"/>
  <c r="N39" i="11"/>
  <c r="N41" i="11" s="1"/>
  <c r="Z17" i="11"/>
  <c r="T17" i="11"/>
  <c r="K20" i="11"/>
  <c r="K22" i="11" s="1"/>
  <c r="AA20" i="11"/>
  <c r="AA22" i="11" s="1"/>
  <c r="I36" i="11"/>
  <c r="Q36" i="11"/>
  <c r="Y36" i="11"/>
  <c r="I39" i="11"/>
  <c r="I41" i="11" s="1"/>
  <c r="Q39" i="11"/>
  <c r="Q41" i="11" s="1"/>
  <c r="Y39" i="11"/>
  <c r="Y41" i="11" s="1"/>
  <c r="V36" i="11"/>
  <c r="V39" i="11"/>
  <c r="V41" i="11" s="1"/>
  <c r="J17" i="11"/>
  <c r="R17" i="11"/>
  <c r="Q20" i="11"/>
  <c r="Q22" i="11" s="1"/>
  <c r="Y20" i="11"/>
  <c r="Y22" i="11" s="1"/>
  <c r="O36" i="11"/>
  <c r="W36" i="11"/>
  <c r="O39" i="11"/>
  <c r="O41" i="11" s="1"/>
  <c r="W39" i="11"/>
  <c r="W41" i="11" s="1"/>
  <c r="S17" i="11"/>
  <c r="J20" i="11"/>
  <c r="J22" i="11" s="1"/>
  <c r="L17" i="11"/>
  <c r="S20" i="11"/>
  <c r="S22" i="11" s="1"/>
  <c r="M17" i="11"/>
  <c r="U17" i="11"/>
  <c r="L20" i="11"/>
  <c r="L22" i="11" s="1"/>
  <c r="T20" i="11"/>
  <c r="T22" i="11" s="1"/>
  <c r="J36" i="11"/>
  <c r="R36" i="11"/>
  <c r="Z36" i="11"/>
  <c r="J39" i="11"/>
  <c r="J41" i="11" s="1"/>
  <c r="R39" i="11"/>
  <c r="R41" i="11" s="1"/>
  <c r="Z39" i="11"/>
  <c r="Z41" i="11" s="1"/>
  <c r="I17" i="11"/>
  <c r="Y17" i="11"/>
  <c r="X20" i="11"/>
  <c r="X22" i="11" s="1"/>
  <c r="N36" i="11"/>
  <c r="N17" i="11"/>
  <c r="V17" i="11"/>
  <c r="M20" i="11"/>
  <c r="M22" i="11" s="1"/>
  <c r="U20" i="11"/>
  <c r="U22" i="11" s="1"/>
  <c r="K36" i="11"/>
  <c r="S36" i="11"/>
  <c r="K39" i="11"/>
  <c r="K41" i="11" s="1"/>
  <c r="S39" i="11"/>
  <c r="S41" i="11" s="1"/>
  <c r="D539" i="11"/>
  <c r="D508" i="11" s="1"/>
  <c r="E13" i="12" s="1"/>
  <c r="D1830" i="11"/>
  <c r="D1827" i="11"/>
  <c r="D1796" i="11" s="1"/>
  <c r="E41" i="12" s="1"/>
  <c r="D1831" i="11"/>
  <c r="D1826" i="11"/>
  <c r="D1825" i="11"/>
  <c r="D1824" i="11"/>
  <c r="D1823" i="11"/>
  <c r="D1822" i="11"/>
  <c r="D1821" i="11"/>
  <c r="D1820" i="11"/>
  <c r="D1819" i="11"/>
  <c r="D1818" i="11"/>
  <c r="D1817" i="11"/>
  <c r="D1816" i="11"/>
  <c r="D1815" i="11"/>
  <c r="D1814" i="11"/>
  <c r="D1813" i="11"/>
  <c r="D1812" i="11"/>
  <c r="D1811" i="11"/>
  <c r="D1810" i="11"/>
  <c r="D1806" i="11"/>
  <c r="D1805" i="11"/>
  <c r="D1804" i="11"/>
  <c r="D1784" i="11"/>
  <c r="D1781" i="11"/>
  <c r="D1750" i="11" s="1"/>
  <c r="E40" i="12" s="1"/>
  <c r="D1785" i="11"/>
  <c r="D1780" i="11"/>
  <c r="D1779" i="11"/>
  <c r="D1778" i="11"/>
  <c r="D1777" i="11"/>
  <c r="D1776" i="11"/>
  <c r="D1775" i="11"/>
  <c r="D1774" i="11"/>
  <c r="D1773" i="11"/>
  <c r="D1772" i="11"/>
  <c r="D1771" i="11"/>
  <c r="D1770" i="11"/>
  <c r="D1769" i="11"/>
  <c r="D1768" i="11"/>
  <c r="D1767" i="11"/>
  <c r="D1766" i="11"/>
  <c r="D1765" i="11"/>
  <c r="D1764" i="11"/>
  <c r="D1760" i="11"/>
  <c r="D1759" i="11"/>
  <c r="D1758" i="11"/>
  <c r="D1738" i="11"/>
  <c r="D1735" i="11"/>
  <c r="D1704" i="11" s="1"/>
  <c r="E39" i="12" s="1"/>
  <c r="D1739" i="11"/>
  <c r="D1734" i="11"/>
  <c r="D1733" i="11"/>
  <c r="D1732" i="11"/>
  <c r="D1731" i="11"/>
  <c r="D1730" i="11"/>
  <c r="D1729" i="11"/>
  <c r="D1728" i="11"/>
  <c r="D1727" i="11"/>
  <c r="D1726" i="11"/>
  <c r="D1725" i="11"/>
  <c r="D1724" i="11"/>
  <c r="D1723" i="11"/>
  <c r="D1722" i="11"/>
  <c r="D1721" i="11"/>
  <c r="D1720" i="11"/>
  <c r="D1719" i="11"/>
  <c r="D1718" i="11"/>
  <c r="D1714" i="11"/>
  <c r="D1713" i="11"/>
  <c r="D1712" i="11"/>
  <c r="D1692" i="11"/>
  <c r="D1689" i="11"/>
  <c r="D1658" i="11" s="1"/>
  <c r="E38" i="12" s="1"/>
  <c r="D1693" i="11"/>
  <c r="D1688" i="11"/>
  <c r="D1687" i="11"/>
  <c r="D1686" i="11"/>
  <c r="D1685" i="11"/>
  <c r="D1684" i="11"/>
  <c r="D1683" i="11"/>
  <c r="D1682" i="11"/>
  <c r="D1681" i="11"/>
  <c r="D1680" i="11"/>
  <c r="D1679" i="11"/>
  <c r="D1678" i="11"/>
  <c r="D1677" i="11"/>
  <c r="D1676" i="11"/>
  <c r="D1675" i="11"/>
  <c r="D1674" i="11"/>
  <c r="D1673" i="11"/>
  <c r="D1672" i="11"/>
  <c r="D1668" i="11"/>
  <c r="D1667" i="11"/>
  <c r="D1666" i="11"/>
  <c r="D1646" i="11"/>
  <c r="D1643" i="11"/>
  <c r="D1612" i="11" s="1"/>
  <c r="E37" i="12" s="1"/>
  <c r="D1647" i="11"/>
  <c r="D1642" i="11"/>
  <c r="D1641" i="11"/>
  <c r="D1640" i="11"/>
  <c r="D1639" i="11"/>
  <c r="D1638" i="11"/>
  <c r="D1637" i="11"/>
  <c r="D1636" i="11"/>
  <c r="D1635" i="11"/>
  <c r="D1634" i="11"/>
  <c r="D1633" i="11"/>
  <c r="D1632" i="11"/>
  <c r="D1631" i="11"/>
  <c r="D1630" i="11"/>
  <c r="D1629" i="11"/>
  <c r="D1628" i="11"/>
  <c r="D1627" i="11"/>
  <c r="D1626" i="11"/>
  <c r="D1622" i="11"/>
  <c r="D1621" i="11"/>
  <c r="D1620" i="11"/>
  <c r="D1600" i="11"/>
  <c r="D1597" i="11"/>
  <c r="D1566" i="11" s="1"/>
  <c r="E36" i="12" s="1"/>
  <c r="D1601" i="11"/>
  <c r="D1596" i="11"/>
  <c r="D1595" i="11"/>
  <c r="D1594" i="11"/>
  <c r="D1593" i="11"/>
  <c r="D1592" i="11"/>
  <c r="D1591" i="11"/>
  <c r="D1590" i="11"/>
  <c r="D1589" i="11"/>
  <c r="D1588" i="11"/>
  <c r="D1587" i="11"/>
  <c r="D1586" i="11"/>
  <c r="D1585" i="11"/>
  <c r="D1584" i="11"/>
  <c r="D1583" i="11"/>
  <c r="D1582" i="11"/>
  <c r="D1581" i="11"/>
  <c r="D1580" i="11"/>
  <c r="D1576" i="11"/>
  <c r="D1575" i="11"/>
  <c r="D1574" i="11"/>
  <c r="D1554" i="11"/>
  <c r="D1551" i="11"/>
  <c r="D1520" i="11" s="1"/>
  <c r="E35" i="12" s="1"/>
  <c r="D1555" i="11"/>
  <c r="D1550" i="11"/>
  <c r="D1549" i="11"/>
  <c r="D1548" i="11"/>
  <c r="D1547" i="11"/>
  <c r="D1546" i="11"/>
  <c r="D1545" i="11"/>
  <c r="D1544" i="11"/>
  <c r="D1543" i="11"/>
  <c r="D1542" i="11"/>
  <c r="D1541" i="11"/>
  <c r="D1540" i="11"/>
  <c r="D1539" i="11"/>
  <c r="D1538" i="11"/>
  <c r="D1537" i="11"/>
  <c r="D1536" i="11"/>
  <c r="D1535" i="11"/>
  <c r="D1534" i="11"/>
  <c r="D1530" i="11"/>
  <c r="D1529" i="11"/>
  <c r="D1528" i="11"/>
  <c r="D1508" i="11"/>
  <c r="D1505" i="11"/>
  <c r="D1474" i="11" s="1"/>
  <c r="E34" i="12" s="1"/>
  <c r="D1509" i="11"/>
  <c r="D1504" i="11"/>
  <c r="D1503" i="11"/>
  <c r="D1502" i="11"/>
  <c r="D1501" i="11"/>
  <c r="D1500" i="11"/>
  <c r="D1499" i="11"/>
  <c r="D1498" i="11"/>
  <c r="D1497" i="11"/>
  <c r="D1496" i="11"/>
  <c r="D1495" i="11"/>
  <c r="D1494" i="11"/>
  <c r="D1493" i="11"/>
  <c r="D1492" i="11"/>
  <c r="D1491" i="11"/>
  <c r="D1490" i="11"/>
  <c r="D1489" i="11"/>
  <c r="D1488" i="11"/>
  <c r="D1484" i="11"/>
  <c r="D1483" i="11"/>
  <c r="D1482" i="11"/>
  <c r="D1462" i="11"/>
  <c r="D1459" i="11"/>
  <c r="D1428" i="11" s="1"/>
  <c r="E33" i="12" s="1"/>
  <c r="D1463" i="11"/>
  <c r="D1458" i="11"/>
  <c r="D1457" i="11"/>
  <c r="D1456" i="11"/>
  <c r="D1455" i="11"/>
  <c r="D1454" i="11"/>
  <c r="D1453" i="11"/>
  <c r="D1452" i="11"/>
  <c r="D1451" i="11"/>
  <c r="D1450" i="11"/>
  <c r="D1449" i="11"/>
  <c r="D1448" i="11"/>
  <c r="D1447" i="11"/>
  <c r="D1446" i="11"/>
  <c r="D1445" i="11"/>
  <c r="D1444" i="11"/>
  <c r="D1443" i="11"/>
  <c r="D1442" i="11"/>
  <c r="D1438" i="11"/>
  <c r="D1437" i="11"/>
  <c r="D1436" i="11"/>
  <c r="D1416" i="11"/>
  <c r="D1413" i="11"/>
  <c r="D1382" i="11" s="1"/>
  <c r="E32" i="12" s="1"/>
  <c r="D1417" i="11"/>
  <c r="D1412" i="11"/>
  <c r="D1411" i="11"/>
  <c r="D1410" i="11"/>
  <c r="D1409" i="11"/>
  <c r="D1408" i="11"/>
  <c r="D1407" i="11"/>
  <c r="D1406" i="11"/>
  <c r="D1405" i="11"/>
  <c r="D1404" i="11"/>
  <c r="D1403" i="11"/>
  <c r="D1402" i="11"/>
  <c r="D1401" i="11"/>
  <c r="D1400" i="11"/>
  <c r="D1399" i="11"/>
  <c r="D1398" i="11"/>
  <c r="D1397" i="11"/>
  <c r="D1396" i="11"/>
  <c r="D1392" i="11"/>
  <c r="D1391" i="11"/>
  <c r="D1390" i="11"/>
  <c r="D1370" i="11"/>
  <c r="D1367" i="11"/>
  <c r="D1336" i="11" s="1"/>
  <c r="E31" i="12" s="1"/>
  <c r="D1324" i="11"/>
  <c r="D1321" i="11"/>
  <c r="D1290" i="11" s="1"/>
  <c r="E30" i="12" s="1"/>
  <c r="D1278" i="11"/>
  <c r="D1275" i="11"/>
  <c r="D1244" i="11" s="1"/>
  <c r="E29" i="12" s="1"/>
  <c r="D1229" i="11"/>
  <c r="D1198" i="11" s="1"/>
  <c r="E28" i="12" s="1"/>
  <c r="D1371" i="11"/>
  <c r="D1366" i="11"/>
  <c r="D1365" i="11"/>
  <c r="D1364" i="11"/>
  <c r="D1363" i="11"/>
  <c r="D1362" i="11"/>
  <c r="D1361" i="11"/>
  <c r="D1360" i="11"/>
  <c r="D1359" i="11"/>
  <c r="D1358" i="11"/>
  <c r="D1357" i="11"/>
  <c r="D1356" i="11"/>
  <c r="D1355" i="11"/>
  <c r="D1354" i="11"/>
  <c r="D1353" i="11"/>
  <c r="D1352" i="11"/>
  <c r="D1351" i="11"/>
  <c r="D1350" i="11"/>
  <c r="D1346" i="11"/>
  <c r="D1345" i="11"/>
  <c r="D1344" i="11"/>
  <c r="D1325" i="11"/>
  <c r="D1320" i="11"/>
  <c r="D1319" i="11"/>
  <c r="D1318" i="11"/>
  <c r="D1317" i="11"/>
  <c r="D1316" i="11"/>
  <c r="D1315" i="11"/>
  <c r="D1314" i="11"/>
  <c r="D1313" i="11"/>
  <c r="D1312" i="11"/>
  <c r="D1311" i="11"/>
  <c r="D1310" i="11"/>
  <c r="D1309" i="11"/>
  <c r="D1308" i="11"/>
  <c r="D1307" i="11"/>
  <c r="D1306" i="11"/>
  <c r="D1305" i="11"/>
  <c r="D1304" i="11"/>
  <c r="D1300" i="11"/>
  <c r="D1299" i="11"/>
  <c r="D1298" i="11"/>
  <c r="D1279" i="11"/>
  <c r="D1274" i="11"/>
  <c r="D1273" i="11"/>
  <c r="D1272" i="11"/>
  <c r="D1271" i="11"/>
  <c r="D1270" i="11"/>
  <c r="D1269" i="11"/>
  <c r="D1268" i="11"/>
  <c r="D1267" i="11"/>
  <c r="D1266" i="11"/>
  <c r="D1265" i="11"/>
  <c r="D1264" i="11"/>
  <c r="D1263" i="11"/>
  <c r="D1262" i="11"/>
  <c r="D1261" i="11"/>
  <c r="D1260" i="11"/>
  <c r="D1259" i="11"/>
  <c r="D1258" i="11"/>
  <c r="D1254" i="11"/>
  <c r="D1253" i="11"/>
  <c r="D1252" i="11"/>
  <c r="D1233" i="11"/>
  <c r="D1234" i="11" s="1"/>
  <c r="D1228" i="11"/>
  <c r="D1227" i="11"/>
  <c r="D1226" i="11"/>
  <c r="D1225" i="11"/>
  <c r="D1224" i="11"/>
  <c r="D1223" i="11"/>
  <c r="D1222" i="11"/>
  <c r="D1221" i="11"/>
  <c r="D1220" i="11"/>
  <c r="D1219" i="11"/>
  <c r="D1218" i="11"/>
  <c r="D1217" i="11"/>
  <c r="D1216" i="11"/>
  <c r="D1215" i="11"/>
  <c r="D1214" i="11"/>
  <c r="D1213" i="11"/>
  <c r="D1212" i="11"/>
  <c r="D1208" i="11"/>
  <c r="D1207" i="11"/>
  <c r="D1206" i="11"/>
  <c r="D1183" i="11"/>
  <c r="D1152" i="11" s="1"/>
  <c r="E27" i="12" s="1"/>
  <c r="D1140" i="11"/>
  <c r="D1137" i="11"/>
  <c r="D1106" i="11" s="1"/>
  <c r="E26" i="12" s="1"/>
  <c r="D1091" i="11"/>
  <c r="D1060" i="11" s="1"/>
  <c r="E25" i="12" s="1"/>
  <c r="D1094" i="11"/>
  <c r="D1048" i="11"/>
  <c r="D1045" i="11"/>
  <c r="D1014" i="11" s="1"/>
  <c r="E24" i="12" s="1"/>
  <c r="D1002" i="11"/>
  <c r="D999" i="11"/>
  <c r="D968" i="11" s="1"/>
  <c r="E23" i="12" s="1"/>
  <c r="D956" i="11"/>
  <c r="D953" i="11"/>
  <c r="D922" i="11" s="1"/>
  <c r="E22" i="12" s="1"/>
  <c r="D910" i="11"/>
  <c r="D907" i="11"/>
  <c r="D876" i="11" s="1"/>
  <c r="E21" i="12" s="1"/>
  <c r="D864" i="11"/>
  <c r="D861" i="11"/>
  <c r="D830" i="11" s="1"/>
  <c r="E20" i="12" s="1"/>
  <c r="D844" i="11"/>
  <c r="D818" i="11"/>
  <c r="D815" i="11"/>
  <c r="D784" i="11" s="1"/>
  <c r="E19" i="12" s="1"/>
  <c r="D772" i="11"/>
  <c r="D769" i="11"/>
  <c r="D738" i="11" s="1"/>
  <c r="E18" i="12" s="1"/>
  <c r="D726" i="11"/>
  <c r="D723" i="11"/>
  <c r="D692" i="11" s="1"/>
  <c r="E17" i="12" s="1"/>
  <c r="D680" i="11"/>
  <c r="D677" i="11"/>
  <c r="D646" i="11" s="1"/>
  <c r="E16" i="12" s="1"/>
  <c r="D634" i="11"/>
  <c r="D631" i="11"/>
  <c r="D600" i="11" s="1"/>
  <c r="E15" i="12" s="1"/>
  <c r="D1187" i="11"/>
  <c r="D1182" i="11"/>
  <c r="D1181" i="11"/>
  <c r="D1180" i="11"/>
  <c r="D1179" i="11"/>
  <c r="D1178" i="11"/>
  <c r="D1177" i="11"/>
  <c r="D1176" i="11"/>
  <c r="D1175" i="11"/>
  <c r="D1174" i="11"/>
  <c r="D1173" i="11"/>
  <c r="D1172" i="11"/>
  <c r="D1171" i="11"/>
  <c r="D1170" i="11"/>
  <c r="D1169" i="11"/>
  <c r="D1168" i="11"/>
  <c r="D1167" i="11"/>
  <c r="D1166" i="11"/>
  <c r="D1162" i="11"/>
  <c r="D1161" i="11"/>
  <c r="D1160" i="11"/>
  <c r="D1141" i="11"/>
  <c r="D1136" i="11"/>
  <c r="D1135" i="11"/>
  <c r="D1134" i="11"/>
  <c r="D1133" i="11"/>
  <c r="D1132" i="11"/>
  <c r="D1131" i="11"/>
  <c r="D1130" i="11"/>
  <c r="D1129" i="11"/>
  <c r="D1128" i="11"/>
  <c r="D1127" i="11"/>
  <c r="D1126" i="11"/>
  <c r="D1125" i="11"/>
  <c r="D1124" i="11"/>
  <c r="D1123" i="11"/>
  <c r="D1122" i="11"/>
  <c r="D1121" i="11"/>
  <c r="D1120" i="11"/>
  <c r="D1116" i="11"/>
  <c r="D1115" i="11"/>
  <c r="D1114" i="11"/>
  <c r="D1095" i="11"/>
  <c r="D1090" i="11"/>
  <c r="D1089" i="11"/>
  <c r="D1088" i="11"/>
  <c r="D1087" i="11"/>
  <c r="D1086" i="11"/>
  <c r="D1085" i="11"/>
  <c r="D1084" i="11"/>
  <c r="D1083" i="11"/>
  <c r="D1082" i="11"/>
  <c r="D1081" i="11"/>
  <c r="D1080" i="11"/>
  <c r="D1079" i="11"/>
  <c r="D1078" i="11"/>
  <c r="D1077" i="11"/>
  <c r="D1076" i="11"/>
  <c r="D1075" i="11"/>
  <c r="D1074" i="11"/>
  <c r="D1070" i="11"/>
  <c r="D1069" i="11"/>
  <c r="D1068" i="11"/>
  <c r="D1049" i="11"/>
  <c r="D1044" i="11"/>
  <c r="D1043" i="11"/>
  <c r="D1042" i="11"/>
  <c r="D1041" i="11"/>
  <c r="D1040" i="11"/>
  <c r="D1039" i="11"/>
  <c r="D1038" i="11"/>
  <c r="D1037" i="11"/>
  <c r="D1036" i="11"/>
  <c r="D1035" i="11"/>
  <c r="D1034" i="11"/>
  <c r="D1033" i="11"/>
  <c r="D1032" i="11"/>
  <c r="D1031" i="11"/>
  <c r="D1030" i="11"/>
  <c r="D1029" i="11"/>
  <c r="D1028" i="11"/>
  <c r="D1024" i="11"/>
  <c r="D1023" i="11"/>
  <c r="D1022" i="11"/>
  <c r="D1003" i="11"/>
  <c r="D998" i="11"/>
  <c r="D997" i="11"/>
  <c r="D996" i="11"/>
  <c r="D995" i="11"/>
  <c r="D994" i="11"/>
  <c r="D993" i="11"/>
  <c r="D992" i="11"/>
  <c r="D991" i="11"/>
  <c r="D990" i="11"/>
  <c r="D989" i="11"/>
  <c r="D988" i="11"/>
  <c r="D987" i="11"/>
  <c r="D986" i="11"/>
  <c r="D985" i="11"/>
  <c r="D984" i="11"/>
  <c r="D983" i="11"/>
  <c r="D982" i="11"/>
  <c r="D978" i="11"/>
  <c r="D977" i="11"/>
  <c r="D976" i="11"/>
  <c r="D957" i="11"/>
  <c r="D952" i="11"/>
  <c r="D951" i="11"/>
  <c r="D950" i="11"/>
  <c r="D949" i="11"/>
  <c r="D948" i="11"/>
  <c r="D947" i="11"/>
  <c r="D946" i="11"/>
  <c r="D945" i="11"/>
  <c r="D944" i="11"/>
  <c r="D943" i="11"/>
  <c r="D942" i="11"/>
  <c r="D941" i="11"/>
  <c r="D940" i="11"/>
  <c r="D939" i="11"/>
  <c r="D938" i="11"/>
  <c r="D937" i="11"/>
  <c r="D936" i="11"/>
  <c r="D932" i="11"/>
  <c r="D931" i="11"/>
  <c r="D930" i="11"/>
  <c r="D911" i="11"/>
  <c r="D906" i="11"/>
  <c r="D905" i="11"/>
  <c r="D904" i="11"/>
  <c r="D903" i="11"/>
  <c r="D902" i="11"/>
  <c r="D901" i="11"/>
  <c r="D900" i="11"/>
  <c r="D899" i="11"/>
  <c r="D898" i="11"/>
  <c r="D897" i="11"/>
  <c r="D896" i="11"/>
  <c r="D895" i="11"/>
  <c r="D894" i="11"/>
  <c r="D893" i="11"/>
  <c r="D892" i="11"/>
  <c r="D891" i="11"/>
  <c r="D890" i="11"/>
  <c r="D886" i="11"/>
  <c r="D885" i="11"/>
  <c r="D884" i="11"/>
  <c r="D865" i="11"/>
  <c r="D860" i="11"/>
  <c r="D859" i="11"/>
  <c r="D858" i="11"/>
  <c r="D857" i="11"/>
  <c r="D856" i="11"/>
  <c r="D855" i="11"/>
  <c r="D854" i="11"/>
  <c r="D853" i="11"/>
  <c r="D852" i="11"/>
  <c r="D851" i="11"/>
  <c r="D850" i="11"/>
  <c r="D849" i="11"/>
  <c r="D848" i="11"/>
  <c r="D847" i="11"/>
  <c r="D846" i="11"/>
  <c r="D845" i="11"/>
  <c r="D840" i="11"/>
  <c r="D839" i="11"/>
  <c r="D838" i="11"/>
  <c r="D819" i="11"/>
  <c r="D814" i="11"/>
  <c r="D813" i="11"/>
  <c r="D812" i="11"/>
  <c r="D811" i="11"/>
  <c r="D810" i="11"/>
  <c r="D809" i="11"/>
  <c r="D808" i="11"/>
  <c r="D807" i="11"/>
  <c r="D806" i="11"/>
  <c r="D805" i="11"/>
  <c r="D804" i="11"/>
  <c r="D803" i="11"/>
  <c r="D802" i="11"/>
  <c r="D801" i="11"/>
  <c r="D800" i="11"/>
  <c r="D799" i="11"/>
  <c r="D798" i="11"/>
  <c r="D794" i="11"/>
  <c r="D793" i="11"/>
  <c r="D792" i="11"/>
  <c r="D773" i="11"/>
  <c r="D768" i="11"/>
  <c r="D767" i="11"/>
  <c r="D766" i="11"/>
  <c r="D765" i="11"/>
  <c r="D764" i="11"/>
  <c r="D763" i="11"/>
  <c r="D762" i="11"/>
  <c r="D761" i="11"/>
  <c r="D760" i="11"/>
  <c r="D759" i="11"/>
  <c r="D758" i="11"/>
  <c r="D757" i="11"/>
  <c r="D756" i="11"/>
  <c r="D755" i="11"/>
  <c r="D754" i="11"/>
  <c r="D753" i="11"/>
  <c r="D752" i="11"/>
  <c r="D748" i="11"/>
  <c r="D747" i="11"/>
  <c r="D746" i="11"/>
  <c r="D727" i="11"/>
  <c r="D722" i="11"/>
  <c r="D721" i="11"/>
  <c r="D720" i="11"/>
  <c r="D719" i="11"/>
  <c r="D718" i="11"/>
  <c r="D717" i="11"/>
  <c r="D716" i="11"/>
  <c r="D715" i="11"/>
  <c r="D714" i="11"/>
  <c r="D713" i="11"/>
  <c r="D712" i="11"/>
  <c r="D711" i="11"/>
  <c r="D710" i="11"/>
  <c r="D709" i="11"/>
  <c r="D708" i="11"/>
  <c r="D707" i="11"/>
  <c r="D706" i="11"/>
  <c r="D702" i="11"/>
  <c r="D701" i="11"/>
  <c r="D700" i="11"/>
  <c r="D681" i="11"/>
  <c r="D676" i="11"/>
  <c r="D675" i="11"/>
  <c r="D674" i="11"/>
  <c r="D673" i="11"/>
  <c r="D672" i="11"/>
  <c r="D671" i="11"/>
  <c r="D670" i="11"/>
  <c r="D669" i="11"/>
  <c r="D668" i="11"/>
  <c r="D667" i="11"/>
  <c r="D666" i="11"/>
  <c r="D665" i="11"/>
  <c r="D664" i="11"/>
  <c r="D663" i="11"/>
  <c r="D662" i="11"/>
  <c r="D661" i="11"/>
  <c r="D660" i="11"/>
  <c r="D656" i="11"/>
  <c r="D655" i="11"/>
  <c r="D654" i="11"/>
  <c r="D635" i="11"/>
  <c r="D630" i="11"/>
  <c r="D629" i="11"/>
  <c r="D628" i="11"/>
  <c r="D627" i="11"/>
  <c r="D626" i="11"/>
  <c r="D625" i="11"/>
  <c r="D624" i="11"/>
  <c r="D623" i="11"/>
  <c r="D622" i="11"/>
  <c r="D621" i="11"/>
  <c r="D620" i="11"/>
  <c r="D619" i="11"/>
  <c r="D618" i="11"/>
  <c r="D617" i="11"/>
  <c r="D616" i="11"/>
  <c r="D615" i="11"/>
  <c r="D614" i="11"/>
  <c r="D610" i="11"/>
  <c r="D609" i="11"/>
  <c r="D608" i="11"/>
  <c r="D588" i="11"/>
  <c r="D585" i="11"/>
  <c r="D554" i="11" s="1"/>
  <c r="E14" i="12" s="1"/>
  <c r="D589" i="11"/>
  <c r="D584" i="11"/>
  <c r="D583" i="11"/>
  <c r="D582" i="11"/>
  <c r="D581" i="11"/>
  <c r="D580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4" i="11"/>
  <c r="D563" i="11"/>
  <c r="D562" i="11"/>
  <c r="D542" i="11"/>
  <c r="D496" i="11"/>
  <c r="D493" i="11"/>
  <c r="D462" i="11" s="1"/>
  <c r="E12" i="12" s="1"/>
  <c r="D543" i="11"/>
  <c r="D538" i="11"/>
  <c r="D537" i="11"/>
  <c r="D536" i="11"/>
  <c r="D535" i="1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22" i="11"/>
  <c r="D518" i="11"/>
  <c r="D517" i="11"/>
  <c r="D516" i="11"/>
  <c r="D497" i="11"/>
  <c r="D492" i="11"/>
  <c r="D491" i="11"/>
  <c r="D490" i="11"/>
  <c r="D489" i="11"/>
  <c r="D488" i="11"/>
  <c r="D487" i="11"/>
  <c r="D486" i="11"/>
  <c r="D485" i="11"/>
  <c r="D484" i="11"/>
  <c r="D483" i="11"/>
  <c r="D482" i="11"/>
  <c r="D481" i="11"/>
  <c r="D480" i="11"/>
  <c r="D479" i="11"/>
  <c r="D478" i="11"/>
  <c r="D477" i="11"/>
  <c r="D476" i="11"/>
  <c r="D472" i="11"/>
  <c r="D471" i="11"/>
  <c r="D470" i="11"/>
  <c r="D447" i="11"/>
  <c r="D416" i="11" s="1"/>
  <c r="E11" i="12" s="1"/>
  <c r="D450" i="11"/>
  <c r="D451" i="11"/>
  <c r="D446" i="11"/>
  <c r="D445" i="11"/>
  <c r="D444" i="11"/>
  <c r="D443" i="11"/>
  <c r="D442" i="11"/>
  <c r="D441" i="11"/>
  <c r="D440" i="11"/>
  <c r="D439" i="11"/>
  <c r="D438" i="11"/>
  <c r="D437" i="11"/>
  <c r="D436" i="11"/>
  <c r="D435" i="11"/>
  <c r="D434" i="11"/>
  <c r="D433" i="11"/>
  <c r="D432" i="11"/>
  <c r="D431" i="11"/>
  <c r="D430" i="11"/>
  <c r="D426" i="11"/>
  <c r="D425" i="11"/>
  <c r="D424" i="11"/>
  <c r="D404" i="11"/>
  <c r="D401" i="11"/>
  <c r="D370" i="11" s="1"/>
  <c r="E10" i="12" s="1"/>
  <c r="D405" i="11"/>
  <c r="D400" i="1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D385" i="11"/>
  <c r="D384" i="11"/>
  <c r="D380" i="11"/>
  <c r="D379" i="11"/>
  <c r="D378" i="11"/>
  <c r="D355" i="11"/>
  <c r="D324" i="11" s="1"/>
  <c r="E9" i="12" s="1"/>
  <c r="D359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D334" i="11"/>
  <c r="D333" i="11"/>
  <c r="D332" i="11"/>
  <c r="D309" i="11"/>
  <c r="D278" i="11" s="1"/>
  <c r="E8" i="12" s="1"/>
  <c r="D313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D294" i="11"/>
  <c r="D293" i="11"/>
  <c r="D292" i="11"/>
  <c r="D288" i="11"/>
  <c r="D287" i="11"/>
  <c r="D286" i="11"/>
  <c r="D263" i="11"/>
  <c r="D232" i="11" s="1"/>
  <c r="E7" i="12" s="1"/>
  <c r="D267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2" i="11"/>
  <c r="D241" i="11"/>
  <c r="D240" i="11"/>
  <c r="D221" i="11"/>
  <c r="D220" i="11"/>
  <c r="D217" i="11"/>
  <c r="D186" i="11" s="1"/>
  <c r="E6" i="12" s="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6" i="11"/>
  <c r="D195" i="11"/>
  <c r="D194" i="11"/>
  <c r="B5" i="12"/>
  <c r="B6" i="12" l="1"/>
  <c r="D13" i="11"/>
  <c r="D59" i="11"/>
  <c r="D151" i="11"/>
  <c r="D105" i="11"/>
  <c r="B25" i="12"/>
  <c r="D153" i="11"/>
  <c r="D172" i="11" s="1"/>
  <c r="AA153" i="11" s="1"/>
  <c r="AA162" i="11" s="1"/>
  <c r="AA163" i="11" s="1"/>
  <c r="D107" i="11"/>
  <c r="D126" i="11" s="1"/>
  <c r="H126" i="11" s="1"/>
  <c r="D61" i="11"/>
  <c r="D80" i="11" s="1"/>
  <c r="AA61" i="11" s="1"/>
  <c r="AA70" i="11" s="1"/>
  <c r="AA71" i="11" s="1"/>
  <c r="D15" i="11"/>
  <c r="D34" i="11" s="1"/>
  <c r="AA18" i="11" s="1"/>
  <c r="G154" i="11"/>
  <c r="H160" i="11"/>
  <c r="G157" i="11"/>
  <c r="H172" i="11"/>
  <c r="I153" i="11"/>
  <c r="I162" i="11" s="1"/>
  <c r="I163" i="11" s="1"/>
  <c r="G176" i="11"/>
  <c r="H179" i="11"/>
  <c r="D498" i="11"/>
  <c r="G173" i="11"/>
  <c r="D912" i="11"/>
  <c r="D774" i="11"/>
  <c r="D1142" i="11"/>
  <c r="O1029" i="11"/>
  <c r="D1786" i="11"/>
  <c r="G127" i="11"/>
  <c r="D820" i="11"/>
  <c r="D958" i="11"/>
  <c r="D1740" i="11"/>
  <c r="D544" i="11"/>
  <c r="D590" i="11"/>
  <c r="D636" i="11"/>
  <c r="D1372" i="11"/>
  <c r="G111" i="11"/>
  <c r="H114" i="11"/>
  <c r="G130" i="11"/>
  <c r="H133" i="11"/>
  <c r="D1326" i="11"/>
  <c r="D1464" i="11"/>
  <c r="G108" i="11"/>
  <c r="D1648" i="11"/>
  <c r="G84" i="11"/>
  <c r="H87" i="11"/>
  <c r="D728" i="11"/>
  <c r="X80" i="11"/>
  <c r="X89" i="11" s="1"/>
  <c r="X90" i="11" s="1"/>
  <c r="P80" i="11"/>
  <c r="P89" i="11" s="1"/>
  <c r="P90" i="11" s="1"/>
  <c r="H80" i="11"/>
  <c r="Q61" i="11"/>
  <c r="Q70" i="11" s="1"/>
  <c r="Q71" i="11" s="1"/>
  <c r="P61" i="11"/>
  <c r="P70" i="11" s="1"/>
  <c r="P71" i="11" s="1"/>
  <c r="W80" i="11"/>
  <c r="W89" i="11" s="1"/>
  <c r="W90" i="11" s="1"/>
  <c r="O80" i="11"/>
  <c r="O89" i="11" s="1"/>
  <c r="O90" i="11" s="1"/>
  <c r="Z61" i="11"/>
  <c r="Z70" i="11" s="1"/>
  <c r="Z71" i="11" s="1"/>
  <c r="I61" i="11"/>
  <c r="I70" i="11" s="1"/>
  <c r="I71" i="11" s="1"/>
  <c r="H61" i="11"/>
  <c r="Y80" i="11"/>
  <c r="Y89" i="11" s="1"/>
  <c r="Y90" i="11" s="1"/>
  <c r="Q80" i="11"/>
  <c r="Q89" i="11" s="1"/>
  <c r="Q90" i="11" s="1"/>
  <c r="I80" i="11"/>
  <c r="I89" i="11" s="1"/>
  <c r="I90" i="11" s="1"/>
  <c r="AA64" i="11"/>
  <c r="L61" i="11"/>
  <c r="L70" i="11" s="1"/>
  <c r="L71" i="11" s="1"/>
  <c r="V80" i="11"/>
  <c r="V89" i="11" s="1"/>
  <c r="V90" i="11" s="1"/>
  <c r="N80" i="11"/>
  <c r="N89" i="11" s="1"/>
  <c r="N90" i="11" s="1"/>
  <c r="U80" i="11"/>
  <c r="U89" i="11" s="1"/>
  <c r="U90" i="11" s="1"/>
  <c r="M80" i="11"/>
  <c r="M89" i="11" s="1"/>
  <c r="M90" i="11" s="1"/>
  <c r="G78" i="11"/>
  <c r="X61" i="11"/>
  <c r="X70" i="11" s="1"/>
  <c r="X71" i="11" s="1"/>
  <c r="T80" i="11"/>
  <c r="T89" i="11" s="1"/>
  <c r="T90" i="11" s="1"/>
  <c r="L80" i="11"/>
  <c r="L89" i="11" s="1"/>
  <c r="L90" i="11" s="1"/>
  <c r="W61" i="11"/>
  <c r="W70" i="11" s="1"/>
  <c r="W71" i="11" s="1"/>
  <c r="O61" i="11"/>
  <c r="O70" i="11" s="1"/>
  <c r="O71" i="11" s="1"/>
  <c r="V61" i="11"/>
  <c r="V70" i="11" s="1"/>
  <c r="V71" i="11" s="1"/>
  <c r="AA80" i="11"/>
  <c r="AA89" i="11" s="1"/>
  <c r="AA90" i="11" s="1"/>
  <c r="S80" i="11"/>
  <c r="S89" i="11" s="1"/>
  <c r="S90" i="11" s="1"/>
  <c r="N61" i="11"/>
  <c r="N70" i="11" s="1"/>
  <c r="N71" i="11" s="1"/>
  <c r="U61" i="11"/>
  <c r="U70" i="11" s="1"/>
  <c r="U71" i="11" s="1"/>
  <c r="AA83" i="11"/>
  <c r="Z80" i="11"/>
  <c r="Z89" i="11" s="1"/>
  <c r="Z90" i="11" s="1"/>
  <c r="R80" i="11"/>
  <c r="R89" i="11" s="1"/>
  <c r="R90" i="11" s="1"/>
  <c r="J80" i="11"/>
  <c r="J89" i="11" s="1"/>
  <c r="J90" i="11" s="1"/>
  <c r="M61" i="11"/>
  <c r="M70" i="11" s="1"/>
  <c r="M71" i="11" s="1"/>
  <c r="G81" i="11"/>
  <c r="H68" i="11"/>
  <c r="G65" i="11"/>
  <c r="G62" i="11"/>
  <c r="D1832" i="11"/>
  <c r="D1096" i="11"/>
  <c r="D682" i="11"/>
  <c r="D1004" i="11"/>
  <c r="W1443" i="11"/>
  <c r="I34" i="11"/>
  <c r="I43" i="11" s="1"/>
  <c r="I44" i="11" s="1"/>
  <c r="X34" i="11"/>
  <c r="X43" i="11" s="1"/>
  <c r="X44" i="11" s="1"/>
  <c r="P34" i="11"/>
  <c r="P43" i="11" s="1"/>
  <c r="P44" i="11" s="1"/>
  <c r="T15" i="11"/>
  <c r="T24" i="11" s="1"/>
  <c r="T25" i="11" s="1"/>
  <c r="G13" i="11"/>
  <c r="Z15" i="11"/>
  <c r="Z24" i="11" s="1"/>
  <c r="Z25" i="11" s="1"/>
  <c r="J15" i="11"/>
  <c r="J24" i="11" s="1"/>
  <c r="J25" i="11" s="1"/>
  <c r="U34" i="11"/>
  <c r="U43" i="11" s="1"/>
  <c r="U44" i="11" s="1"/>
  <c r="M34" i="11"/>
  <c r="M43" i="11" s="1"/>
  <c r="M44" i="11" s="1"/>
  <c r="G32" i="11"/>
  <c r="O34" i="11"/>
  <c r="O43" i="11" s="1"/>
  <c r="O44" i="11" s="1"/>
  <c r="S15" i="11"/>
  <c r="S24" i="11" s="1"/>
  <c r="S25" i="11" s="1"/>
  <c r="R15" i="11"/>
  <c r="R24" i="11" s="1"/>
  <c r="R25" i="11" s="1"/>
  <c r="Y15" i="11"/>
  <c r="Y24" i="11" s="1"/>
  <c r="Y25" i="11" s="1"/>
  <c r="T34" i="11"/>
  <c r="T43" i="11" s="1"/>
  <c r="T44" i="11" s="1"/>
  <c r="V34" i="11"/>
  <c r="V43" i="11" s="1"/>
  <c r="V44" i="11" s="1"/>
  <c r="Q15" i="11"/>
  <c r="Q24" i="11" s="1"/>
  <c r="Q25" i="11" s="1"/>
  <c r="AA34" i="11"/>
  <c r="AA43" i="11" s="1"/>
  <c r="AA44" i="11" s="1"/>
  <c r="S34" i="11"/>
  <c r="S43" i="11" s="1"/>
  <c r="S44" i="11" s="1"/>
  <c r="K34" i="11"/>
  <c r="K43" i="11" s="1"/>
  <c r="K44" i="11" s="1"/>
  <c r="W15" i="11"/>
  <c r="W24" i="11" s="1"/>
  <c r="W25" i="11" s="1"/>
  <c r="V15" i="11"/>
  <c r="V24" i="11" s="1"/>
  <c r="V25" i="11" s="1"/>
  <c r="L34" i="11"/>
  <c r="L43" i="11" s="1"/>
  <c r="L44" i="11" s="1"/>
  <c r="X15" i="11"/>
  <c r="X24" i="11" s="1"/>
  <c r="X25" i="11" s="1"/>
  <c r="Z34" i="11"/>
  <c r="Z43" i="11" s="1"/>
  <c r="Z44" i="11" s="1"/>
  <c r="R34" i="11"/>
  <c r="R43" i="11" s="1"/>
  <c r="R44" i="11" s="1"/>
  <c r="J34" i="11"/>
  <c r="J43" i="11" s="1"/>
  <c r="J44" i="11" s="1"/>
  <c r="G38" i="11"/>
  <c r="H41" i="11"/>
  <c r="G35" i="11"/>
  <c r="AA37" i="11"/>
  <c r="G16" i="11"/>
  <c r="H22" i="11"/>
  <c r="G19" i="11"/>
  <c r="D866" i="11"/>
  <c r="D1050" i="11"/>
  <c r="D1280" i="11"/>
  <c r="W569" i="11"/>
  <c r="AA634" i="11"/>
  <c r="AA1600" i="11"/>
  <c r="AA959" i="11"/>
  <c r="L1511" i="11"/>
  <c r="N1584" i="11"/>
  <c r="V1354" i="11"/>
  <c r="X848" i="11"/>
  <c r="V986" i="11"/>
  <c r="AA1370" i="11"/>
  <c r="AA775" i="11"/>
  <c r="W1213" i="11"/>
  <c r="D1303" i="11"/>
  <c r="D1322" i="11" s="1"/>
  <c r="AA1306" i="11" s="1"/>
  <c r="AA1830" i="11"/>
  <c r="D751" i="11"/>
  <c r="L1097" i="11"/>
  <c r="V1446" i="11"/>
  <c r="D1395" i="11"/>
  <c r="D1414" i="11" s="1"/>
  <c r="AA1417" i="11" s="1"/>
  <c r="M1649" i="11"/>
  <c r="V1676" i="11"/>
  <c r="W1351" i="11"/>
  <c r="N618" i="11"/>
  <c r="U1327" i="11"/>
  <c r="N1630" i="11"/>
  <c r="O1630" i="11"/>
  <c r="L821" i="11"/>
  <c r="M1216" i="11"/>
  <c r="M1218" i="11" s="1"/>
  <c r="V1262" i="11"/>
  <c r="D1487" i="11"/>
  <c r="D1506" i="11" s="1"/>
  <c r="L1833" i="11"/>
  <c r="N1814" i="11"/>
  <c r="AA545" i="11"/>
  <c r="W615" i="11"/>
  <c r="AA729" i="11"/>
  <c r="Z864" i="11"/>
  <c r="Y986" i="11"/>
  <c r="AA1051" i="11"/>
  <c r="N1078" i="11"/>
  <c r="AA1186" i="11"/>
  <c r="AA1416" i="11"/>
  <c r="R1446" i="11"/>
  <c r="R1448" i="11" s="1"/>
  <c r="P1465" i="11"/>
  <c r="T591" i="11"/>
  <c r="AA772" i="11"/>
  <c r="T1511" i="11"/>
  <c r="V1630" i="11"/>
  <c r="V802" i="11"/>
  <c r="L591" i="11"/>
  <c r="AA1002" i="11"/>
  <c r="AA1094" i="11"/>
  <c r="AA1232" i="11"/>
  <c r="S1443" i="11"/>
  <c r="N1492" i="11"/>
  <c r="W1581" i="11"/>
  <c r="L1695" i="11"/>
  <c r="N1676" i="11"/>
  <c r="Q1722" i="11"/>
  <c r="N1722" i="11"/>
  <c r="W1811" i="11"/>
  <c r="V618" i="11"/>
  <c r="Z983" i="11"/>
  <c r="W1075" i="11"/>
  <c r="L1281" i="11"/>
  <c r="D1418" i="11"/>
  <c r="AA1462" i="11"/>
  <c r="V1492" i="11"/>
  <c r="AA1787" i="11"/>
  <c r="I1768" i="11"/>
  <c r="AA680" i="11"/>
  <c r="T1281" i="11"/>
  <c r="N1354" i="11"/>
  <c r="L1373" i="11"/>
  <c r="AA1419" i="11"/>
  <c r="W1627" i="11"/>
  <c r="M1768" i="11"/>
  <c r="T1097" i="11"/>
  <c r="M1308" i="11"/>
  <c r="M1310" i="11" s="1"/>
  <c r="O1354" i="11"/>
  <c r="U1373" i="11"/>
  <c r="AA1557" i="11"/>
  <c r="V1584" i="11"/>
  <c r="V1814" i="11"/>
  <c r="O523" i="11"/>
  <c r="D795" i="11"/>
  <c r="D842" i="11"/>
  <c r="D980" i="11"/>
  <c r="M1235" i="11"/>
  <c r="M1237" i="11" s="1"/>
  <c r="D245" i="11"/>
  <c r="D264" i="11" s="1"/>
  <c r="AA267" i="11" s="1"/>
  <c r="U545" i="11"/>
  <c r="D981" i="11"/>
  <c r="D1000" i="11" s="1"/>
  <c r="AA984" i="11" s="1"/>
  <c r="D1257" i="11"/>
  <c r="D1276" i="11" s="1"/>
  <c r="AA1260" i="11" s="1"/>
  <c r="D291" i="11"/>
  <c r="D310" i="11" s="1"/>
  <c r="D658" i="11"/>
  <c r="D703" i="11"/>
  <c r="D1025" i="11"/>
  <c r="N572" i="11"/>
  <c r="D934" i="11"/>
  <c r="D197" i="11"/>
  <c r="D337" i="11"/>
  <c r="D356" i="11" s="1"/>
  <c r="AA359" i="11" s="1"/>
  <c r="D381" i="11"/>
  <c r="D521" i="11"/>
  <c r="D540" i="11" s="1"/>
  <c r="AA524" i="11" s="1"/>
  <c r="N526" i="11"/>
  <c r="O572" i="11"/>
  <c r="D611" i="11"/>
  <c r="D705" i="11"/>
  <c r="AA726" i="11"/>
  <c r="AA821" i="11"/>
  <c r="O799" i="11"/>
  <c r="AA913" i="11"/>
  <c r="D935" i="11"/>
  <c r="D954" i="11" s="1"/>
  <c r="AA957" i="11" s="1"/>
  <c r="N940" i="11"/>
  <c r="O983" i="11"/>
  <c r="N986" i="11"/>
  <c r="D1027" i="11"/>
  <c r="D1046" i="11" s="1"/>
  <c r="AA1049" i="11" s="1"/>
  <c r="N1032" i="11"/>
  <c r="T1051" i="11"/>
  <c r="V1078" i="11"/>
  <c r="AA1143" i="11"/>
  <c r="AA1235" i="11"/>
  <c r="AA1237" i="11" s="1"/>
  <c r="N1213" i="11"/>
  <c r="N1216" i="11"/>
  <c r="N1218" i="11" s="1"/>
  <c r="W1259" i="11"/>
  <c r="AA1278" i="11"/>
  <c r="V1305" i="11"/>
  <c r="U1308" i="11"/>
  <c r="L1327" i="11"/>
  <c r="D1347" i="11"/>
  <c r="D1556" i="11"/>
  <c r="D1763" i="11"/>
  <c r="D1782" i="11" s="1"/>
  <c r="AA1766" i="11" s="1"/>
  <c r="D887" i="11"/>
  <c r="O937" i="11"/>
  <c r="D1117" i="11"/>
  <c r="D1209" i="11"/>
  <c r="V1216" i="11"/>
  <c r="V1218" i="11" s="1"/>
  <c r="D1256" i="11"/>
  <c r="D796" i="11"/>
  <c r="D843" i="11"/>
  <c r="D862" i="11" s="1"/>
  <c r="W937" i="11"/>
  <c r="AA1048" i="11"/>
  <c r="D475" i="11"/>
  <c r="D494" i="11" s="1"/>
  <c r="AA497" i="11" s="1"/>
  <c r="D659" i="11"/>
  <c r="D678" i="11" s="1"/>
  <c r="AA681" i="11" s="1"/>
  <c r="D198" i="11"/>
  <c r="D382" i="11"/>
  <c r="O526" i="11"/>
  <c r="L545" i="11"/>
  <c r="V572" i="11"/>
  <c r="D612" i="11"/>
  <c r="D749" i="11"/>
  <c r="W799" i="11"/>
  <c r="AA818" i="11"/>
  <c r="V940" i="11"/>
  <c r="R983" i="11"/>
  <c r="Q986" i="11"/>
  <c r="V1032" i="11"/>
  <c r="O1213" i="11"/>
  <c r="O1216" i="11"/>
  <c r="O1218" i="11" s="1"/>
  <c r="D1301" i="11"/>
  <c r="W1305" i="11"/>
  <c r="V1308" i="11"/>
  <c r="M1327" i="11"/>
  <c r="D1348" i="11"/>
  <c r="D1393" i="11"/>
  <c r="AA1465" i="11"/>
  <c r="K1443" i="11"/>
  <c r="J1446" i="11"/>
  <c r="J1448" i="11" s="1"/>
  <c r="D1485" i="11"/>
  <c r="AA1649" i="11"/>
  <c r="O1627" i="11"/>
  <c r="W1630" i="11"/>
  <c r="T1649" i="11"/>
  <c r="D1669" i="11"/>
  <c r="D1715" i="11"/>
  <c r="T545" i="11"/>
  <c r="D429" i="11"/>
  <c r="D888" i="11"/>
  <c r="W1029" i="11"/>
  <c r="N1262" i="11"/>
  <c r="D335" i="11"/>
  <c r="D474" i="11"/>
  <c r="D519" i="11"/>
  <c r="D566" i="11"/>
  <c r="D933" i="11"/>
  <c r="D520" i="11"/>
  <c r="D199" i="11"/>
  <c r="D218" i="11" s="1"/>
  <c r="D243" i="11"/>
  <c r="D383" i="11"/>
  <c r="D402" i="11" s="1"/>
  <c r="D427" i="11"/>
  <c r="V526" i="11"/>
  <c r="M545" i="11"/>
  <c r="AA591" i="11"/>
  <c r="O569" i="11"/>
  <c r="W572" i="11"/>
  <c r="D613" i="11"/>
  <c r="AA683" i="11"/>
  <c r="D750" i="11"/>
  <c r="D841" i="11"/>
  <c r="D979" i="11"/>
  <c r="W983" i="11"/>
  <c r="AA1097" i="11"/>
  <c r="O1075" i="11"/>
  <c r="AA1189" i="11"/>
  <c r="I1167" i="11"/>
  <c r="V1213" i="11"/>
  <c r="U1216" i="11"/>
  <c r="U1218" i="11" s="1"/>
  <c r="L1235" i="11"/>
  <c r="L1237" i="11" s="1"/>
  <c r="D1255" i="11"/>
  <c r="D1302" i="11"/>
  <c r="W1308" i="11"/>
  <c r="T1327" i="11"/>
  <c r="D1349" i="11"/>
  <c r="D1368" i="11" s="1"/>
  <c r="AA1371" i="11" s="1"/>
  <c r="D1394" i="11"/>
  <c r="O1443" i="11"/>
  <c r="N1446" i="11"/>
  <c r="N1448" i="11" s="1"/>
  <c r="D1486" i="11"/>
  <c r="D1531" i="11"/>
  <c r="AA1603" i="11"/>
  <c r="O1581" i="11"/>
  <c r="U1649" i="11"/>
  <c r="D1670" i="11"/>
  <c r="D1716" i="11"/>
  <c r="AA1738" i="11"/>
  <c r="N1768" i="11"/>
  <c r="L1787" i="11"/>
  <c r="D1807" i="11"/>
  <c r="D1532" i="11"/>
  <c r="D1671" i="11"/>
  <c r="D1690" i="11" s="1"/>
  <c r="T1695" i="11"/>
  <c r="D1717" i="11"/>
  <c r="D1736" i="11" s="1"/>
  <c r="AA1739" i="11" s="1"/>
  <c r="I1722" i="11"/>
  <c r="O1765" i="11"/>
  <c r="U1768" i="11"/>
  <c r="T1787" i="11"/>
  <c r="D1808" i="11"/>
  <c r="D1533" i="11"/>
  <c r="D1552" i="11" s="1"/>
  <c r="AA1555" i="11" s="1"/>
  <c r="AA1554" i="11"/>
  <c r="D1623" i="11"/>
  <c r="AA1646" i="11"/>
  <c r="W1765" i="11"/>
  <c r="V1768" i="11"/>
  <c r="D1809" i="11"/>
  <c r="D1828" i="11" s="1"/>
  <c r="T1833" i="11"/>
  <c r="T1835" i="11" s="1"/>
  <c r="D244" i="11"/>
  <c r="D428" i="11"/>
  <c r="W526" i="11"/>
  <c r="D1210" i="11"/>
  <c r="W1216" i="11"/>
  <c r="M1373" i="11"/>
  <c r="D1439" i="11"/>
  <c r="D290" i="11"/>
  <c r="D473" i="11"/>
  <c r="D565" i="11"/>
  <c r="AA588" i="11"/>
  <c r="AA637" i="11"/>
  <c r="O615" i="11"/>
  <c r="D657" i="11"/>
  <c r="D797" i="11"/>
  <c r="D816" i="11" s="1"/>
  <c r="AA800" i="11" s="1"/>
  <c r="N802" i="11"/>
  <c r="T821" i="11"/>
  <c r="D889" i="11"/>
  <c r="D908" i="11" s="1"/>
  <c r="AA911" i="11" s="1"/>
  <c r="AA910" i="11"/>
  <c r="D1071" i="11"/>
  <c r="D1119" i="11"/>
  <c r="D1138" i="11" s="1"/>
  <c r="AA1141" i="11" s="1"/>
  <c r="AA1140" i="11"/>
  <c r="D1163" i="11"/>
  <c r="D1211" i="11"/>
  <c r="D1230" i="11" s="1"/>
  <c r="AA1214" i="11" s="1"/>
  <c r="U1235" i="11"/>
  <c r="U1237" i="11" s="1"/>
  <c r="AA1324" i="11"/>
  <c r="AA1373" i="11"/>
  <c r="O1351" i="11"/>
  <c r="W1354" i="11"/>
  <c r="T1373" i="11"/>
  <c r="D1440" i="11"/>
  <c r="AA1443" i="11"/>
  <c r="Z1446" i="11"/>
  <c r="D1577" i="11"/>
  <c r="D1624" i="11"/>
  <c r="D1118" i="11"/>
  <c r="AA542" i="11"/>
  <c r="D1072" i="11"/>
  <c r="D1164" i="11"/>
  <c r="D1188" i="11"/>
  <c r="AA1327" i="11"/>
  <c r="N1305" i="11"/>
  <c r="N1308" i="11"/>
  <c r="D1441" i="11"/>
  <c r="D1460" i="11" s="1"/>
  <c r="AA1444" i="11" s="1"/>
  <c r="AA1511" i="11"/>
  <c r="O1489" i="11"/>
  <c r="D1578" i="11"/>
  <c r="D1625" i="11"/>
  <c r="D1644" i="11" s="1"/>
  <c r="AA1647" i="11" s="1"/>
  <c r="AA1695" i="11"/>
  <c r="O1673" i="11"/>
  <c r="AA1741" i="11"/>
  <c r="O1719" i="11"/>
  <c r="V1722" i="11"/>
  <c r="L1741" i="11"/>
  <c r="D1761" i="11"/>
  <c r="D289" i="11"/>
  <c r="W523" i="11"/>
  <c r="AA956" i="11"/>
  <c r="T1235" i="11"/>
  <c r="T1237" i="11" s="1"/>
  <c r="D336" i="11"/>
  <c r="D567" i="11"/>
  <c r="D586" i="11" s="1"/>
  <c r="AA570" i="11" s="1"/>
  <c r="D704" i="11"/>
  <c r="AA867" i="11"/>
  <c r="AA1005" i="11"/>
  <c r="J983" i="11"/>
  <c r="I986" i="11"/>
  <c r="I988" i="11" s="1"/>
  <c r="D1026" i="11"/>
  <c r="L1051" i="11"/>
  <c r="D1073" i="11"/>
  <c r="D1092" i="11" s="1"/>
  <c r="AA1095" i="11" s="1"/>
  <c r="D1165" i="11"/>
  <c r="AA1281" i="11"/>
  <c r="AA1283" i="11" s="1"/>
  <c r="O1259" i="11"/>
  <c r="O1305" i="11"/>
  <c r="O1308" i="11"/>
  <c r="O1310" i="11" s="1"/>
  <c r="W1489" i="11"/>
  <c r="AA1508" i="11"/>
  <c r="D1579" i="11"/>
  <c r="D1598" i="11" s="1"/>
  <c r="AA1582" i="11" s="1"/>
  <c r="L1649" i="11"/>
  <c r="W1673" i="11"/>
  <c r="AA1692" i="11"/>
  <c r="W1719" i="11"/>
  <c r="Y1722" i="11"/>
  <c r="T1741" i="11"/>
  <c r="AA1784" i="11"/>
  <c r="AA1833" i="11"/>
  <c r="O1811" i="11"/>
  <c r="H1811" i="11"/>
  <c r="P1811" i="11"/>
  <c r="X1811" i="11"/>
  <c r="O1814" i="11"/>
  <c r="W1814" i="11"/>
  <c r="M1830" i="11"/>
  <c r="U1830" i="11"/>
  <c r="M1833" i="11"/>
  <c r="U1833" i="11"/>
  <c r="U1835" i="11" s="1"/>
  <c r="I1811" i="11"/>
  <c r="Q1811" i="11"/>
  <c r="Y1811" i="11"/>
  <c r="H1814" i="11"/>
  <c r="P1814" i="11"/>
  <c r="X1814" i="11"/>
  <c r="N1830" i="11"/>
  <c r="V1830" i="11"/>
  <c r="N1833" i="11"/>
  <c r="N1835" i="11" s="1"/>
  <c r="V1833" i="11"/>
  <c r="J1811" i="11"/>
  <c r="R1811" i="11"/>
  <c r="Z1811" i="11"/>
  <c r="I1814" i="11"/>
  <c r="Q1814" i="11"/>
  <c r="Y1814" i="11"/>
  <c r="Y1816" i="11" s="1"/>
  <c r="O1830" i="11"/>
  <c r="W1830" i="11"/>
  <c r="O1833" i="11"/>
  <c r="W1833" i="11"/>
  <c r="K1811" i="11"/>
  <c r="S1811" i="11"/>
  <c r="AA1811" i="11"/>
  <c r="J1814" i="11"/>
  <c r="J1816" i="11" s="1"/>
  <c r="R1814" i="11"/>
  <c r="R1816" i="11" s="1"/>
  <c r="Z1814" i="11"/>
  <c r="H1830" i="11"/>
  <c r="P1830" i="11"/>
  <c r="X1830" i="11"/>
  <c r="H1833" i="11"/>
  <c r="P1833" i="11"/>
  <c r="X1833" i="11"/>
  <c r="X1835" i="11" s="1"/>
  <c r="L1811" i="11"/>
  <c r="T1811" i="11"/>
  <c r="K1814" i="11"/>
  <c r="S1814" i="11"/>
  <c r="AA1814" i="11"/>
  <c r="I1830" i="11"/>
  <c r="Q1830" i="11"/>
  <c r="Y1830" i="11"/>
  <c r="I1833" i="11"/>
  <c r="I1835" i="11" s="1"/>
  <c r="Q1833" i="11"/>
  <c r="Y1833" i="11"/>
  <c r="L1830" i="11"/>
  <c r="T1830" i="11"/>
  <c r="M1811" i="11"/>
  <c r="U1811" i="11"/>
  <c r="L1814" i="11"/>
  <c r="L1816" i="11" s="1"/>
  <c r="T1814" i="11"/>
  <c r="T1816" i="11" s="1"/>
  <c r="J1830" i="11"/>
  <c r="R1830" i="11"/>
  <c r="Z1830" i="11"/>
  <c r="J1833" i="11"/>
  <c r="R1833" i="11"/>
  <c r="Z1833" i="11"/>
  <c r="N1811" i="11"/>
  <c r="V1811" i="11"/>
  <c r="M1814" i="11"/>
  <c r="U1814" i="11"/>
  <c r="K1830" i="11"/>
  <c r="S1830" i="11"/>
  <c r="K1833" i="11"/>
  <c r="S1833" i="11"/>
  <c r="H1765" i="11"/>
  <c r="P1765" i="11"/>
  <c r="X1765" i="11"/>
  <c r="O1768" i="11"/>
  <c r="W1768" i="11"/>
  <c r="M1784" i="11"/>
  <c r="U1784" i="11"/>
  <c r="M1787" i="11"/>
  <c r="U1787" i="11"/>
  <c r="T1784" i="11"/>
  <c r="I1765" i="11"/>
  <c r="Q1765" i="11"/>
  <c r="Y1765" i="11"/>
  <c r="H1768" i="11"/>
  <c r="P1768" i="11"/>
  <c r="X1768" i="11"/>
  <c r="N1784" i="11"/>
  <c r="V1784" i="11"/>
  <c r="N1787" i="11"/>
  <c r="V1787" i="11"/>
  <c r="J1765" i="11"/>
  <c r="R1765" i="11"/>
  <c r="Z1765" i="11"/>
  <c r="Q1768" i="11"/>
  <c r="Y1768" i="11"/>
  <c r="O1784" i="11"/>
  <c r="W1784" i="11"/>
  <c r="O1787" i="11"/>
  <c r="W1787" i="11"/>
  <c r="L1784" i="11"/>
  <c r="K1765" i="11"/>
  <c r="S1765" i="11"/>
  <c r="AA1765" i="11"/>
  <c r="J1768" i="11"/>
  <c r="R1768" i="11"/>
  <c r="Z1768" i="11"/>
  <c r="H1784" i="11"/>
  <c r="P1784" i="11"/>
  <c r="X1784" i="11"/>
  <c r="H1787" i="11"/>
  <c r="P1787" i="11"/>
  <c r="X1787" i="11"/>
  <c r="L1765" i="11"/>
  <c r="T1765" i="11"/>
  <c r="K1768" i="11"/>
  <c r="S1768" i="11"/>
  <c r="AA1768" i="11"/>
  <c r="I1784" i="11"/>
  <c r="Q1784" i="11"/>
  <c r="Y1784" i="11"/>
  <c r="I1787" i="11"/>
  <c r="Q1787" i="11"/>
  <c r="Y1787" i="11"/>
  <c r="M1765" i="11"/>
  <c r="U1765" i="11"/>
  <c r="L1768" i="11"/>
  <c r="T1768" i="11"/>
  <c r="J1784" i="11"/>
  <c r="R1784" i="11"/>
  <c r="Z1784" i="11"/>
  <c r="J1787" i="11"/>
  <c r="R1787" i="11"/>
  <c r="Z1787" i="11"/>
  <c r="N1765" i="11"/>
  <c r="V1765" i="11"/>
  <c r="K1784" i="11"/>
  <c r="S1784" i="11"/>
  <c r="K1787" i="11"/>
  <c r="S1787" i="11"/>
  <c r="H1719" i="11"/>
  <c r="P1719" i="11"/>
  <c r="X1719" i="11"/>
  <c r="O1722" i="11"/>
  <c r="W1722" i="11"/>
  <c r="M1738" i="11"/>
  <c r="U1738" i="11"/>
  <c r="M1741" i="11"/>
  <c r="U1741" i="11"/>
  <c r="I1719" i="11"/>
  <c r="Q1719" i="11"/>
  <c r="Y1719" i="11"/>
  <c r="H1722" i="11"/>
  <c r="P1722" i="11"/>
  <c r="X1722" i="11"/>
  <c r="N1738" i="11"/>
  <c r="V1738" i="11"/>
  <c r="N1741" i="11"/>
  <c r="V1741" i="11"/>
  <c r="J1719" i="11"/>
  <c r="R1719" i="11"/>
  <c r="Z1719" i="11"/>
  <c r="O1738" i="11"/>
  <c r="W1738" i="11"/>
  <c r="O1741" i="11"/>
  <c r="W1741" i="11"/>
  <c r="T1738" i="11"/>
  <c r="K1719" i="11"/>
  <c r="S1719" i="11"/>
  <c r="AA1719" i="11"/>
  <c r="J1722" i="11"/>
  <c r="R1722" i="11"/>
  <c r="Z1722" i="11"/>
  <c r="H1738" i="11"/>
  <c r="P1738" i="11"/>
  <c r="X1738" i="11"/>
  <c r="H1741" i="11"/>
  <c r="P1741" i="11"/>
  <c r="X1741" i="11"/>
  <c r="L1738" i="11"/>
  <c r="L1719" i="11"/>
  <c r="T1719" i="11"/>
  <c r="K1722" i="11"/>
  <c r="S1722" i="11"/>
  <c r="AA1722" i="11"/>
  <c r="I1738" i="11"/>
  <c r="Q1738" i="11"/>
  <c r="Y1738" i="11"/>
  <c r="I1741" i="11"/>
  <c r="Q1741" i="11"/>
  <c r="Y1741" i="11"/>
  <c r="M1719" i="11"/>
  <c r="U1719" i="11"/>
  <c r="L1722" i="11"/>
  <c r="T1722" i="11"/>
  <c r="J1738" i="11"/>
  <c r="R1738" i="11"/>
  <c r="Z1738" i="11"/>
  <c r="J1741" i="11"/>
  <c r="R1741" i="11"/>
  <c r="Z1741" i="11"/>
  <c r="N1719" i="11"/>
  <c r="V1719" i="11"/>
  <c r="M1722" i="11"/>
  <c r="U1722" i="11"/>
  <c r="K1738" i="11"/>
  <c r="S1738" i="11"/>
  <c r="K1741" i="11"/>
  <c r="S1741" i="11"/>
  <c r="D1694" i="11"/>
  <c r="H1673" i="11"/>
  <c r="P1673" i="11"/>
  <c r="X1673" i="11"/>
  <c r="O1676" i="11"/>
  <c r="W1676" i="11"/>
  <c r="M1692" i="11"/>
  <c r="U1692" i="11"/>
  <c r="M1695" i="11"/>
  <c r="U1695" i="11"/>
  <c r="I1673" i="11"/>
  <c r="Q1673" i="11"/>
  <c r="Y1673" i="11"/>
  <c r="H1676" i="11"/>
  <c r="P1676" i="11"/>
  <c r="X1676" i="11"/>
  <c r="N1692" i="11"/>
  <c r="V1692" i="11"/>
  <c r="N1695" i="11"/>
  <c r="V1695" i="11"/>
  <c r="J1673" i="11"/>
  <c r="R1673" i="11"/>
  <c r="Z1673" i="11"/>
  <c r="I1676" i="11"/>
  <c r="Q1676" i="11"/>
  <c r="Q1678" i="11" s="1"/>
  <c r="Y1676" i="11"/>
  <c r="O1692" i="11"/>
  <c r="W1692" i="11"/>
  <c r="O1695" i="11"/>
  <c r="W1695" i="11"/>
  <c r="K1673" i="11"/>
  <c r="S1673" i="11"/>
  <c r="AA1673" i="11"/>
  <c r="J1676" i="11"/>
  <c r="R1676" i="11"/>
  <c r="Z1676" i="11"/>
  <c r="H1692" i="11"/>
  <c r="P1692" i="11"/>
  <c r="X1692" i="11"/>
  <c r="H1695" i="11"/>
  <c r="P1695" i="11"/>
  <c r="P1697" i="11" s="1"/>
  <c r="X1695" i="11"/>
  <c r="L1673" i="11"/>
  <c r="T1673" i="11"/>
  <c r="K1676" i="11"/>
  <c r="S1676" i="11"/>
  <c r="AA1676" i="11"/>
  <c r="I1692" i="11"/>
  <c r="Q1692" i="11"/>
  <c r="Y1692" i="11"/>
  <c r="I1695" i="11"/>
  <c r="Q1695" i="11"/>
  <c r="Y1695" i="11"/>
  <c r="M1673" i="11"/>
  <c r="U1673" i="11"/>
  <c r="L1676" i="11"/>
  <c r="T1676" i="11"/>
  <c r="J1692" i="11"/>
  <c r="R1692" i="11"/>
  <c r="Z1692" i="11"/>
  <c r="J1695" i="11"/>
  <c r="R1695" i="11"/>
  <c r="Z1695" i="11"/>
  <c r="L1692" i="11"/>
  <c r="T1692" i="11"/>
  <c r="N1673" i="11"/>
  <c r="V1673" i="11"/>
  <c r="M1676" i="11"/>
  <c r="U1676" i="11"/>
  <c r="K1692" i="11"/>
  <c r="S1692" i="11"/>
  <c r="K1695" i="11"/>
  <c r="S1695" i="11"/>
  <c r="P1627" i="11"/>
  <c r="I1627" i="11"/>
  <c r="Q1627" i="11"/>
  <c r="Y1627" i="11"/>
  <c r="H1630" i="11"/>
  <c r="P1630" i="11"/>
  <c r="X1630" i="11"/>
  <c r="N1646" i="11"/>
  <c r="V1646" i="11"/>
  <c r="N1649" i="11"/>
  <c r="V1649" i="11"/>
  <c r="X1627" i="11"/>
  <c r="J1627" i="11"/>
  <c r="R1627" i="11"/>
  <c r="Z1627" i="11"/>
  <c r="I1630" i="11"/>
  <c r="Q1630" i="11"/>
  <c r="Y1630" i="11"/>
  <c r="O1646" i="11"/>
  <c r="W1646" i="11"/>
  <c r="O1649" i="11"/>
  <c r="W1649" i="11"/>
  <c r="K1627" i="11"/>
  <c r="S1627" i="11"/>
  <c r="AA1627" i="11"/>
  <c r="J1630" i="11"/>
  <c r="R1630" i="11"/>
  <c r="Z1630" i="11"/>
  <c r="H1646" i="11"/>
  <c r="P1646" i="11"/>
  <c r="X1646" i="11"/>
  <c r="H1649" i="11"/>
  <c r="P1649" i="11"/>
  <c r="X1649" i="11"/>
  <c r="L1646" i="11"/>
  <c r="M1646" i="11"/>
  <c r="U1646" i="11"/>
  <c r="L1627" i="11"/>
  <c r="T1627" i="11"/>
  <c r="K1630" i="11"/>
  <c r="S1630" i="11"/>
  <c r="AA1630" i="11"/>
  <c r="I1646" i="11"/>
  <c r="Q1646" i="11"/>
  <c r="Y1646" i="11"/>
  <c r="I1649" i="11"/>
  <c r="Q1649" i="11"/>
  <c r="Y1649" i="11"/>
  <c r="T1646" i="11"/>
  <c r="H1627" i="11"/>
  <c r="M1627" i="11"/>
  <c r="U1627" i="11"/>
  <c r="L1630" i="11"/>
  <c r="T1630" i="11"/>
  <c r="J1646" i="11"/>
  <c r="R1646" i="11"/>
  <c r="Z1646" i="11"/>
  <c r="J1649" i="11"/>
  <c r="R1649" i="11"/>
  <c r="Z1649" i="11"/>
  <c r="N1627" i="11"/>
  <c r="V1627" i="11"/>
  <c r="M1630" i="11"/>
  <c r="U1630" i="11"/>
  <c r="K1646" i="11"/>
  <c r="S1646" i="11"/>
  <c r="K1649" i="11"/>
  <c r="S1649" i="11"/>
  <c r="D1602" i="11"/>
  <c r="L1600" i="11"/>
  <c r="T1600" i="11"/>
  <c r="L1603" i="11"/>
  <c r="T1603" i="11"/>
  <c r="H1581" i="11"/>
  <c r="P1581" i="11"/>
  <c r="X1581" i="11"/>
  <c r="O1584" i="11"/>
  <c r="O1586" i="11" s="1"/>
  <c r="W1584" i="11"/>
  <c r="M1600" i="11"/>
  <c r="U1600" i="11"/>
  <c r="M1603" i="11"/>
  <c r="U1603" i="11"/>
  <c r="Q1581" i="11"/>
  <c r="J1581" i="11"/>
  <c r="R1581" i="11"/>
  <c r="Z1581" i="11"/>
  <c r="I1584" i="11"/>
  <c r="Q1584" i="11"/>
  <c r="Y1584" i="11"/>
  <c r="O1600" i="11"/>
  <c r="W1600" i="11"/>
  <c r="O1603" i="11"/>
  <c r="W1603" i="11"/>
  <c r="W1605" i="11" s="1"/>
  <c r="I1581" i="11"/>
  <c r="H1584" i="11"/>
  <c r="V1600" i="11"/>
  <c r="K1581" i="11"/>
  <c r="S1581" i="11"/>
  <c r="AA1581" i="11"/>
  <c r="J1584" i="11"/>
  <c r="R1584" i="11"/>
  <c r="R1586" i="11" s="1"/>
  <c r="Z1584" i="11"/>
  <c r="H1600" i="11"/>
  <c r="P1600" i="11"/>
  <c r="X1600" i="11"/>
  <c r="H1603" i="11"/>
  <c r="P1603" i="11"/>
  <c r="X1603" i="11"/>
  <c r="Y1581" i="11"/>
  <c r="X1584" i="11"/>
  <c r="N1600" i="11"/>
  <c r="V1603" i="11"/>
  <c r="L1581" i="11"/>
  <c r="T1581" i="11"/>
  <c r="K1584" i="11"/>
  <c r="S1584" i="11"/>
  <c r="AA1584" i="11"/>
  <c r="AA1586" i="11" s="1"/>
  <c r="I1600" i="11"/>
  <c r="Q1600" i="11"/>
  <c r="Y1600" i="11"/>
  <c r="I1603" i="11"/>
  <c r="Q1603" i="11"/>
  <c r="Y1603" i="11"/>
  <c r="P1584" i="11"/>
  <c r="N1603" i="11"/>
  <c r="M1581" i="11"/>
  <c r="U1581" i="11"/>
  <c r="L1584" i="11"/>
  <c r="T1584" i="11"/>
  <c r="J1600" i="11"/>
  <c r="R1600" i="11"/>
  <c r="Z1600" i="11"/>
  <c r="J1603" i="11"/>
  <c r="R1603" i="11"/>
  <c r="Z1603" i="11"/>
  <c r="N1581" i="11"/>
  <c r="V1581" i="11"/>
  <c r="M1584" i="11"/>
  <c r="U1584" i="11"/>
  <c r="K1600" i="11"/>
  <c r="S1600" i="11"/>
  <c r="K1603" i="11"/>
  <c r="S1603" i="11"/>
  <c r="I1535" i="11"/>
  <c r="X1538" i="11"/>
  <c r="N1554" i="11"/>
  <c r="O1535" i="11"/>
  <c r="W1535" i="11"/>
  <c r="N1538" i="11"/>
  <c r="V1538" i="11"/>
  <c r="L1554" i="11"/>
  <c r="T1554" i="11"/>
  <c r="L1557" i="11"/>
  <c r="T1557" i="11"/>
  <c r="P1538" i="11"/>
  <c r="H1535" i="11"/>
  <c r="P1535" i="11"/>
  <c r="X1535" i="11"/>
  <c r="O1538" i="11"/>
  <c r="W1538" i="11"/>
  <c r="M1554" i="11"/>
  <c r="U1554" i="11"/>
  <c r="M1557" i="11"/>
  <c r="U1557" i="11"/>
  <c r="H1538" i="11"/>
  <c r="V1557" i="11"/>
  <c r="J1535" i="11"/>
  <c r="R1535" i="11"/>
  <c r="Z1535" i="11"/>
  <c r="I1538" i="11"/>
  <c r="Q1538" i="11"/>
  <c r="Y1538" i="11"/>
  <c r="O1554" i="11"/>
  <c r="W1554" i="11"/>
  <c r="O1557" i="11"/>
  <c r="W1557" i="11"/>
  <c r="K1535" i="11"/>
  <c r="S1535" i="11"/>
  <c r="AA1535" i="11"/>
  <c r="J1538" i="11"/>
  <c r="R1538" i="11"/>
  <c r="Z1538" i="11"/>
  <c r="H1554" i="11"/>
  <c r="P1554" i="11"/>
  <c r="X1554" i="11"/>
  <c r="H1557" i="11"/>
  <c r="P1557" i="11"/>
  <c r="X1557" i="11"/>
  <c r="Q1535" i="11"/>
  <c r="L1535" i="11"/>
  <c r="T1535" i="11"/>
  <c r="K1538" i="11"/>
  <c r="S1538" i="11"/>
  <c r="AA1538" i="11"/>
  <c r="I1554" i="11"/>
  <c r="Q1554" i="11"/>
  <c r="Y1554" i="11"/>
  <c r="I1557" i="11"/>
  <c r="Q1557" i="11"/>
  <c r="Y1557" i="11"/>
  <c r="V1554" i="11"/>
  <c r="M1535" i="11"/>
  <c r="U1535" i="11"/>
  <c r="L1538" i="11"/>
  <c r="T1538" i="11"/>
  <c r="J1554" i="11"/>
  <c r="R1554" i="11"/>
  <c r="Z1554" i="11"/>
  <c r="J1557" i="11"/>
  <c r="R1557" i="11"/>
  <c r="Z1557" i="11"/>
  <c r="Y1535" i="11"/>
  <c r="N1557" i="11"/>
  <c r="N1535" i="11"/>
  <c r="V1535" i="11"/>
  <c r="M1538" i="11"/>
  <c r="U1538" i="11"/>
  <c r="K1554" i="11"/>
  <c r="S1554" i="11"/>
  <c r="K1557" i="11"/>
  <c r="S1557" i="11"/>
  <c r="D1510" i="11"/>
  <c r="H1489" i="11"/>
  <c r="P1489" i="11"/>
  <c r="X1489" i="11"/>
  <c r="O1492" i="11"/>
  <c r="W1492" i="11"/>
  <c r="M1508" i="11"/>
  <c r="U1508" i="11"/>
  <c r="M1511" i="11"/>
  <c r="M1513" i="11" s="1"/>
  <c r="U1511" i="11"/>
  <c r="I1489" i="11"/>
  <c r="Q1489" i="11"/>
  <c r="Y1489" i="11"/>
  <c r="H1492" i="11"/>
  <c r="P1492" i="11"/>
  <c r="X1492" i="11"/>
  <c r="N1508" i="11"/>
  <c r="V1508" i="11"/>
  <c r="N1511" i="11"/>
  <c r="V1511" i="11"/>
  <c r="J1489" i="11"/>
  <c r="R1489" i="11"/>
  <c r="Z1489" i="11"/>
  <c r="I1492" i="11"/>
  <c r="Q1492" i="11"/>
  <c r="Q1494" i="11" s="1"/>
  <c r="Y1492" i="11"/>
  <c r="O1508" i="11"/>
  <c r="W1508" i="11"/>
  <c r="O1511" i="11"/>
  <c r="W1511" i="11"/>
  <c r="T1508" i="11"/>
  <c r="K1489" i="11"/>
  <c r="S1489" i="11"/>
  <c r="AA1489" i="11"/>
  <c r="J1492" i="11"/>
  <c r="R1492" i="11"/>
  <c r="Z1492" i="11"/>
  <c r="H1508" i="11"/>
  <c r="P1508" i="11"/>
  <c r="X1508" i="11"/>
  <c r="H1511" i="11"/>
  <c r="P1511" i="11"/>
  <c r="X1511" i="11"/>
  <c r="L1489" i="11"/>
  <c r="T1489" i="11"/>
  <c r="K1492" i="11"/>
  <c r="S1492" i="11"/>
  <c r="AA1492" i="11"/>
  <c r="I1508" i="11"/>
  <c r="Q1508" i="11"/>
  <c r="Y1508" i="11"/>
  <c r="I1511" i="11"/>
  <c r="Q1511" i="11"/>
  <c r="Y1511" i="11"/>
  <c r="M1489" i="11"/>
  <c r="U1489" i="11"/>
  <c r="L1492" i="11"/>
  <c r="T1492" i="11"/>
  <c r="J1508" i="11"/>
  <c r="R1508" i="11"/>
  <c r="Z1508" i="11"/>
  <c r="J1511" i="11"/>
  <c r="R1511" i="11"/>
  <c r="Z1511" i="11"/>
  <c r="L1508" i="11"/>
  <c r="N1489" i="11"/>
  <c r="V1489" i="11"/>
  <c r="M1492" i="11"/>
  <c r="U1492" i="11"/>
  <c r="K1508" i="11"/>
  <c r="S1508" i="11"/>
  <c r="K1511" i="11"/>
  <c r="S1511" i="11"/>
  <c r="T1462" i="11"/>
  <c r="H1443" i="11"/>
  <c r="P1443" i="11"/>
  <c r="X1443" i="11"/>
  <c r="O1446" i="11"/>
  <c r="O1448" i="11" s="1"/>
  <c r="W1446" i="11"/>
  <c r="M1462" i="11"/>
  <c r="U1462" i="11"/>
  <c r="M1465" i="11"/>
  <c r="M1467" i="11" s="1"/>
  <c r="U1465" i="11"/>
  <c r="I1443" i="11"/>
  <c r="Q1443" i="11"/>
  <c r="Y1443" i="11"/>
  <c r="H1446" i="11"/>
  <c r="P1446" i="11"/>
  <c r="P1448" i="11" s="1"/>
  <c r="X1446" i="11"/>
  <c r="N1462" i="11"/>
  <c r="V1462" i="11"/>
  <c r="N1465" i="11"/>
  <c r="V1465" i="11"/>
  <c r="V1467" i="11" s="1"/>
  <c r="L1462" i="11"/>
  <c r="L1465" i="11"/>
  <c r="T1465" i="11"/>
  <c r="T1467" i="11" s="1"/>
  <c r="J1443" i="11"/>
  <c r="R1443" i="11"/>
  <c r="Z1443" i="11"/>
  <c r="I1446" i="11"/>
  <c r="Q1446" i="11"/>
  <c r="Q1448" i="11" s="1"/>
  <c r="Y1446" i="11"/>
  <c r="Y1448" i="11" s="1"/>
  <c r="O1462" i="11"/>
  <c r="W1462" i="11"/>
  <c r="O1465" i="11"/>
  <c r="W1465" i="11"/>
  <c r="W1467" i="11" s="1"/>
  <c r="H1462" i="11"/>
  <c r="H1465" i="11"/>
  <c r="L1443" i="11"/>
  <c r="T1443" i="11"/>
  <c r="K1446" i="11"/>
  <c r="S1446" i="11"/>
  <c r="S1448" i="11" s="1"/>
  <c r="AA1446" i="11"/>
  <c r="I1462" i="11"/>
  <c r="Q1462" i="11"/>
  <c r="Y1462" i="11"/>
  <c r="I1465" i="11"/>
  <c r="I1467" i="11" s="1"/>
  <c r="Q1465" i="11"/>
  <c r="Q1467" i="11" s="1"/>
  <c r="Y1465" i="11"/>
  <c r="X1462" i="11"/>
  <c r="X1465" i="11"/>
  <c r="M1443" i="11"/>
  <c r="U1443" i="11"/>
  <c r="L1446" i="11"/>
  <c r="T1446" i="11"/>
  <c r="T1448" i="11" s="1"/>
  <c r="J1462" i="11"/>
  <c r="R1462" i="11"/>
  <c r="Z1462" i="11"/>
  <c r="J1465" i="11"/>
  <c r="R1465" i="11"/>
  <c r="R1467" i="11" s="1"/>
  <c r="Z1465" i="11"/>
  <c r="P1462" i="11"/>
  <c r="N1443" i="11"/>
  <c r="V1443" i="11"/>
  <c r="M1446" i="11"/>
  <c r="U1446" i="11"/>
  <c r="U1448" i="11" s="1"/>
  <c r="K1462" i="11"/>
  <c r="S1462" i="11"/>
  <c r="K1465" i="11"/>
  <c r="S1465" i="11"/>
  <c r="I1397" i="11"/>
  <c r="H1400" i="11"/>
  <c r="V1416" i="11"/>
  <c r="O1397" i="11"/>
  <c r="W1397" i="11"/>
  <c r="N1400" i="11"/>
  <c r="N1402" i="11" s="1"/>
  <c r="V1400" i="11"/>
  <c r="V1402" i="11" s="1"/>
  <c r="L1416" i="11"/>
  <c r="T1416" i="11"/>
  <c r="L1419" i="11"/>
  <c r="L1421" i="11" s="1"/>
  <c r="T1419" i="11"/>
  <c r="T1421" i="11" s="1"/>
  <c r="Q1397" i="11"/>
  <c r="X1400" i="11"/>
  <c r="V1419" i="11"/>
  <c r="V1421" i="11" s="1"/>
  <c r="H1397" i="11"/>
  <c r="P1397" i="11"/>
  <c r="X1397" i="11"/>
  <c r="O1400" i="11"/>
  <c r="O1402" i="11" s="1"/>
  <c r="W1400" i="11"/>
  <c r="W1402" i="11" s="1"/>
  <c r="M1416" i="11"/>
  <c r="U1416" i="11"/>
  <c r="M1419" i="11"/>
  <c r="M1421" i="11" s="1"/>
  <c r="U1419" i="11"/>
  <c r="U1421" i="11" s="1"/>
  <c r="J1397" i="11"/>
  <c r="R1397" i="11"/>
  <c r="Z1397" i="11"/>
  <c r="I1400" i="11"/>
  <c r="I1402" i="11" s="1"/>
  <c r="Q1400" i="11"/>
  <c r="Y1400" i="11"/>
  <c r="O1416" i="11"/>
  <c r="W1416" i="11"/>
  <c r="O1419" i="11"/>
  <c r="W1419" i="11"/>
  <c r="Y1397" i="11"/>
  <c r="N1416" i="11"/>
  <c r="K1397" i="11"/>
  <c r="S1397" i="11"/>
  <c r="AA1397" i="11"/>
  <c r="J1400" i="11"/>
  <c r="J1402" i="11" s="1"/>
  <c r="R1400" i="11"/>
  <c r="Z1400" i="11"/>
  <c r="H1416" i="11"/>
  <c r="P1416" i="11"/>
  <c r="X1416" i="11"/>
  <c r="H1419" i="11"/>
  <c r="P1419" i="11"/>
  <c r="P1421" i="11" s="1"/>
  <c r="X1419" i="11"/>
  <c r="X1421" i="11" s="1"/>
  <c r="P1400" i="11"/>
  <c r="N1419" i="11"/>
  <c r="L1397" i="11"/>
  <c r="T1397" i="11"/>
  <c r="K1400" i="11"/>
  <c r="S1400" i="11"/>
  <c r="AA1400" i="11"/>
  <c r="AA1402" i="11" s="1"/>
  <c r="I1416" i="11"/>
  <c r="Q1416" i="11"/>
  <c r="Y1416" i="11"/>
  <c r="I1419" i="11"/>
  <c r="I1421" i="11" s="1"/>
  <c r="Q1419" i="11"/>
  <c r="Q1421" i="11" s="1"/>
  <c r="Y1419" i="11"/>
  <c r="M1397" i="11"/>
  <c r="U1397" i="11"/>
  <c r="L1400" i="11"/>
  <c r="L1402" i="11" s="1"/>
  <c r="T1400" i="11"/>
  <c r="J1416" i="11"/>
  <c r="R1416" i="11"/>
  <c r="Z1416" i="11"/>
  <c r="J1419" i="11"/>
  <c r="R1419" i="11"/>
  <c r="Z1419" i="11"/>
  <c r="Z1421" i="11" s="1"/>
  <c r="N1397" i="11"/>
  <c r="V1397" i="11"/>
  <c r="M1400" i="11"/>
  <c r="U1400" i="11"/>
  <c r="U1402" i="11" s="1"/>
  <c r="K1416" i="11"/>
  <c r="S1416" i="11"/>
  <c r="K1419" i="11"/>
  <c r="S1419" i="11"/>
  <c r="S1421" i="11" s="1"/>
  <c r="AA1329" i="11"/>
  <c r="M1370" i="11"/>
  <c r="I1351" i="11"/>
  <c r="Q1351" i="11"/>
  <c r="Y1351" i="11"/>
  <c r="H1354" i="11"/>
  <c r="P1354" i="11"/>
  <c r="X1354" i="11"/>
  <c r="N1370" i="11"/>
  <c r="V1370" i="11"/>
  <c r="N1373" i="11"/>
  <c r="V1373" i="11"/>
  <c r="X1351" i="11"/>
  <c r="J1351" i="11"/>
  <c r="R1351" i="11"/>
  <c r="Z1351" i="11"/>
  <c r="I1354" i="11"/>
  <c r="Q1354" i="11"/>
  <c r="Y1354" i="11"/>
  <c r="O1370" i="11"/>
  <c r="W1370" i="11"/>
  <c r="O1373" i="11"/>
  <c r="W1373" i="11"/>
  <c r="L1370" i="11"/>
  <c r="T1370" i="11"/>
  <c r="H1351" i="11"/>
  <c r="K1351" i="11"/>
  <c r="S1351" i="11"/>
  <c r="AA1351" i="11"/>
  <c r="J1354" i="11"/>
  <c r="R1354" i="11"/>
  <c r="Z1354" i="11"/>
  <c r="H1370" i="11"/>
  <c r="P1370" i="11"/>
  <c r="X1370" i="11"/>
  <c r="H1373" i="11"/>
  <c r="P1373" i="11"/>
  <c r="X1373" i="11"/>
  <c r="P1351" i="11"/>
  <c r="L1351" i="11"/>
  <c r="T1351" i="11"/>
  <c r="K1354" i="11"/>
  <c r="S1354" i="11"/>
  <c r="AA1354" i="11"/>
  <c r="I1370" i="11"/>
  <c r="Q1370" i="11"/>
  <c r="Y1370" i="11"/>
  <c r="I1373" i="11"/>
  <c r="Q1373" i="11"/>
  <c r="Y1373" i="11"/>
  <c r="U1370" i="11"/>
  <c r="M1351" i="11"/>
  <c r="U1351" i="11"/>
  <c r="L1354" i="11"/>
  <c r="T1354" i="11"/>
  <c r="J1370" i="11"/>
  <c r="R1370" i="11"/>
  <c r="Z1370" i="11"/>
  <c r="J1373" i="11"/>
  <c r="R1373" i="11"/>
  <c r="Z1373" i="11"/>
  <c r="N1351" i="11"/>
  <c r="V1351" i="11"/>
  <c r="M1354" i="11"/>
  <c r="U1354" i="11"/>
  <c r="K1370" i="11"/>
  <c r="S1370" i="11"/>
  <c r="K1373" i="11"/>
  <c r="S1373" i="11"/>
  <c r="H1305" i="11"/>
  <c r="M1324" i="11"/>
  <c r="U1324" i="11"/>
  <c r="I1305" i="11"/>
  <c r="Q1305" i="11"/>
  <c r="Y1305" i="11"/>
  <c r="H1308" i="11"/>
  <c r="P1308" i="11"/>
  <c r="X1308" i="11"/>
  <c r="N1324" i="11"/>
  <c r="V1324" i="11"/>
  <c r="N1327" i="11"/>
  <c r="V1327" i="11"/>
  <c r="L1324" i="11"/>
  <c r="T1324" i="11"/>
  <c r="J1305" i="11"/>
  <c r="R1305" i="11"/>
  <c r="Z1305" i="11"/>
  <c r="I1308" i="11"/>
  <c r="Q1308" i="11"/>
  <c r="Y1308" i="11"/>
  <c r="O1324" i="11"/>
  <c r="W1324" i="11"/>
  <c r="O1327" i="11"/>
  <c r="W1327" i="11"/>
  <c r="K1305" i="11"/>
  <c r="S1305" i="11"/>
  <c r="AA1305" i="11"/>
  <c r="J1308" i="11"/>
  <c r="R1308" i="11"/>
  <c r="Z1308" i="11"/>
  <c r="H1324" i="11"/>
  <c r="P1324" i="11"/>
  <c r="X1324" i="11"/>
  <c r="H1327" i="11"/>
  <c r="P1327" i="11"/>
  <c r="X1327" i="11"/>
  <c r="P1305" i="11"/>
  <c r="L1305" i="11"/>
  <c r="T1305" i="11"/>
  <c r="K1308" i="11"/>
  <c r="S1308" i="11"/>
  <c r="AA1308" i="11"/>
  <c r="I1324" i="11"/>
  <c r="Q1324" i="11"/>
  <c r="Y1324" i="11"/>
  <c r="I1327" i="11"/>
  <c r="Q1327" i="11"/>
  <c r="Y1327" i="11"/>
  <c r="X1305" i="11"/>
  <c r="M1305" i="11"/>
  <c r="U1305" i="11"/>
  <c r="L1308" i="11"/>
  <c r="T1308" i="11"/>
  <c r="J1324" i="11"/>
  <c r="R1324" i="11"/>
  <c r="Z1324" i="11"/>
  <c r="J1327" i="11"/>
  <c r="R1327" i="11"/>
  <c r="Z1327" i="11"/>
  <c r="K1324" i="11"/>
  <c r="S1324" i="11"/>
  <c r="K1327" i="11"/>
  <c r="S1327" i="11"/>
  <c r="T1278" i="11"/>
  <c r="H1259" i="11"/>
  <c r="P1259" i="11"/>
  <c r="X1259" i="11"/>
  <c r="O1262" i="11"/>
  <c r="O1264" i="11" s="1"/>
  <c r="W1262" i="11"/>
  <c r="W1264" i="11" s="1"/>
  <c r="M1278" i="11"/>
  <c r="U1278" i="11"/>
  <c r="M1281" i="11"/>
  <c r="M1283" i="11" s="1"/>
  <c r="U1281" i="11"/>
  <c r="U1283" i="11" s="1"/>
  <c r="I1259" i="11"/>
  <c r="Q1259" i="11"/>
  <c r="Y1259" i="11"/>
  <c r="H1262" i="11"/>
  <c r="P1262" i="11"/>
  <c r="X1262" i="11"/>
  <c r="N1278" i="11"/>
  <c r="V1278" i="11"/>
  <c r="N1281" i="11"/>
  <c r="V1281" i="11"/>
  <c r="J1259" i="11"/>
  <c r="R1259" i="11"/>
  <c r="Z1259" i="11"/>
  <c r="I1262" i="11"/>
  <c r="Q1262" i="11"/>
  <c r="Q1264" i="11" s="1"/>
  <c r="Y1262" i="11"/>
  <c r="Y1264" i="11" s="1"/>
  <c r="O1278" i="11"/>
  <c r="W1278" i="11"/>
  <c r="O1281" i="11"/>
  <c r="O1283" i="11" s="1"/>
  <c r="W1281" i="11"/>
  <c r="W1283" i="11" s="1"/>
  <c r="L1278" i="11"/>
  <c r="K1259" i="11"/>
  <c r="S1259" i="11"/>
  <c r="AA1259" i="11"/>
  <c r="J1262" i="11"/>
  <c r="R1262" i="11"/>
  <c r="Z1262" i="11"/>
  <c r="Z1264" i="11" s="1"/>
  <c r="H1278" i="11"/>
  <c r="P1278" i="11"/>
  <c r="X1278" i="11"/>
  <c r="H1281" i="11"/>
  <c r="P1281" i="11"/>
  <c r="P1283" i="11" s="1"/>
  <c r="X1281" i="11"/>
  <c r="L1259" i="11"/>
  <c r="T1259" i="11"/>
  <c r="K1262" i="11"/>
  <c r="K1264" i="11" s="1"/>
  <c r="S1262" i="11"/>
  <c r="AA1262" i="11"/>
  <c r="I1278" i="11"/>
  <c r="Q1278" i="11"/>
  <c r="Y1278" i="11"/>
  <c r="I1281" i="11"/>
  <c r="Q1281" i="11"/>
  <c r="Q1283" i="11" s="1"/>
  <c r="Y1281" i="11"/>
  <c r="Y1283" i="11" s="1"/>
  <c r="M1259" i="11"/>
  <c r="U1259" i="11"/>
  <c r="L1262" i="11"/>
  <c r="L1264" i="11" s="1"/>
  <c r="T1262" i="11"/>
  <c r="T1264" i="11" s="1"/>
  <c r="J1278" i="11"/>
  <c r="R1278" i="11"/>
  <c r="Z1278" i="11"/>
  <c r="J1281" i="11"/>
  <c r="J1283" i="11" s="1"/>
  <c r="R1281" i="11"/>
  <c r="Z1281" i="11"/>
  <c r="N1259" i="11"/>
  <c r="V1259" i="11"/>
  <c r="M1262" i="11"/>
  <c r="U1262" i="11"/>
  <c r="K1278" i="11"/>
  <c r="S1278" i="11"/>
  <c r="K1281" i="11"/>
  <c r="S1281" i="11"/>
  <c r="W1218" i="11"/>
  <c r="H1213" i="11"/>
  <c r="M1232" i="11"/>
  <c r="U1232" i="11"/>
  <c r="T1232" i="11"/>
  <c r="I1213" i="11"/>
  <c r="Q1213" i="11"/>
  <c r="Y1213" i="11"/>
  <c r="H1216" i="11"/>
  <c r="P1216" i="11"/>
  <c r="P1218" i="11" s="1"/>
  <c r="X1216" i="11"/>
  <c r="X1218" i="11" s="1"/>
  <c r="N1232" i="11"/>
  <c r="V1232" i="11"/>
  <c r="N1235" i="11"/>
  <c r="N1237" i="11" s="1"/>
  <c r="V1235" i="11"/>
  <c r="V1237" i="11" s="1"/>
  <c r="L1232" i="11"/>
  <c r="X1213" i="11"/>
  <c r="J1213" i="11"/>
  <c r="R1213" i="11"/>
  <c r="Z1213" i="11"/>
  <c r="I1216" i="11"/>
  <c r="I1218" i="11" s="1"/>
  <c r="Q1216" i="11"/>
  <c r="Q1218" i="11" s="1"/>
  <c r="Y1216" i="11"/>
  <c r="Y1218" i="11" s="1"/>
  <c r="O1232" i="11"/>
  <c r="W1232" i="11"/>
  <c r="O1235" i="11"/>
  <c r="O1237" i="11" s="1"/>
  <c r="W1235" i="11"/>
  <c r="W1237" i="11" s="1"/>
  <c r="P1213" i="11"/>
  <c r="K1213" i="11"/>
  <c r="S1213" i="11"/>
  <c r="AA1213" i="11"/>
  <c r="J1216" i="11"/>
  <c r="J1218" i="11" s="1"/>
  <c r="R1216" i="11"/>
  <c r="R1218" i="11" s="1"/>
  <c r="Z1216" i="11"/>
  <c r="Z1218" i="11" s="1"/>
  <c r="H1232" i="11"/>
  <c r="P1232" i="11"/>
  <c r="X1232" i="11"/>
  <c r="H1235" i="11"/>
  <c r="P1235" i="11"/>
  <c r="P1237" i="11" s="1"/>
  <c r="X1235" i="11"/>
  <c r="X1237" i="11" s="1"/>
  <c r="L1213" i="11"/>
  <c r="T1213" i="11"/>
  <c r="K1216" i="11"/>
  <c r="K1218" i="11" s="1"/>
  <c r="S1216" i="11"/>
  <c r="S1218" i="11" s="1"/>
  <c r="AA1216" i="11"/>
  <c r="AA1218" i="11" s="1"/>
  <c r="I1232" i="11"/>
  <c r="Q1232" i="11"/>
  <c r="Y1232" i="11"/>
  <c r="I1235" i="11"/>
  <c r="I1237" i="11" s="1"/>
  <c r="Q1235" i="11"/>
  <c r="Q1237" i="11" s="1"/>
  <c r="Y1235" i="11"/>
  <c r="Y1237" i="11" s="1"/>
  <c r="M1213" i="11"/>
  <c r="U1213" i="11"/>
  <c r="L1216" i="11"/>
  <c r="L1218" i="11" s="1"/>
  <c r="T1216" i="11"/>
  <c r="T1218" i="11" s="1"/>
  <c r="J1232" i="11"/>
  <c r="R1232" i="11"/>
  <c r="Z1232" i="11"/>
  <c r="J1235" i="11"/>
  <c r="J1237" i="11" s="1"/>
  <c r="R1235" i="11"/>
  <c r="R1237" i="11" s="1"/>
  <c r="Z1235" i="11"/>
  <c r="Z1237" i="11" s="1"/>
  <c r="K1232" i="11"/>
  <c r="S1232" i="11"/>
  <c r="K1235" i="11"/>
  <c r="K1237" i="11" s="1"/>
  <c r="S1235" i="11"/>
  <c r="S1237" i="11" s="1"/>
  <c r="Q1167" i="11"/>
  <c r="P1170" i="11"/>
  <c r="N1186" i="11"/>
  <c r="I1170" i="11"/>
  <c r="O1186" i="11"/>
  <c r="O1189" i="11"/>
  <c r="O1167" i="11"/>
  <c r="W1167" i="11"/>
  <c r="N1170" i="11"/>
  <c r="V1170" i="11"/>
  <c r="L1186" i="11"/>
  <c r="T1186" i="11"/>
  <c r="L1189" i="11"/>
  <c r="T1189" i="11"/>
  <c r="J1167" i="11"/>
  <c r="H1167" i="11"/>
  <c r="P1167" i="11"/>
  <c r="X1167" i="11"/>
  <c r="O1170" i="11"/>
  <c r="W1170" i="11"/>
  <c r="M1186" i="11"/>
  <c r="U1186" i="11"/>
  <c r="M1189" i="11"/>
  <c r="U1189" i="11"/>
  <c r="Y1167" i="11"/>
  <c r="X1170" i="11"/>
  <c r="V1186" i="11"/>
  <c r="N1189" i="11"/>
  <c r="Z1167" i="11"/>
  <c r="K1167" i="11"/>
  <c r="S1167" i="11"/>
  <c r="AA1167" i="11"/>
  <c r="J1170" i="11"/>
  <c r="R1170" i="11"/>
  <c r="Z1170" i="11"/>
  <c r="H1186" i="11"/>
  <c r="P1186" i="11"/>
  <c r="X1186" i="11"/>
  <c r="H1189" i="11"/>
  <c r="P1189" i="11"/>
  <c r="X1189" i="11"/>
  <c r="L1167" i="11"/>
  <c r="T1167" i="11"/>
  <c r="K1170" i="11"/>
  <c r="S1170" i="11"/>
  <c r="AA1170" i="11"/>
  <c r="D1184" i="11"/>
  <c r="I1186" i="11"/>
  <c r="Q1186" i="11"/>
  <c r="Y1186" i="11"/>
  <c r="I1189" i="11"/>
  <c r="Q1189" i="11"/>
  <c r="Y1189" i="11"/>
  <c r="Q1170" i="11"/>
  <c r="M1167" i="11"/>
  <c r="U1167" i="11"/>
  <c r="L1170" i="11"/>
  <c r="T1170" i="11"/>
  <c r="J1186" i="11"/>
  <c r="R1186" i="11"/>
  <c r="Z1186" i="11"/>
  <c r="J1189" i="11"/>
  <c r="R1189" i="11"/>
  <c r="Z1189" i="11"/>
  <c r="H1170" i="11"/>
  <c r="V1189" i="11"/>
  <c r="R1167" i="11"/>
  <c r="Y1170" i="11"/>
  <c r="W1186" i="11"/>
  <c r="W1189" i="11"/>
  <c r="N1167" i="11"/>
  <c r="V1167" i="11"/>
  <c r="M1170" i="11"/>
  <c r="U1170" i="11"/>
  <c r="K1186" i="11"/>
  <c r="S1186" i="11"/>
  <c r="K1189" i="11"/>
  <c r="S1189" i="11"/>
  <c r="Q1121" i="11"/>
  <c r="P1124" i="11"/>
  <c r="N1140" i="11"/>
  <c r="O1121" i="11"/>
  <c r="W1121" i="11"/>
  <c r="N1124" i="11"/>
  <c r="V1124" i="11"/>
  <c r="L1140" i="11"/>
  <c r="T1140" i="11"/>
  <c r="L1143" i="11"/>
  <c r="T1143" i="11"/>
  <c r="H1121" i="11"/>
  <c r="P1121" i="11"/>
  <c r="X1121" i="11"/>
  <c r="O1124" i="11"/>
  <c r="W1124" i="11"/>
  <c r="M1140" i="11"/>
  <c r="U1140" i="11"/>
  <c r="M1143" i="11"/>
  <c r="U1143" i="11"/>
  <c r="X1124" i="11"/>
  <c r="V1140" i="11"/>
  <c r="J1121" i="11"/>
  <c r="R1121" i="11"/>
  <c r="Z1121" i="11"/>
  <c r="I1124" i="11"/>
  <c r="Q1124" i="11"/>
  <c r="Y1124" i="11"/>
  <c r="O1140" i="11"/>
  <c r="W1140" i="11"/>
  <c r="O1143" i="11"/>
  <c r="W1143" i="11"/>
  <c r="Y1121" i="11"/>
  <c r="K1121" i="11"/>
  <c r="S1121" i="11"/>
  <c r="AA1121" i="11"/>
  <c r="J1124" i="11"/>
  <c r="R1124" i="11"/>
  <c r="Z1124" i="11"/>
  <c r="H1140" i="11"/>
  <c r="P1140" i="11"/>
  <c r="X1140" i="11"/>
  <c r="H1143" i="11"/>
  <c r="P1143" i="11"/>
  <c r="X1143" i="11"/>
  <c r="H1124" i="11"/>
  <c r="N1143" i="11"/>
  <c r="V1143" i="11"/>
  <c r="L1121" i="11"/>
  <c r="T1121" i="11"/>
  <c r="K1124" i="11"/>
  <c r="S1124" i="11"/>
  <c r="AA1124" i="11"/>
  <c r="I1140" i="11"/>
  <c r="Q1140" i="11"/>
  <c r="Y1140" i="11"/>
  <c r="I1143" i="11"/>
  <c r="Q1143" i="11"/>
  <c r="Y1143" i="11"/>
  <c r="I1121" i="11"/>
  <c r="M1121" i="11"/>
  <c r="U1121" i="11"/>
  <c r="L1124" i="11"/>
  <c r="T1124" i="11"/>
  <c r="J1140" i="11"/>
  <c r="R1140" i="11"/>
  <c r="Z1140" i="11"/>
  <c r="J1143" i="11"/>
  <c r="R1143" i="11"/>
  <c r="Z1143" i="11"/>
  <c r="N1121" i="11"/>
  <c r="V1121" i="11"/>
  <c r="M1124" i="11"/>
  <c r="U1124" i="11"/>
  <c r="K1140" i="11"/>
  <c r="S1140" i="11"/>
  <c r="K1143" i="11"/>
  <c r="S1143" i="11"/>
  <c r="L1099" i="11"/>
  <c r="H1075" i="11"/>
  <c r="P1075" i="11"/>
  <c r="X1075" i="11"/>
  <c r="O1078" i="11"/>
  <c r="W1078" i="11"/>
  <c r="M1094" i="11"/>
  <c r="U1094" i="11"/>
  <c r="M1097" i="11"/>
  <c r="M1099" i="11" s="1"/>
  <c r="U1097" i="11"/>
  <c r="I1075" i="11"/>
  <c r="Q1075" i="11"/>
  <c r="Y1075" i="11"/>
  <c r="H1078" i="11"/>
  <c r="P1078" i="11"/>
  <c r="X1078" i="11"/>
  <c r="N1094" i="11"/>
  <c r="V1094" i="11"/>
  <c r="N1097" i="11"/>
  <c r="V1097" i="11"/>
  <c r="J1075" i="11"/>
  <c r="R1075" i="11"/>
  <c r="Z1075" i="11"/>
  <c r="I1078" i="11"/>
  <c r="Q1078" i="11"/>
  <c r="Q1080" i="11" s="1"/>
  <c r="Y1078" i="11"/>
  <c r="O1094" i="11"/>
  <c r="W1094" i="11"/>
  <c r="O1097" i="11"/>
  <c r="W1097" i="11"/>
  <c r="L1094" i="11"/>
  <c r="K1075" i="11"/>
  <c r="S1075" i="11"/>
  <c r="AA1075" i="11"/>
  <c r="J1078" i="11"/>
  <c r="R1078" i="11"/>
  <c r="Z1078" i="11"/>
  <c r="H1094" i="11"/>
  <c r="P1094" i="11"/>
  <c r="X1094" i="11"/>
  <c r="H1097" i="11"/>
  <c r="P1097" i="11"/>
  <c r="X1097" i="11"/>
  <c r="L1075" i="11"/>
  <c r="T1075" i="11"/>
  <c r="K1078" i="11"/>
  <c r="S1078" i="11"/>
  <c r="AA1078" i="11"/>
  <c r="I1094" i="11"/>
  <c r="Q1094" i="11"/>
  <c r="Y1094" i="11"/>
  <c r="I1097" i="11"/>
  <c r="Q1097" i="11"/>
  <c r="Y1097" i="11"/>
  <c r="M1075" i="11"/>
  <c r="U1075" i="11"/>
  <c r="L1078" i="11"/>
  <c r="T1078" i="11"/>
  <c r="J1094" i="11"/>
  <c r="R1094" i="11"/>
  <c r="Z1094" i="11"/>
  <c r="J1097" i="11"/>
  <c r="R1097" i="11"/>
  <c r="Z1097" i="11"/>
  <c r="Z1099" i="11" s="1"/>
  <c r="T1094" i="11"/>
  <c r="N1075" i="11"/>
  <c r="V1075" i="11"/>
  <c r="M1078" i="11"/>
  <c r="U1078" i="11"/>
  <c r="K1094" i="11"/>
  <c r="S1094" i="11"/>
  <c r="K1097" i="11"/>
  <c r="K1099" i="11" s="1"/>
  <c r="S1097" i="11"/>
  <c r="H1029" i="11"/>
  <c r="P1029" i="11"/>
  <c r="X1029" i="11"/>
  <c r="O1032" i="11"/>
  <c r="W1032" i="11"/>
  <c r="M1048" i="11"/>
  <c r="U1048" i="11"/>
  <c r="M1051" i="11"/>
  <c r="U1051" i="11"/>
  <c r="I1029" i="11"/>
  <c r="Q1029" i="11"/>
  <c r="Y1029" i="11"/>
  <c r="H1032" i="11"/>
  <c r="P1032" i="11"/>
  <c r="X1032" i="11"/>
  <c r="N1048" i="11"/>
  <c r="V1048" i="11"/>
  <c r="N1051" i="11"/>
  <c r="V1051" i="11"/>
  <c r="L1048" i="11"/>
  <c r="J1029" i="11"/>
  <c r="R1029" i="11"/>
  <c r="Z1029" i="11"/>
  <c r="I1032" i="11"/>
  <c r="Q1032" i="11"/>
  <c r="Y1032" i="11"/>
  <c r="O1048" i="11"/>
  <c r="W1048" i="11"/>
  <c r="O1051" i="11"/>
  <c r="W1051" i="11"/>
  <c r="K1029" i="11"/>
  <c r="S1029" i="11"/>
  <c r="AA1029" i="11"/>
  <c r="J1032" i="11"/>
  <c r="R1032" i="11"/>
  <c r="Z1032" i="11"/>
  <c r="H1048" i="11"/>
  <c r="P1048" i="11"/>
  <c r="X1048" i="11"/>
  <c r="H1051" i="11"/>
  <c r="P1051" i="11"/>
  <c r="X1051" i="11"/>
  <c r="L1029" i="11"/>
  <c r="T1029" i="11"/>
  <c r="K1032" i="11"/>
  <c r="S1032" i="11"/>
  <c r="AA1032" i="11"/>
  <c r="I1048" i="11"/>
  <c r="Q1048" i="11"/>
  <c r="Y1048" i="11"/>
  <c r="I1051" i="11"/>
  <c r="Q1051" i="11"/>
  <c r="Y1051" i="11"/>
  <c r="M1029" i="11"/>
  <c r="U1029" i="11"/>
  <c r="L1032" i="11"/>
  <c r="L1034" i="11" s="1"/>
  <c r="T1032" i="11"/>
  <c r="J1048" i="11"/>
  <c r="R1048" i="11"/>
  <c r="Z1048" i="11"/>
  <c r="J1051" i="11"/>
  <c r="R1051" i="11"/>
  <c r="Z1051" i="11"/>
  <c r="T1048" i="11"/>
  <c r="N1029" i="11"/>
  <c r="V1029" i="11"/>
  <c r="M1032" i="11"/>
  <c r="U1032" i="11"/>
  <c r="K1048" i="11"/>
  <c r="S1048" i="11"/>
  <c r="K1051" i="11"/>
  <c r="S1051" i="11"/>
  <c r="S1053" i="11" s="1"/>
  <c r="L1002" i="11"/>
  <c r="T1002" i="11"/>
  <c r="L1005" i="11"/>
  <c r="T1005" i="11"/>
  <c r="H983" i="11"/>
  <c r="P983" i="11"/>
  <c r="X983" i="11"/>
  <c r="O986" i="11"/>
  <c r="W986" i="11"/>
  <c r="M1002" i="11"/>
  <c r="U1002" i="11"/>
  <c r="M1005" i="11"/>
  <c r="U1005" i="11"/>
  <c r="I983" i="11"/>
  <c r="Q983" i="11"/>
  <c r="Y983" i="11"/>
  <c r="H986" i="11"/>
  <c r="P986" i="11"/>
  <c r="X986" i="11"/>
  <c r="N1002" i="11"/>
  <c r="V1002" i="11"/>
  <c r="N1005" i="11"/>
  <c r="V1005" i="11"/>
  <c r="O1002" i="11"/>
  <c r="W1002" i="11"/>
  <c r="O1005" i="11"/>
  <c r="W1005" i="11"/>
  <c r="K983" i="11"/>
  <c r="S983" i="11"/>
  <c r="AA983" i="11"/>
  <c r="J986" i="11"/>
  <c r="R986" i="11"/>
  <c r="Z986" i="11"/>
  <c r="H1002" i="11"/>
  <c r="P1002" i="11"/>
  <c r="X1002" i="11"/>
  <c r="H1005" i="11"/>
  <c r="P1005" i="11"/>
  <c r="X1005" i="11"/>
  <c r="L983" i="11"/>
  <c r="T983" i="11"/>
  <c r="K986" i="11"/>
  <c r="S986" i="11"/>
  <c r="AA986" i="11"/>
  <c r="I1002" i="11"/>
  <c r="Q1002" i="11"/>
  <c r="Y1002" i="11"/>
  <c r="I1005" i="11"/>
  <c r="Q1005" i="11"/>
  <c r="Y1005" i="11"/>
  <c r="M983" i="11"/>
  <c r="U983" i="11"/>
  <c r="L986" i="11"/>
  <c r="T986" i="11"/>
  <c r="J1002" i="11"/>
  <c r="R1002" i="11"/>
  <c r="Z1002" i="11"/>
  <c r="J1005" i="11"/>
  <c r="R1005" i="11"/>
  <c r="Z1005" i="11"/>
  <c r="N983" i="11"/>
  <c r="V983" i="11"/>
  <c r="M986" i="11"/>
  <c r="U986" i="11"/>
  <c r="K1002" i="11"/>
  <c r="S1002" i="11"/>
  <c r="K1005" i="11"/>
  <c r="S1005" i="11"/>
  <c r="L956" i="11"/>
  <c r="T956" i="11"/>
  <c r="L959" i="11"/>
  <c r="L961" i="11" s="1"/>
  <c r="T959" i="11"/>
  <c r="H937" i="11"/>
  <c r="P937" i="11"/>
  <c r="X937" i="11"/>
  <c r="O940" i="11"/>
  <c r="W940" i="11"/>
  <c r="M956" i="11"/>
  <c r="U956" i="11"/>
  <c r="M959" i="11"/>
  <c r="U959" i="11"/>
  <c r="Q937" i="11"/>
  <c r="X940" i="11"/>
  <c r="J937" i="11"/>
  <c r="R937" i="11"/>
  <c r="Z937" i="11"/>
  <c r="I940" i="11"/>
  <c r="I942" i="11" s="1"/>
  <c r="Q940" i="11"/>
  <c r="Y940" i="11"/>
  <c r="O956" i="11"/>
  <c r="W956" i="11"/>
  <c r="O959" i="11"/>
  <c r="W959" i="11"/>
  <c r="I937" i="11"/>
  <c r="Y937" i="11"/>
  <c r="N956" i="11"/>
  <c r="N959" i="11"/>
  <c r="V959" i="11"/>
  <c r="K937" i="11"/>
  <c r="S937" i="11"/>
  <c r="AA937" i="11"/>
  <c r="J940" i="11"/>
  <c r="J942" i="11" s="1"/>
  <c r="R940" i="11"/>
  <c r="R942" i="11" s="1"/>
  <c r="Z940" i="11"/>
  <c r="H956" i="11"/>
  <c r="P956" i="11"/>
  <c r="X956" i="11"/>
  <c r="H959" i="11"/>
  <c r="P959" i="11"/>
  <c r="X959" i="11"/>
  <c r="X961" i="11" s="1"/>
  <c r="H940" i="11"/>
  <c r="V956" i="11"/>
  <c r="L937" i="11"/>
  <c r="T937" i="11"/>
  <c r="K940" i="11"/>
  <c r="S940" i="11"/>
  <c r="AA940" i="11"/>
  <c r="I956" i="11"/>
  <c r="Q956" i="11"/>
  <c r="Y956" i="11"/>
  <c r="I959" i="11"/>
  <c r="Q959" i="11"/>
  <c r="Y959" i="11"/>
  <c r="M937" i="11"/>
  <c r="U937" i="11"/>
  <c r="L940" i="11"/>
  <c r="L942" i="11" s="1"/>
  <c r="T940" i="11"/>
  <c r="J956" i="11"/>
  <c r="R956" i="11"/>
  <c r="Z956" i="11"/>
  <c r="J959" i="11"/>
  <c r="R959" i="11"/>
  <c r="Z959" i="11"/>
  <c r="P940" i="11"/>
  <c r="P942" i="11" s="1"/>
  <c r="N937" i="11"/>
  <c r="V937" i="11"/>
  <c r="M940" i="11"/>
  <c r="U940" i="11"/>
  <c r="K956" i="11"/>
  <c r="S956" i="11"/>
  <c r="K959" i="11"/>
  <c r="S959" i="11"/>
  <c r="S961" i="11" s="1"/>
  <c r="H894" i="11"/>
  <c r="O891" i="11"/>
  <c r="W891" i="11"/>
  <c r="N894" i="11"/>
  <c r="V894" i="11"/>
  <c r="L910" i="11"/>
  <c r="T910" i="11"/>
  <c r="L913" i="11"/>
  <c r="T913" i="11"/>
  <c r="P894" i="11"/>
  <c r="N910" i="11"/>
  <c r="H891" i="11"/>
  <c r="P891" i="11"/>
  <c r="X891" i="11"/>
  <c r="O894" i="11"/>
  <c r="W894" i="11"/>
  <c r="M910" i="11"/>
  <c r="U910" i="11"/>
  <c r="M913" i="11"/>
  <c r="U913" i="11"/>
  <c r="Y891" i="11"/>
  <c r="N913" i="11"/>
  <c r="J891" i="11"/>
  <c r="R891" i="11"/>
  <c r="Z891" i="11"/>
  <c r="I894" i="11"/>
  <c r="Q894" i="11"/>
  <c r="Y894" i="11"/>
  <c r="O910" i="11"/>
  <c r="W910" i="11"/>
  <c r="O913" i="11"/>
  <c r="W913" i="11"/>
  <c r="Q891" i="11"/>
  <c r="V910" i="11"/>
  <c r="V913" i="11"/>
  <c r="K891" i="11"/>
  <c r="S891" i="11"/>
  <c r="AA891" i="11"/>
  <c r="J894" i="11"/>
  <c r="R894" i="11"/>
  <c r="Z894" i="11"/>
  <c r="H910" i="11"/>
  <c r="P910" i="11"/>
  <c r="X910" i="11"/>
  <c r="H913" i="11"/>
  <c r="P913" i="11"/>
  <c r="X913" i="11"/>
  <c r="X894" i="11"/>
  <c r="L891" i="11"/>
  <c r="T891" i="11"/>
  <c r="K894" i="11"/>
  <c r="S894" i="11"/>
  <c r="AA894" i="11"/>
  <c r="I910" i="11"/>
  <c r="Q910" i="11"/>
  <c r="Y910" i="11"/>
  <c r="I913" i="11"/>
  <c r="Q913" i="11"/>
  <c r="Y913" i="11"/>
  <c r="M891" i="11"/>
  <c r="U891" i="11"/>
  <c r="L894" i="11"/>
  <c r="T894" i="11"/>
  <c r="J910" i="11"/>
  <c r="R910" i="11"/>
  <c r="Z910" i="11"/>
  <c r="J913" i="11"/>
  <c r="R913" i="11"/>
  <c r="Z913" i="11"/>
  <c r="I891" i="11"/>
  <c r="N891" i="11"/>
  <c r="V891" i="11"/>
  <c r="M894" i="11"/>
  <c r="U894" i="11"/>
  <c r="K910" i="11"/>
  <c r="S910" i="11"/>
  <c r="K913" i="11"/>
  <c r="S913" i="11"/>
  <c r="Q845" i="11"/>
  <c r="V864" i="11"/>
  <c r="AA845" i="11"/>
  <c r="R848" i="11"/>
  <c r="R850" i="11" s="1"/>
  <c r="H864" i="11"/>
  <c r="X864" i="11"/>
  <c r="O845" i="11"/>
  <c r="W845" i="11"/>
  <c r="N848" i="11"/>
  <c r="V848" i="11"/>
  <c r="L864" i="11"/>
  <c r="T864" i="11"/>
  <c r="L867" i="11"/>
  <c r="T867" i="11"/>
  <c r="P867" i="11"/>
  <c r="P869" i="11" s="1"/>
  <c r="H845" i="11"/>
  <c r="P845" i="11"/>
  <c r="X845" i="11"/>
  <c r="O848" i="11"/>
  <c r="O850" i="11" s="1"/>
  <c r="W848" i="11"/>
  <c r="W850" i="11" s="1"/>
  <c r="M864" i="11"/>
  <c r="U864" i="11"/>
  <c r="M867" i="11"/>
  <c r="M869" i="11" s="1"/>
  <c r="U867" i="11"/>
  <c r="U869" i="11" s="1"/>
  <c r="I845" i="11"/>
  <c r="H848" i="11"/>
  <c r="N867" i="11"/>
  <c r="N869" i="11" s="1"/>
  <c r="V867" i="11"/>
  <c r="V869" i="11" s="1"/>
  <c r="J845" i="11"/>
  <c r="R845" i="11"/>
  <c r="Z845" i="11"/>
  <c r="I848" i="11"/>
  <c r="I850" i="11" s="1"/>
  <c r="Q848" i="11"/>
  <c r="Y848" i="11"/>
  <c r="O864" i="11"/>
  <c r="W864" i="11"/>
  <c r="O867" i="11"/>
  <c r="W867" i="11"/>
  <c r="P848" i="11"/>
  <c r="P850" i="11" s="1"/>
  <c r="N864" i="11"/>
  <c r="K845" i="11"/>
  <c r="J848" i="11"/>
  <c r="P864" i="11"/>
  <c r="H867" i="11"/>
  <c r="L845" i="11"/>
  <c r="T845" i="11"/>
  <c r="K848" i="11"/>
  <c r="K850" i="11" s="1"/>
  <c r="S848" i="11"/>
  <c r="S850" i="11" s="1"/>
  <c r="AA848" i="11"/>
  <c r="I864" i="11"/>
  <c r="Q864" i="11"/>
  <c r="Y864" i="11"/>
  <c r="I867" i="11"/>
  <c r="Q867" i="11"/>
  <c r="Y867" i="11"/>
  <c r="Y869" i="11" s="1"/>
  <c r="Y845" i="11"/>
  <c r="S845" i="11"/>
  <c r="Z848" i="11"/>
  <c r="M845" i="11"/>
  <c r="U845" i="11"/>
  <c r="L848" i="11"/>
  <c r="T848" i="11"/>
  <c r="J864" i="11"/>
  <c r="R864" i="11"/>
  <c r="J867" i="11"/>
  <c r="J869" i="11" s="1"/>
  <c r="R867" i="11"/>
  <c r="Z867" i="11"/>
  <c r="Z869" i="11" s="1"/>
  <c r="X867" i="11"/>
  <c r="X869" i="11" s="1"/>
  <c r="N845" i="11"/>
  <c r="V845" i="11"/>
  <c r="M848" i="11"/>
  <c r="M850" i="11" s="1"/>
  <c r="U848" i="11"/>
  <c r="U850" i="11" s="1"/>
  <c r="K864" i="11"/>
  <c r="S864" i="11"/>
  <c r="AA864" i="11"/>
  <c r="K867" i="11"/>
  <c r="K869" i="11" s="1"/>
  <c r="S867" i="11"/>
  <c r="T818" i="11"/>
  <c r="H799" i="11"/>
  <c r="P799" i="11"/>
  <c r="X799" i="11"/>
  <c r="O802" i="11"/>
  <c r="W802" i="11"/>
  <c r="M818" i="11"/>
  <c r="U818" i="11"/>
  <c r="M821" i="11"/>
  <c r="U821" i="11"/>
  <c r="I799" i="11"/>
  <c r="Q799" i="11"/>
  <c r="Y799" i="11"/>
  <c r="H802" i="11"/>
  <c r="P802" i="11"/>
  <c r="X802" i="11"/>
  <c r="N818" i="11"/>
  <c r="V818" i="11"/>
  <c r="N821" i="11"/>
  <c r="V821" i="11"/>
  <c r="J799" i="11"/>
  <c r="R799" i="11"/>
  <c r="Z799" i="11"/>
  <c r="I802" i="11"/>
  <c r="Q802" i="11"/>
  <c r="Y802" i="11"/>
  <c r="O818" i="11"/>
  <c r="W818" i="11"/>
  <c r="O821" i="11"/>
  <c r="W821" i="11"/>
  <c r="K799" i="11"/>
  <c r="S799" i="11"/>
  <c r="AA799" i="11"/>
  <c r="J802" i="11"/>
  <c r="R802" i="11"/>
  <c r="Z802" i="11"/>
  <c r="H818" i="11"/>
  <c r="P818" i="11"/>
  <c r="X818" i="11"/>
  <c r="H821" i="11"/>
  <c r="P821" i="11"/>
  <c r="X821" i="11"/>
  <c r="L818" i="11"/>
  <c r="L799" i="11"/>
  <c r="T799" i="11"/>
  <c r="K802" i="11"/>
  <c r="S802" i="11"/>
  <c r="AA802" i="11"/>
  <c r="I818" i="11"/>
  <c r="Q818" i="11"/>
  <c r="Y818" i="11"/>
  <c r="I821" i="11"/>
  <c r="Q821" i="11"/>
  <c r="Y821" i="11"/>
  <c r="M799" i="11"/>
  <c r="U799" i="11"/>
  <c r="L802" i="11"/>
  <c r="T802" i="11"/>
  <c r="J818" i="11"/>
  <c r="R818" i="11"/>
  <c r="Z818" i="11"/>
  <c r="J821" i="11"/>
  <c r="R821" i="11"/>
  <c r="Z821" i="11"/>
  <c r="N799" i="11"/>
  <c r="V799" i="11"/>
  <c r="M802" i="11"/>
  <c r="U802" i="11"/>
  <c r="K818" i="11"/>
  <c r="S818" i="11"/>
  <c r="K821" i="11"/>
  <c r="S821" i="11"/>
  <c r="X756" i="11"/>
  <c r="O753" i="11"/>
  <c r="W753" i="11"/>
  <c r="N756" i="11"/>
  <c r="V756" i="11"/>
  <c r="L772" i="11"/>
  <c r="T772" i="11"/>
  <c r="L775" i="11"/>
  <c r="T775" i="11"/>
  <c r="I753" i="11"/>
  <c r="H753" i="11"/>
  <c r="P753" i="11"/>
  <c r="X753" i="11"/>
  <c r="O756" i="11"/>
  <c r="W756" i="11"/>
  <c r="M772" i="11"/>
  <c r="U772" i="11"/>
  <c r="M775" i="11"/>
  <c r="U775" i="11"/>
  <c r="U777" i="11" s="1"/>
  <c r="J753" i="11"/>
  <c r="R753" i="11"/>
  <c r="Z753" i="11"/>
  <c r="I756" i="11"/>
  <c r="Q756" i="11"/>
  <c r="Y756" i="11"/>
  <c r="O772" i="11"/>
  <c r="W772" i="11"/>
  <c r="O775" i="11"/>
  <c r="W775" i="11"/>
  <c r="Y753" i="11"/>
  <c r="N772" i="11"/>
  <c r="V775" i="11"/>
  <c r="K753" i="11"/>
  <c r="S753" i="11"/>
  <c r="AA753" i="11"/>
  <c r="J756" i="11"/>
  <c r="R756" i="11"/>
  <c r="Z756" i="11"/>
  <c r="H772" i="11"/>
  <c r="P772" i="11"/>
  <c r="X772" i="11"/>
  <c r="H775" i="11"/>
  <c r="P775" i="11"/>
  <c r="P777" i="11" s="1"/>
  <c r="X775" i="11"/>
  <c r="Q753" i="11"/>
  <c r="N775" i="11"/>
  <c r="N777" i="11" s="1"/>
  <c r="L753" i="11"/>
  <c r="T753" i="11"/>
  <c r="K756" i="11"/>
  <c r="S756" i="11"/>
  <c r="AA756" i="11"/>
  <c r="AA758" i="11" s="1"/>
  <c r="D770" i="11"/>
  <c r="AA773" i="11" s="1"/>
  <c r="I772" i="11"/>
  <c r="Q772" i="11"/>
  <c r="Y772" i="11"/>
  <c r="I775" i="11"/>
  <c r="Q775" i="11"/>
  <c r="Y775" i="11"/>
  <c r="P756" i="11"/>
  <c r="P758" i="11" s="1"/>
  <c r="M753" i="11"/>
  <c r="U753" i="11"/>
  <c r="L756" i="11"/>
  <c r="L758" i="11" s="1"/>
  <c r="T756" i="11"/>
  <c r="T758" i="11" s="1"/>
  <c r="J772" i="11"/>
  <c r="R772" i="11"/>
  <c r="Z772" i="11"/>
  <c r="J775" i="11"/>
  <c r="J777" i="11" s="1"/>
  <c r="R775" i="11"/>
  <c r="Z775" i="11"/>
  <c r="H756" i="11"/>
  <c r="V772" i="11"/>
  <c r="N753" i="11"/>
  <c r="V753" i="11"/>
  <c r="M756" i="11"/>
  <c r="U756" i="11"/>
  <c r="U758" i="11" s="1"/>
  <c r="K772" i="11"/>
  <c r="S772" i="11"/>
  <c r="K775" i="11"/>
  <c r="K777" i="11" s="1"/>
  <c r="S775" i="11"/>
  <c r="S777" i="11" s="1"/>
  <c r="I707" i="11"/>
  <c r="H710" i="11"/>
  <c r="N729" i="11"/>
  <c r="Z707" i="11"/>
  <c r="O726" i="11"/>
  <c r="W729" i="11"/>
  <c r="Q729" i="11"/>
  <c r="O707" i="11"/>
  <c r="W707" i="11"/>
  <c r="N710" i="11"/>
  <c r="V710" i="11"/>
  <c r="L726" i="11"/>
  <c r="T726" i="11"/>
  <c r="L729" i="11"/>
  <c r="T729" i="11"/>
  <c r="Y726" i="11"/>
  <c r="H707" i="11"/>
  <c r="P707" i="11"/>
  <c r="X707" i="11"/>
  <c r="O710" i="11"/>
  <c r="W710" i="11"/>
  <c r="W712" i="11" s="1"/>
  <c r="M726" i="11"/>
  <c r="U726" i="11"/>
  <c r="M729" i="11"/>
  <c r="U729" i="11"/>
  <c r="Q707" i="11"/>
  <c r="P710" i="11"/>
  <c r="N726" i="11"/>
  <c r="V729" i="11"/>
  <c r="V731" i="11" s="1"/>
  <c r="J707" i="11"/>
  <c r="Q710" i="11"/>
  <c r="K707" i="11"/>
  <c r="S707" i="11"/>
  <c r="AA707" i="11"/>
  <c r="J710" i="11"/>
  <c r="R710" i="11"/>
  <c r="Z710" i="11"/>
  <c r="Z712" i="11" s="1"/>
  <c r="H726" i="11"/>
  <c r="P726" i="11"/>
  <c r="X726" i="11"/>
  <c r="H729" i="11"/>
  <c r="P729" i="11"/>
  <c r="X729" i="11"/>
  <c r="L707" i="11"/>
  <c r="AA710" i="11"/>
  <c r="AA712" i="11" s="1"/>
  <c r="D724" i="11"/>
  <c r="AA727" i="11" s="1"/>
  <c r="I726" i="11"/>
  <c r="Q726" i="11"/>
  <c r="Y707" i="11"/>
  <c r="X710" i="11"/>
  <c r="V726" i="11"/>
  <c r="R707" i="11"/>
  <c r="Y710" i="11"/>
  <c r="Y712" i="11" s="1"/>
  <c r="W726" i="11"/>
  <c r="O729" i="11"/>
  <c r="T707" i="11"/>
  <c r="K710" i="11"/>
  <c r="Y729" i="11"/>
  <c r="M707" i="11"/>
  <c r="U707" i="11"/>
  <c r="L710" i="11"/>
  <c r="L712" i="11" s="1"/>
  <c r="T710" i="11"/>
  <c r="J726" i="11"/>
  <c r="R726" i="11"/>
  <c r="Z726" i="11"/>
  <c r="J729" i="11"/>
  <c r="R729" i="11"/>
  <c r="Z729" i="11"/>
  <c r="I710" i="11"/>
  <c r="I712" i="11" s="1"/>
  <c r="S710" i="11"/>
  <c r="I729" i="11"/>
  <c r="N707" i="11"/>
  <c r="V707" i="11"/>
  <c r="M710" i="11"/>
  <c r="U710" i="11"/>
  <c r="K726" i="11"/>
  <c r="S726" i="11"/>
  <c r="K729" i="11"/>
  <c r="S729" i="11"/>
  <c r="P664" i="11"/>
  <c r="O661" i="11"/>
  <c r="W661" i="11"/>
  <c r="N664" i="11"/>
  <c r="V664" i="11"/>
  <c r="L680" i="11"/>
  <c r="T680" i="11"/>
  <c r="L683" i="11"/>
  <c r="T683" i="11"/>
  <c r="X664" i="11"/>
  <c r="H661" i="11"/>
  <c r="P661" i="11"/>
  <c r="X661" i="11"/>
  <c r="O664" i="11"/>
  <c r="W664" i="11"/>
  <c r="M680" i="11"/>
  <c r="U680" i="11"/>
  <c r="M683" i="11"/>
  <c r="U683" i="11"/>
  <c r="Q661" i="11"/>
  <c r="N680" i="11"/>
  <c r="N683" i="11"/>
  <c r="J661" i="11"/>
  <c r="R661" i="11"/>
  <c r="Z661" i="11"/>
  <c r="I664" i="11"/>
  <c r="Q664" i="11"/>
  <c r="Y664" i="11"/>
  <c r="O680" i="11"/>
  <c r="W680" i="11"/>
  <c r="O683" i="11"/>
  <c r="W683" i="11"/>
  <c r="I661" i="11"/>
  <c r="V680" i="11"/>
  <c r="V683" i="11"/>
  <c r="K661" i="11"/>
  <c r="S661" i="11"/>
  <c r="AA661" i="11"/>
  <c r="J664" i="11"/>
  <c r="R664" i="11"/>
  <c r="Z664" i="11"/>
  <c r="H680" i="11"/>
  <c r="P680" i="11"/>
  <c r="X680" i="11"/>
  <c r="H683" i="11"/>
  <c r="P683" i="11"/>
  <c r="X683" i="11"/>
  <c r="L661" i="11"/>
  <c r="T661" i="11"/>
  <c r="K664" i="11"/>
  <c r="S664" i="11"/>
  <c r="AA664" i="11"/>
  <c r="I680" i="11"/>
  <c r="Q680" i="11"/>
  <c r="Y680" i="11"/>
  <c r="I683" i="11"/>
  <c r="Q683" i="11"/>
  <c r="Y683" i="11"/>
  <c r="H664" i="11"/>
  <c r="M661" i="11"/>
  <c r="U661" i="11"/>
  <c r="L664" i="11"/>
  <c r="T664" i="11"/>
  <c r="J680" i="11"/>
  <c r="R680" i="11"/>
  <c r="Z680" i="11"/>
  <c r="J683" i="11"/>
  <c r="R683" i="11"/>
  <c r="Z683" i="11"/>
  <c r="Y661" i="11"/>
  <c r="N661" i="11"/>
  <c r="V661" i="11"/>
  <c r="M664" i="11"/>
  <c r="U664" i="11"/>
  <c r="K680" i="11"/>
  <c r="S680" i="11"/>
  <c r="K683" i="11"/>
  <c r="S683" i="11"/>
  <c r="L634" i="11"/>
  <c r="T634" i="11"/>
  <c r="L637" i="11"/>
  <c r="T637" i="11"/>
  <c r="H615" i="11"/>
  <c r="P615" i="11"/>
  <c r="X615" i="11"/>
  <c r="O618" i="11"/>
  <c r="O620" i="11" s="1"/>
  <c r="W618" i="11"/>
  <c r="M634" i="11"/>
  <c r="U634" i="11"/>
  <c r="M637" i="11"/>
  <c r="U637" i="11"/>
  <c r="Q615" i="11"/>
  <c r="P618" i="11"/>
  <c r="N634" i="11"/>
  <c r="V634" i="11"/>
  <c r="V637" i="11"/>
  <c r="J615" i="11"/>
  <c r="R615" i="11"/>
  <c r="Z615" i="11"/>
  <c r="I618" i="11"/>
  <c r="Q618" i="11"/>
  <c r="Y618" i="11"/>
  <c r="Y620" i="11" s="1"/>
  <c r="O634" i="11"/>
  <c r="W634" i="11"/>
  <c r="O637" i="11"/>
  <c r="W637" i="11"/>
  <c r="I615" i="11"/>
  <c r="Y615" i="11"/>
  <c r="N637" i="11"/>
  <c r="K615" i="11"/>
  <c r="S615" i="11"/>
  <c r="AA615" i="11"/>
  <c r="J618" i="11"/>
  <c r="R618" i="11"/>
  <c r="Z618" i="11"/>
  <c r="H634" i="11"/>
  <c r="P634" i="11"/>
  <c r="X634" i="11"/>
  <c r="H637" i="11"/>
  <c r="P637" i="11"/>
  <c r="X637" i="11"/>
  <c r="L615" i="11"/>
  <c r="T615" i="11"/>
  <c r="K618" i="11"/>
  <c r="S618" i="11"/>
  <c r="AA618" i="11"/>
  <c r="AA620" i="11" s="1"/>
  <c r="D632" i="11"/>
  <c r="I634" i="11"/>
  <c r="Q634" i="11"/>
  <c r="Y634" i="11"/>
  <c r="I637" i="11"/>
  <c r="Q637" i="11"/>
  <c r="Y637" i="11"/>
  <c r="X618" i="11"/>
  <c r="X620" i="11" s="1"/>
  <c r="M615" i="11"/>
  <c r="U615" i="11"/>
  <c r="L618" i="11"/>
  <c r="T618" i="11"/>
  <c r="J634" i="11"/>
  <c r="R634" i="11"/>
  <c r="Z634" i="11"/>
  <c r="J637" i="11"/>
  <c r="J639" i="11" s="1"/>
  <c r="R637" i="11"/>
  <c r="Z637" i="11"/>
  <c r="H618" i="11"/>
  <c r="N615" i="11"/>
  <c r="V615" i="11"/>
  <c r="M618" i="11"/>
  <c r="U618" i="11"/>
  <c r="K634" i="11"/>
  <c r="S634" i="11"/>
  <c r="K637" i="11"/>
  <c r="S637" i="11"/>
  <c r="P569" i="11"/>
  <c r="X569" i="11"/>
  <c r="M588" i="11"/>
  <c r="U588" i="11"/>
  <c r="M591" i="11"/>
  <c r="U591" i="11"/>
  <c r="I569" i="11"/>
  <c r="Q569" i="11"/>
  <c r="Y569" i="11"/>
  <c r="H572" i="11"/>
  <c r="P572" i="11"/>
  <c r="X572" i="11"/>
  <c r="X574" i="11" s="1"/>
  <c r="N588" i="11"/>
  <c r="V588" i="11"/>
  <c r="N591" i="11"/>
  <c r="V591" i="11"/>
  <c r="L588" i="11"/>
  <c r="T588" i="11"/>
  <c r="J569" i="11"/>
  <c r="R569" i="11"/>
  <c r="Z569" i="11"/>
  <c r="I572" i="11"/>
  <c r="Q572" i="11"/>
  <c r="Y572" i="11"/>
  <c r="O588" i="11"/>
  <c r="W588" i="11"/>
  <c r="O591" i="11"/>
  <c r="W591" i="11"/>
  <c r="W593" i="11" s="1"/>
  <c r="H569" i="11"/>
  <c r="K569" i="11"/>
  <c r="S569" i="11"/>
  <c r="AA569" i="11"/>
  <c r="J572" i="11"/>
  <c r="R572" i="11"/>
  <c r="Z572" i="11"/>
  <c r="H588" i="11"/>
  <c r="P588" i="11"/>
  <c r="X588" i="11"/>
  <c r="H591" i="11"/>
  <c r="P591" i="11"/>
  <c r="X591" i="11"/>
  <c r="L569" i="11"/>
  <c r="T569" i="11"/>
  <c r="K572" i="11"/>
  <c r="K574" i="11" s="1"/>
  <c r="S572" i="11"/>
  <c r="AA572" i="11"/>
  <c r="I588" i="11"/>
  <c r="Q588" i="11"/>
  <c r="Y588" i="11"/>
  <c r="I591" i="11"/>
  <c r="Q591" i="11"/>
  <c r="Y591" i="11"/>
  <c r="M569" i="11"/>
  <c r="U569" i="11"/>
  <c r="L572" i="11"/>
  <c r="T572" i="11"/>
  <c r="J588" i="11"/>
  <c r="R588" i="11"/>
  <c r="Z588" i="11"/>
  <c r="J591" i="11"/>
  <c r="R591" i="11"/>
  <c r="Z591" i="11"/>
  <c r="N569" i="11"/>
  <c r="V569" i="11"/>
  <c r="M572" i="11"/>
  <c r="U572" i="11"/>
  <c r="K588" i="11"/>
  <c r="S588" i="11"/>
  <c r="K591" i="11"/>
  <c r="S591" i="11"/>
  <c r="W528" i="11"/>
  <c r="T542" i="11"/>
  <c r="P523" i="11"/>
  <c r="X523" i="11"/>
  <c r="M542" i="11"/>
  <c r="I523" i="11"/>
  <c r="Q523" i="11"/>
  <c r="Y523" i="11"/>
  <c r="H526" i="11"/>
  <c r="P526" i="11"/>
  <c r="P528" i="11" s="1"/>
  <c r="X526" i="11"/>
  <c r="X528" i="11" s="1"/>
  <c r="N542" i="11"/>
  <c r="V542" i="11"/>
  <c r="N545" i="11"/>
  <c r="V545" i="11"/>
  <c r="U542" i="11"/>
  <c r="J523" i="11"/>
  <c r="R523" i="11"/>
  <c r="Z523" i="11"/>
  <c r="I526" i="11"/>
  <c r="Q526" i="11"/>
  <c r="Y526" i="11"/>
  <c r="O542" i="11"/>
  <c r="W542" i="11"/>
  <c r="O545" i="11"/>
  <c r="O547" i="11" s="1"/>
  <c r="W545" i="11"/>
  <c r="W547" i="11" s="1"/>
  <c r="H523" i="11"/>
  <c r="K523" i="11"/>
  <c r="S523" i="11"/>
  <c r="AA523" i="11"/>
  <c r="J526" i="11"/>
  <c r="R526" i="11"/>
  <c r="R528" i="11" s="1"/>
  <c r="Z526" i="11"/>
  <c r="Z528" i="11" s="1"/>
  <c r="H542" i="11"/>
  <c r="P542" i="11"/>
  <c r="X542" i="11"/>
  <c r="H545" i="11"/>
  <c r="P545" i="11"/>
  <c r="X545" i="11"/>
  <c r="L542" i="11"/>
  <c r="L523" i="11"/>
  <c r="T523" i="11"/>
  <c r="K526" i="11"/>
  <c r="K528" i="11" s="1"/>
  <c r="S526" i="11"/>
  <c r="AA526" i="11"/>
  <c r="I542" i="11"/>
  <c r="Q542" i="11"/>
  <c r="Y542" i="11"/>
  <c r="I545" i="11"/>
  <c r="I547" i="11" s="1"/>
  <c r="Q545" i="11"/>
  <c r="Q547" i="11" s="1"/>
  <c r="Y545" i="11"/>
  <c r="Y547" i="11" s="1"/>
  <c r="M523" i="11"/>
  <c r="U523" i="11"/>
  <c r="L526" i="11"/>
  <c r="T526" i="11"/>
  <c r="J542" i="11"/>
  <c r="R542" i="11"/>
  <c r="Z542" i="11"/>
  <c r="J545" i="11"/>
  <c r="J547" i="11" s="1"/>
  <c r="R545" i="11"/>
  <c r="Z545" i="11"/>
  <c r="N523" i="11"/>
  <c r="V523" i="11"/>
  <c r="M526" i="11"/>
  <c r="M528" i="11" s="1"/>
  <c r="U526" i="11"/>
  <c r="U528" i="11" s="1"/>
  <c r="K542" i="11"/>
  <c r="S542" i="11"/>
  <c r="K545" i="11"/>
  <c r="S545" i="11"/>
  <c r="W450" i="11"/>
  <c r="D452" i="11"/>
  <c r="U499" i="11"/>
  <c r="Y266" i="11"/>
  <c r="Q388" i="11"/>
  <c r="S477" i="11"/>
  <c r="Z385" i="11"/>
  <c r="K477" i="11"/>
  <c r="Y388" i="11"/>
  <c r="I480" i="11"/>
  <c r="D406" i="11"/>
  <c r="Y480" i="11"/>
  <c r="U453" i="11"/>
  <c r="M477" i="11"/>
  <c r="S431" i="11"/>
  <c r="Y434" i="11"/>
  <c r="I388" i="11"/>
  <c r="Z431" i="11"/>
  <c r="N450" i="11"/>
  <c r="R477" i="11"/>
  <c r="Q480" i="11"/>
  <c r="AA431" i="11"/>
  <c r="O450" i="11"/>
  <c r="J385" i="11"/>
  <c r="N404" i="11"/>
  <c r="V450" i="11"/>
  <c r="U477" i="11"/>
  <c r="N496" i="11"/>
  <c r="R385" i="11"/>
  <c r="V404" i="11"/>
  <c r="Z477" i="11"/>
  <c r="V496" i="11"/>
  <c r="J431" i="11"/>
  <c r="U407" i="11"/>
  <c r="K431" i="11"/>
  <c r="I434" i="11"/>
  <c r="J477" i="11"/>
  <c r="R431" i="11"/>
  <c r="Q434" i="11"/>
  <c r="V499" i="11"/>
  <c r="AA477" i="11"/>
  <c r="J480" i="11"/>
  <c r="R480" i="11"/>
  <c r="Z480" i="11"/>
  <c r="O496" i="11"/>
  <c r="W496" i="11"/>
  <c r="O499" i="11"/>
  <c r="W499" i="11"/>
  <c r="N499" i="11"/>
  <c r="L477" i="11"/>
  <c r="T477" i="11"/>
  <c r="K480" i="11"/>
  <c r="S480" i="11"/>
  <c r="AA480" i="11"/>
  <c r="H496" i="11"/>
  <c r="P496" i="11"/>
  <c r="X496" i="11"/>
  <c r="H499" i="11"/>
  <c r="P499" i="11"/>
  <c r="X499" i="11"/>
  <c r="L480" i="11"/>
  <c r="T480" i="11"/>
  <c r="I496" i="11"/>
  <c r="Q496" i="11"/>
  <c r="Y496" i="11"/>
  <c r="I499" i="11"/>
  <c r="Q499" i="11"/>
  <c r="Y499" i="11"/>
  <c r="N477" i="11"/>
  <c r="V477" i="11"/>
  <c r="M480" i="11"/>
  <c r="U480" i="11"/>
  <c r="J496" i="11"/>
  <c r="R496" i="11"/>
  <c r="Z496" i="11"/>
  <c r="J499" i="11"/>
  <c r="R499" i="11"/>
  <c r="Z499" i="11"/>
  <c r="O477" i="11"/>
  <c r="W477" i="11"/>
  <c r="N480" i="11"/>
  <c r="V480" i="11"/>
  <c r="K496" i="11"/>
  <c r="S496" i="11"/>
  <c r="AA496" i="11"/>
  <c r="K499" i="11"/>
  <c r="S499" i="11"/>
  <c r="AA499" i="11"/>
  <c r="H477" i="11"/>
  <c r="P477" i="11"/>
  <c r="X477" i="11"/>
  <c r="O480" i="11"/>
  <c r="W480" i="11"/>
  <c r="L496" i="11"/>
  <c r="T496" i="11"/>
  <c r="L499" i="11"/>
  <c r="T499" i="11"/>
  <c r="I477" i="11"/>
  <c r="Q477" i="11"/>
  <c r="Y477" i="11"/>
  <c r="H480" i="11"/>
  <c r="P480" i="11"/>
  <c r="X480" i="11"/>
  <c r="M496" i="11"/>
  <c r="U496" i="11"/>
  <c r="M499" i="11"/>
  <c r="W453" i="11"/>
  <c r="R434" i="11"/>
  <c r="O453" i="11"/>
  <c r="P453" i="11"/>
  <c r="M431" i="11"/>
  <c r="U431" i="11"/>
  <c r="L434" i="11"/>
  <c r="T434" i="11"/>
  <c r="I450" i="11"/>
  <c r="Q450" i="11"/>
  <c r="Y450" i="11"/>
  <c r="I453" i="11"/>
  <c r="Q453" i="11"/>
  <c r="Y453" i="11"/>
  <c r="N453" i="11"/>
  <c r="Z434" i="11"/>
  <c r="L431" i="11"/>
  <c r="S434" i="11"/>
  <c r="H453" i="11"/>
  <c r="N431" i="11"/>
  <c r="V431" i="11"/>
  <c r="M434" i="11"/>
  <c r="U434" i="11"/>
  <c r="J450" i="11"/>
  <c r="R450" i="11"/>
  <c r="Z450" i="11"/>
  <c r="J453" i="11"/>
  <c r="R453" i="11"/>
  <c r="Z453" i="11"/>
  <c r="K434" i="11"/>
  <c r="H450" i="11"/>
  <c r="O431" i="11"/>
  <c r="W431" i="11"/>
  <c r="N434" i="11"/>
  <c r="V434" i="11"/>
  <c r="K450" i="11"/>
  <c r="S450" i="11"/>
  <c r="AA450" i="11"/>
  <c r="K453" i="11"/>
  <c r="S453" i="11"/>
  <c r="AA453" i="11"/>
  <c r="V453" i="11"/>
  <c r="P450" i="11"/>
  <c r="X453" i="11"/>
  <c r="H431" i="11"/>
  <c r="P431" i="11"/>
  <c r="X431" i="11"/>
  <c r="O434" i="11"/>
  <c r="W434" i="11"/>
  <c r="L450" i="11"/>
  <c r="T450" i="11"/>
  <c r="D448" i="11"/>
  <c r="L453" i="11"/>
  <c r="T453" i="11"/>
  <c r="J434" i="11"/>
  <c r="T431" i="11"/>
  <c r="AA434" i="11"/>
  <c r="X450" i="11"/>
  <c r="I431" i="11"/>
  <c r="Q431" i="11"/>
  <c r="Y431" i="11"/>
  <c r="H434" i="11"/>
  <c r="P434" i="11"/>
  <c r="X434" i="11"/>
  <c r="M450" i="11"/>
  <c r="U450" i="11"/>
  <c r="M453" i="11"/>
  <c r="N407" i="11"/>
  <c r="V407" i="11"/>
  <c r="K385" i="11"/>
  <c r="S385" i="11"/>
  <c r="AA385" i="11"/>
  <c r="J388" i="11"/>
  <c r="R388" i="11"/>
  <c r="Z388" i="11"/>
  <c r="O404" i="11"/>
  <c r="W404" i="11"/>
  <c r="O407" i="11"/>
  <c r="W407" i="11"/>
  <c r="L385" i="11"/>
  <c r="H404" i="11"/>
  <c r="H407" i="11"/>
  <c r="X407" i="11"/>
  <c r="M385" i="11"/>
  <c r="U385" i="11"/>
  <c r="L388" i="11"/>
  <c r="T388" i="11"/>
  <c r="I404" i="11"/>
  <c r="Q404" i="11"/>
  <c r="Y404" i="11"/>
  <c r="I407" i="11"/>
  <c r="Q407" i="11"/>
  <c r="Y407" i="11"/>
  <c r="P404" i="11"/>
  <c r="P407" i="11"/>
  <c r="N385" i="11"/>
  <c r="V385" i="11"/>
  <c r="M388" i="11"/>
  <c r="U388" i="11"/>
  <c r="J404" i="11"/>
  <c r="R404" i="11"/>
  <c r="Z404" i="11"/>
  <c r="J407" i="11"/>
  <c r="R407" i="11"/>
  <c r="Z407" i="11"/>
  <c r="O385" i="11"/>
  <c r="W385" i="11"/>
  <c r="N388" i="11"/>
  <c r="V388" i="11"/>
  <c r="K404" i="11"/>
  <c r="S404" i="11"/>
  <c r="AA404" i="11"/>
  <c r="K407" i="11"/>
  <c r="S407" i="11"/>
  <c r="AA407" i="11"/>
  <c r="T385" i="11"/>
  <c r="K388" i="11"/>
  <c r="AA388" i="11"/>
  <c r="X404" i="11"/>
  <c r="H385" i="11"/>
  <c r="P385" i="11"/>
  <c r="X385" i="11"/>
  <c r="O388" i="11"/>
  <c r="W388" i="11"/>
  <c r="L404" i="11"/>
  <c r="T404" i="11"/>
  <c r="L407" i="11"/>
  <c r="T407" i="11"/>
  <c r="S388" i="11"/>
  <c r="I385" i="11"/>
  <c r="Q385" i="11"/>
  <c r="Y385" i="11"/>
  <c r="H388" i="11"/>
  <c r="P388" i="11"/>
  <c r="X388" i="11"/>
  <c r="M404" i="11"/>
  <c r="U404" i="11"/>
  <c r="M407" i="11"/>
  <c r="D360" i="11"/>
  <c r="D268" i="11"/>
  <c r="D222" i="11"/>
  <c r="W358" i="11"/>
  <c r="M250" i="11"/>
  <c r="D314" i="11"/>
  <c r="Q266" i="11"/>
  <c r="W361" i="11"/>
  <c r="W312" i="11"/>
  <c r="L342" i="11"/>
  <c r="P361" i="11"/>
  <c r="V339" i="11"/>
  <c r="I361" i="11"/>
  <c r="K358" i="11"/>
  <c r="Z361" i="11"/>
  <c r="H339" i="11"/>
  <c r="P339" i="11"/>
  <c r="X339" i="11"/>
  <c r="O342" i="11"/>
  <c r="W342" i="11"/>
  <c r="L358" i="11"/>
  <c r="T358" i="11"/>
  <c r="K361" i="11"/>
  <c r="S361" i="11"/>
  <c r="AA361" i="11"/>
  <c r="U339" i="11"/>
  <c r="Q358" i="11"/>
  <c r="H361" i="11"/>
  <c r="X361" i="11"/>
  <c r="U342" i="11"/>
  <c r="R358" i="11"/>
  <c r="Z358" i="11"/>
  <c r="Q361" i="11"/>
  <c r="Y361" i="11"/>
  <c r="W339" i="11"/>
  <c r="N342" i="11"/>
  <c r="AA358" i="11"/>
  <c r="I339" i="11"/>
  <c r="Q339" i="11"/>
  <c r="Y339" i="11"/>
  <c r="H342" i="11"/>
  <c r="P342" i="11"/>
  <c r="X342" i="11"/>
  <c r="M358" i="11"/>
  <c r="U358" i="11"/>
  <c r="L361" i="11"/>
  <c r="T361" i="11"/>
  <c r="M342" i="11"/>
  <c r="R361" i="11"/>
  <c r="J339" i="11"/>
  <c r="R339" i="11"/>
  <c r="Z339" i="11"/>
  <c r="I342" i="11"/>
  <c r="Q342" i="11"/>
  <c r="Y342" i="11"/>
  <c r="N358" i="11"/>
  <c r="V358" i="11"/>
  <c r="M361" i="11"/>
  <c r="U361" i="11"/>
  <c r="M339" i="11"/>
  <c r="Y358" i="11"/>
  <c r="N339" i="11"/>
  <c r="J358" i="11"/>
  <c r="S358" i="11"/>
  <c r="K339" i="11"/>
  <c r="S339" i="11"/>
  <c r="AA339" i="11"/>
  <c r="J342" i="11"/>
  <c r="R342" i="11"/>
  <c r="Z342" i="11"/>
  <c r="O358" i="11"/>
  <c r="N361" i="11"/>
  <c r="V361" i="11"/>
  <c r="T342" i="11"/>
  <c r="I358" i="11"/>
  <c r="O339" i="11"/>
  <c r="V342" i="11"/>
  <c r="J361" i="11"/>
  <c r="L339" i="11"/>
  <c r="T339" i="11"/>
  <c r="K342" i="11"/>
  <c r="S342" i="11"/>
  <c r="AA342" i="11"/>
  <c r="H358" i="11"/>
  <c r="P358" i="11"/>
  <c r="X358" i="11"/>
  <c r="O361" i="11"/>
  <c r="U250" i="11"/>
  <c r="J266" i="11"/>
  <c r="N247" i="11"/>
  <c r="V247" i="11"/>
  <c r="W315" i="11"/>
  <c r="I269" i="11"/>
  <c r="H269" i="11"/>
  <c r="H296" i="11"/>
  <c r="M293" i="11"/>
  <c r="U293" i="11"/>
  <c r="L296" i="11"/>
  <c r="T296" i="11"/>
  <c r="I312" i="11"/>
  <c r="Q312" i="11"/>
  <c r="Y312" i="11"/>
  <c r="H315" i="11"/>
  <c r="P315" i="11"/>
  <c r="X315" i="11"/>
  <c r="N293" i="11"/>
  <c r="V293" i="11"/>
  <c r="M296" i="11"/>
  <c r="U296" i="11"/>
  <c r="J312" i="11"/>
  <c r="R312" i="11"/>
  <c r="Z312" i="11"/>
  <c r="I315" i="11"/>
  <c r="Q315" i="11"/>
  <c r="Y315" i="11"/>
  <c r="R315" i="11"/>
  <c r="H293" i="11"/>
  <c r="P293" i="11"/>
  <c r="X293" i="11"/>
  <c r="O296" i="11"/>
  <c r="W296" i="11"/>
  <c r="L312" i="11"/>
  <c r="T312" i="11"/>
  <c r="K315" i="11"/>
  <c r="S315" i="11"/>
  <c r="AA315" i="11"/>
  <c r="W293" i="11"/>
  <c r="J315" i="11"/>
  <c r="I293" i="11"/>
  <c r="Q293" i="11"/>
  <c r="Y293" i="11"/>
  <c r="P296" i="11"/>
  <c r="X296" i="11"/>
  <c r="M312" i="11"/>
  <c r="U312" i="11"/>
  <c r="L315" i="11"/>
  <c r="T315" i="11"/>
  <c r="O293" i="11"/>
  <c r="N296" i="11"/>
  <c r="S312" i="11"/>
  <c r="J293" i="11"/>
  <c r="R293" i="11"/>
  <c r="Z293" i="11"/>
  <c r="I296" i="11"/>
  <c r="Q296" i="11"/>
  <c r="Y296" i="11"/>
  <c r="N312" i="11"/>
  <c r="V312" i="11"/>
  <c r="M315" i="11"/>
  <c r="U315" i="11"/>
  <c r="V296" i="11"/>
  <c r="AA312" i="11"/>
  <c r="Z315" i="11"/>
  <c r="K293" i="11"/>
  <c r="S293" i="11"/>
  <c r="AA293" i="11"/>
  <c r="J296" i="11"/>
  <c r="R296" i="11"/>
  <c r="Z296" i="11"/>
  <c r="O312" i="11"/>
  <c r="N315" i="11"/>
  <c r="V315" i="11"/>
  <c r="K312" i="11"/>
  <c r="L293" i="11"/>
  <c r="T293" i="11"/>
  <c r="K296" i="11"/>
  <c r="S296" i="11"/>
  <c r="AA296" i="11"/>
  <c r="H312" i="11"/>
  <c r="P312" i="11"/>
  <c r="X312" i="11"/>
  <c r="O315" i="11"/>
  <c r="U247" i="11"/>
  <c r="T250" i="11"/>
  <c r="I266" i="11"/>
  <c r="R266" i="11"/>
  <c r="Q269" i="11"/>
  <c r="W269" i="11"/>
  <c r="O269" i="11"/>
  <c r="AA250" i="11"/>
  <c r="S250" i="11"/>
  <c r="K250" i="11"/>
  <c r="U269" i="11"/>
  <c r="M269" i="11"/>
  <c r="Y250" i="11"/>
  <c r="Q250" i="11"/>
  <c r="I250" i="11"/>
  <c r="Z247" i="11"/>
  <c r="R247" i="11"/>
  <c r="J247" i="11"/>
  <c r="P247" i="11"/>
  <c r="Z269" i="11"/>
  <c r="J269" i="11"/>
  <c r="S266" i="11"/>
  <c r="V250" i="11"/>
  <c r="N250" i="11"/>
  <c r="O247" i="11"/>
  <c r="Y269" i="11"/>
  <c r="V269" i="11"/>
  <c r="N269" i="11"/>
  <c r="Z250" i="11"/>
  <c r="R250" i="11"/>
  <c r="J250" i="11"/>
  <c r="W247" i="11"/>
  <c r="T269" i="11"/>
  <c r="L269" i="11"/>
  <c r="X250" i="11"/>
  <c r="P250" i="11"/>
  <c r="H250" i="11"/>
  <c r="AA269" i="11"/>
  <c r="S269" i="11"/>
  <c r="K269" i="11"/>
  <c r="T266" i="11"/>
  <c r="L266" i="11"/>
  <c r="W250" i="11"/>
  <c r="O250" i="11"/>
  <c r="X247" i="11"/>
  <c r="H247" i="11"/>
  <c r="R269" i="11"/>
  <c r="AA266" i="11"/>
  <c r="K266" i="11"/>
  <c r="X269" i="11"/>
  <c r="P269" i="11"/>
  <c r="Z266" i="11"/>
  <c r="M247" i="11"/>
  <c r="L250" i="11"/>
  <c r="X266" i="11"/>
  <c r="I247" i="11"/>
  <c r="Q247" i="11"/>
  <c r="Y247" i="11"/>
  <c r="M266" i="11"/>
  <c r="U266" i="11"/>
  <c r="K247" i="11"/>
  <c r="S247" i="11"/>
  <c r="AA247" i="11"/>
  <c r="O266" i="11"/>
  <c r="W266" i="11"/>
  <c r="N266" i="11"/>
  <c r="V266" i="11"/>
  <c r="L247" i="11"/>
  <c r="T247" i="11"/>
  <c r="H266" i="11"/>
  <c r="P266" i="11"/>
  <c r="Y34" i="11" l="1"/>
  <c r="Y43" i="11" s="1"/>
  <c r="Y44" i="11" s="1"/>
  <c r="H34" i="11"/>
  <c r="M15" i="11"/>
  <c r="M24" i="11" s="1"/>
  <c r="M25" i="11" s="1"/>
  <c r="K15" i="11"/>
  <c r="K24" i="11" s="1"/>
  <c r="K25" i="11" s="1"/>
  <c r="N15" i="11"/>
  <c r="N24" i="11" s="1"/>
  <c r="N25" i="11" s="1"/>
  <c r="N34" i="11"/>
  <c r="N43" i="11" s="1"/>
  <c r="N44" i="11" s="1"/>
  <c r="W34" i="11"/>
  <c r="W43" i="11" s="1"/>
  <c r="W44" i="11" s="1"/>
  <c r="AA15" i="11"/>
  <c r="AA24" i="11" s="1"/>
  <c r="AA25" i="11" s="1"/>
  <c r="U15" i="11"/>
  <c r="U24" i="11" s="1"/>
  <c r="U25" i="11" s="1"/>
  <c r="P15" i="11"/>
  <c r="P24" i="11" s="1"/>
  <c r="P25" i="11" s="1"/>
  <c r="O15" i="11"/>
  <c r="O24" i="11" s="1"/>
  <c r="O25" i="11" s="1"/>
  <c r="H15" i="11"/>
  <c r="I15" i="11"/>
  <c r="I24" i="11" s="1"/>
  <c r="I25" i="11" s="1"/>
  <c r="L15" i="11"/>
  <c r="L24" i="11" s="1"/>
  <c r="L25" i="11" s="1"/>
  <c r="Q34" i="11"/>
  <c r="Q43" i="11" s="1"/>
  <c r="Q44" i="11" s="1"/>
  <c r="V1448" i="11"/>
  <c r="P172" i="11"/>
  <c r="P181" i="11" s="1"/>
  <c r="P182" i="11" s="1"/>
  <c r="Y61" i="11"/>
  <c r="Y70" i="11" s="1"/>
  <c r="Y71" i="11" s="1"/>
  <c r="K61" i="11"/>
  <c r="K70" i="11" s="1"/>
  <c r="K71" i="11" s="1"/>
  <c r="K80" i="11"/>
  <c r="K89" i="11" s="1"/>
  <c r="K90" i="11" s="1"/>
  <c r="G59" i="11"/>
  <c r="T61" i="11"/>
  <c r="T70" i="11" s="1"/>
  <c r="T71" i="11" s="1"/>
  <c r="J61" i="11"/>
  <c r="J70" i="11" s="1"/>
  <c r="J71" i="11" s="1"/>
  <c r="S61" i="11"/>
  <c r="S70" i="11" s="1"/>
  <c r="S71" i="11" s="1"/>
  <c r="R61" i="11"/>
  <c r="R70" i="11" s="1"/>
  <c r="R71" i="11" s="1"/>
  <c r="G151" i="11"/>
  <c r="S172" i="11"/>
  <c r="S181" i="11" s="1"/>
  <c r="S182" i="11" s="1"/>
  <c r="T153" i="11"/>
  <c r="T162" i="11" s="1"/>
  <c r="T163" i="11" s="1"/>
  <c r="T501" i="11"/>
  <c r="N482" i="11"/>
  <c r="N1264" i="11"/>
  <c r="P1053" i="11"/>
  <c r="Q1034" i="11"/>
  <c r="U1053" i="11"/>
  <c r="M1448" i="11"/>
  <c r="Y1467" i="11"/>
  <c r="K1448" i="11"/>
  <c r="L1467" i="11"/>
  <c r="W1448" i="11"/>
  <c r="X1034" i="11"/>
  <c r="R1053" i="11"/>
  <c r="S1145" i="11"/>
  <c r="Z1145" i="11"/>
  <c r="R1126" i="11"/>
  <c r="N1126" i="11"/>
  <c r="S1467" i="11"/>
  <c r="L1448" i="11"/>
  <c r="I1448" i="11"/>
  <c r="N1467" i="11"/>
  <c r="T1724" i="11"/>
  <c r="X1743" i="11"/>
  <c r="J1724" i="11"/>
  <c r="X1724" i="11"/>
  <c r="Y1724" i="11"/>
  <c r="AA1467" i="11"/>
  <c r="AA1034" i="11"/>
  <c r="U804" i="11"/>
  <c r="I823" i="11"/>
  <c r="Z804" i="11"/>
  <c r="V823" i="11"/>
  <c r="K1467" i="11"/>
  <c r="Z1467" i="11"/>
  <c r="U1467" i="11"/>
  <c r="Z1448" i="11"/>
  <c r="V1034" i="11"/>
  <c r="P1467" i="11"/>
  <c r="N501" i="11"/>
  <c r="N804" i="11"/>
  <c r="J1467" i="11"/>
  <c r="X1467" i="11"/>
  <c r="AA1448" i="11"/>
  <c r="O1467" i="11"/>
  <c r="X1448" i="11"/>
  <c r="L153" i="11"/>
  <c r="L162" i="11" s="1"/>
  <c r="L163" i="11" s="1"/>
  <c r="I126" i="11"/>
  <c r="I135" i="11" s="1"/>
  <c r="I136" i="11" s="1"/>
  <c r="O153" i="11"/>
  <c r="O162" i="11" s="1"/>
  <c r="O163" i="11" s="1"/>
  <c r="U107" i="11"/>
  <c r="U116" i="11" s="1"/>
  <c r="U117" i="11" s="1"/>
  <c r="K1789" i="11"/>
  <c r="Q1789" i="11"/>
  <c r="Z1770" i="11"/>
  <c r="O1789" i="11"/>
  <c r="V1789" i="11"/>
  <c r="O1770" i="11"/>
  <c r="M1770" i="11"/>
  <c r="AA1789" i="11"/>
  <c r="H107" i="11"/>
  <c r="AA156" i="11"/>
  <c r="L172" i="11"/>
  <c r="L181" i="11" s="1"/>
  <c r="L182" i="11" s="1"/>
  <c r="Q153" i="11"/>
  <c r="Q162" i="11" s="1"/>
  <c r="Q163" i="11" s="1"/>
  <c r="X172" i="11"/>
  <c r="X181" i="11" s="1"/>
  <c r="X182" i="11" s="1"/>
  <c r="Q107" i="11"/>
  <c r="Q116" i="11" s="1"/>
  <c r="Q117" i="11" s="1"/>
  <c r="Q172" i="11"/>
  <c r="Q181" i="11" s="1"/>
  <c r="Q182" i="11" s="1"/>
  <c r="T172" i="11"/>
  <c r="T181" i="11" s="1"/>
  <c r="T182" i="11" s="1"/>
  <c r="V172" i="11"/>
  <c r="V181" i="11" s="1"/>
  <c r="V182" i="11" s="1"/>
  <c r="K126" i="11"/>
  <c r="K135" i="11" s="1"/>
  <c r="K136" i="11" s="1"/>
  <c r="U153" i="11"/>
  <c r="U162" i="11" s="1"/>
  <c r="U163" i="11" s="1"/>
  <c r="W153" i="11"/>
  <c r="W162" i="11" s="1"/>
  <c r="W163" i="11" s="1"/>
  <c r="J153" i="11"/>
  <c r="J162" i="11" s="1"/>
  <c r="J163" i="11" s="1"/>
  <c r="R1356" i="11"/>
  <c r="W1375" i="11"/>
  <c r="P1356" i="11"/>
  <c r="P126" i="11"/>
  <c r="P135" i="11" s="1"/>
  <c r="P136" i="11" s="1"/>
  <c r="R172" i="11"/>
  <c r="R181" i="11" s="1"/>
  <c r="R182" i="11" s="1"/>
  <c r="N153" i="11"/>
  <c r="N162" i="11" s="1"/>
  <c r="N163" i="11" s="1"/>
  <c r="H153" i="11"/>
  <c r="H162" i="11" s="1"/>
  <c r="R153" i="11"/>
  <c r="R162" i="11" s="1"/>
  <c r="R163" i="11" s="1"/>
  <c r="L1356" i="11"/>
  <c r="Z172" i="11"/>
  <c r="Z181" i="11" s="1"/>
  <c r="Z182" i="11" s="1"/>
  <c r="V153" i="11"/>
  <c r="V162" i="11" s="1"/>
  <c r="V163" i="11" s="1"/>
  <c r="G170" i="11"/>
  <c r="Z153" i="11"/>
  <c r="Z162" i="11" s="1"/>
  <c r="Z163" i="11" s="1"/>
  <c r="AA175" i="11"/>
  <c r="K172" i="11"/>
  <c r="K181" i="11" s="1"/>
  <c r="K182" i="11" s="1"/>
  <c r="U172" i="11"/>
  <c r="U181" i="11" s="1"/>
  <c r="U182" i="11" s="1"/>
  <c r="O172" i="11"/>
  <c r="O181" i="11" s="1"/>
  <c r="O182" i="11" s="1"/>
  <c r="Q126" i="11"/>
  <c r="Q135" i="11" s="1"/>
  <c r="Q136" i="11" s="1"/>
  <c r="N107" i="11"/>
  <c r="N116" i="11" s="1"/>
  <c r="N117" i="11" s="1"/>
  <c r="P107" i="11"/>
  <c r="P116" i="11" s="1"/>
  <c r="P117" i="11" s="1"/>
  <c r="Y107" i="11"/>
  <c r="Y116" i="11" s="1"/>
  <c r="Y117" i="11" s="1"/>
  <c r="AA126" i="11"/>
  <c r="AA135" i="11" s="1"/>
  <c r="AA136" i="11" s="1"/>
  <c r="X126" i="11"/>
  <c r="X135" i="11" s="1"/>
  <c r="X136" i="11" s="1"/>
  <c r="AA129" i="11"/>
  <c r="Y126" i="11"/>
  <c r="Y135" i="11" s="1"/>
  <c r="Y136" i="11" s="1"/>
  <c r="O107" i="11"/>
  <c r="O116" i="11" s="1"/>
  <c r="O117" i="11" s="1"/>
  <c r="X107" i="11"/>
  <c r="X116" i="11" s="1"/>
  <c r="X117" i="11" s="1"/>
  <c r="N126" i="11"/>
  <c r="N135" i="11" s="1"/>
  <c r="N136" i="11" s="1"/>
  <c r="J107" i="11"/>
  <c r="J116" i="11" s="1"/>
  <c r="J117" i="11" s="1"/>
  <c r="S107" i="11"/>
  <c r="S116" i="11" s="1"/>
  <c r="S117" i="11" s="1"/>
  <c r="W107" i="11"/>
  <c r="W116" i="11" s="1"/>
  <c r="W117" i="11" s="1"/>
  <c r="G124" i="11"/>
  <c r="V126" i="11"/>
  <c r="V135" i="11" s="1"/>
  <c r="V136" i="11" s="1"/>
  <c r="R107" i="11"/>
  <c r="R116" i="11" s="1"/>
  <c r="R117" i="11" s="1"/>
  <c r="M896" i="11"/>
  <c r="I915" i="11"/>
  <c r="Z896" i="11"/>
  <c r="T915" i="11"/>
  <c r="J126" i="11"/>
  <c r="J135" i="11" s="1"/>
  <c r="J136" i="11" s="1"/>
  <c r="L126" i="11"/>
  <c r="L135" i="11" s="1"/>
  <c r="L136" i="11" s="1"/>
  <c r="M126" i="11"/>
  <c r="M135" i="11" s="1"/>
  <c r="M136" i="11" s="1"/>
  <c r="Z107" i="11"/>
  <c r="Z116" i="11" s="1"/>
  <c r="Z117" i="11" s="1"/>
  <c r="P153" i="11"/>
  <c r="P162" i="11" s="1"/>
  <c r="P163" i="11" s="1"/>
  <c r="Y153" i="11"/>
  <c r="Y162" i="11" s="1"/>
  <c r="Y163" i="11" s="1"/>
  <c r="W172" i="11"/>
  <c r="W181" i="11" s="1"/>
  <c r="W182" i="11" s="1"/>
  <c r="R126" i="11"/>
  <c r="R135" i="11" s="1"/>
  <c r="R136" i="11" s="1"/>
  <c r="T126" i="11"/>
  <c r="T135" i="11" s="1"/>
  <c r="T136" i="11" s="1"/>
  <c r="U126" i="11"/>
  <c r="U135" i="11" s="1"/>
  <c r="U136" i="11" s="1"/>
  <c r="AA110" i="11"/>
  <c r="O126" i="11"/>
  <c r="O135" i="11" s="1"/>
  <c r="O136" i="11" s="1"/>
  <c r="AA172" i="11"/>
  <c r="AA181" i="11" s="1"/>
  <c r="AA182" i="11" s="1"/>
  <c r="X153" i="11"/>
  <c r="X162" i="11" s="1"/>
  <c r="X163" i="11" s="1"/>
  <c r="N172" i="11"/>
  <c r="N181" i="11" s="1"/>
  <c r="N182" i="11" s="1"/>
  <c r="K153" i="11"/>
  <c r="K162" i="11" s="1"/>
  <c r="K163" i="11" s="1"/>
  <c r="Z126" i="11"/>
  <c r="Z135" i="11" s="1"/>
  <c r="Z136" i="11" s="1"/>
  <c r="K107" i="11"/>
  <c r="K116" i="11" s="1"/>
  <c r="K117" i="11" s="1"/>
  <c r="S126" i="11"/>
  <c r="S135" i="11" s="1"/>
  <c r="S136" i="11" s="1"/>
  <c r="M107" i="11"/>
  <c r="M116" i="11" s="1"/>
  <c r="M117" i="11" s="1"/>
  <c r="W126" i="11"/>
  <c r="W135" i="11" s="1"/>
  <c r="W136" i="11" s="1"/>
  <c r="L593" i="11"/>
  <c r="S153" i="11"/>
  <c r="S162" i="11" s="1"/>
  <c r="S163" i="11" s="1"/>
  <c r="L107" i="11"/>
  <c r="L116" i="11" s="1"/>
  <c r="L117" i="11" s="1"/>
  <c r="AA107" i="11"/>
  <c r="AA116" i="11" s="1"/>
  <c r="AA117" i="11" s="1"/>
  <c r="T107" i="11"/>
  <c r="T116" i="11" s="1"/>
  <c r="T117" i="11" s="1"/>
  <c r="I107" i="11"/>
  <c r="I116" i="11" s="1"/>
  <c r="I117" i="11" s="1"/>
  <c r="V107" i="11"/>
  <c r="V116" i="11" s="1"/>
  <c r="V117" i="11" s="1"/>
  <c r="J172" i="11"/>
  <c r="J181" i="11" s="1"/>
  <c r="J182" i="11" s="1"/>
  <c r="M153" i="11"/>
  <c r="M162" i="11" s="1"/>
  <c r="M163" i="11" s="1"/>
  <c r="I172" i="11"/>
  <c r="I181" i="11" s="1"/>
  <c r="I182" i="11" s="1"/>
  <c r="M172" i="11"/>
  <c r="M181" i="11" s="1"/>
  <c r="M182" i="11" s="1"/>
  <c r="Y172" i="11"/>
  <c r="Y181" i="11" s="1"/>
  <c r="Y182" i="11" s="1"/>
  <c r="D1762" i="11"/>
  <c r="D14" i="11"/>
  <c r="D60" i="11"/>
  <c r="D152" i="11"/>
  <c r="D106" i="11"/>
  <c r="Q593" i="11"/>
  <c r="O593" i="11"/>
  <c r="K1145" i="11"/>
  <c r="R1145" i="11"/>
  <c r="AA1126" i="11"/>
  <c r="X1145" i="11"/>
  <c r="J1126" i="11"/>
  <c r="X1126" i="11"/>
  <c r="U574" i="11"/>
  <c r="I593" i="11"/>
  <c r="R574" i="11"/>
  <c r="J1145" i="11"/>
  <c r="S1126" i="11"/>
  <c r="P1145" i="11"/>
  <c r="Y1126" i="11"/>
  <c r="U1145" i="11"/>
  <c r="M574" i="11"/>
  <c r="X593" i="11"/>
  <c r="J574" i="11"/>
  <c r="Q777" i="11"/>
  <c r="K758" i="11"/>
  <c r="Y758" i="11"/>
  <c r="T777" i="11"/>
  <c r="X758" i="11"/>
  <c r="Y1145" i="11"/>
  <c r="K1126" i="11"/>
  <c r="Q1126" i="11"/>
  <c r="M1145" i="11"/>
  <c r="T1145" i="11"/>
  <c r="Z574" i="11"/>
  <c r="P574" i="11"/>
  <c r="T574" i="11"/>
  <c r="P593" i="11"/>
  <c r="Y574" i="11"/>
  <c r="V593" i="11"/>
  <c r="I777" i="11"/>
  <c r="V777" i="11"/>
  <c r="Q758" i="11"/>
  <c r="L777" i="11"/>
  <c r="U1126" i="11"/>
  <c r="Q1145" i="11"/>
  <c r="I1126" i="11"/>
  <c r="L1145" i="11"/>
  <c r="P1126" i="11"/>
  <c r="L574" i="11"/>
  <c r="Q574" i="11"/>
  <c r="N593" i="11"/>
  <c r="I758" i="11"/>
  <c r="W758" i="11"/>
  <c r="M1126" i="11"/>
  <c r="I1145" i="11"/>
  <c r="S593" i="11"/>
  <c r="Z593" i="11"/>
  <c r="Z758" i="11"/>
  <c r="O758" i="11"/>
  <c r="T1126" i="11"/>
  <c r="V1145" i="11"/>
  <c r="W1145" i="11"/>
  <c r="W1126" i="11"/>
  <c r="L1126" i="11"/>
  <c r="N1145" i="11"/>
  <c r="Z1126" i="11"/>
  <c r="O1145" i="11"/>
  <c r="O1126" i="11"/>
  <c r="V1126" i="11"/>
  <c r="W915" i="11"/>
  <c r="L1724" i="11"/>
  <c r="N1724" i="11"/>
  <c r="S685" i="11"/>
  <c r="L666" i="11"/>
  <c r="P685" i="11"/>
  <c r="N685" i="11"/>
  <c r="O666" i="11"/>
  <c r="T896" i="11"/>
  <c r="X915" i="11"/>
  <c r="J896" i="11"/>
  <c r="O915" i="11"/>
  <c r="O896" i="11"/>
  <c r="K961" i="11"/>
  <c r="Z961" i="11"/>
  <c r="S1743" i="11"/>
  <c r="Z1743" i="11"/>
  <c r="AA1724" i="11"/>
  <c r="W1724" i="11"/>
  <c r="Q1724" i="11"/>
  <c r="S915" i="11"/>
  <c r="L896" i="11"/>
  <c r="P915" i="11"/>
  <c r="N915" i="11"/>
  <c r="S942" i="11"/>
  <c r="O961" i="11"/>
  <c r="O942" i="11"/>
  <c r="J1053" i="11"/>
  <c r="Y1053" i="11"/>
  <c r="S1034" i="11"/>
  <c r="W1053" i="11"/>
  <c r="P1034" i="11"/>
  <c r="K1329" i="11"/>
  <c r="I1329" i="11"/>
  <c r="Z1310" i="11"/>
  <c r="K1743" i="11"/>
  <c r="R1743" i="11"/>
  <c r="S1724" i="11"/>
  <c r="O1724" i="11"/>
  <c r="N1632" i="11"/>
  <c r="P1724" i="11"/>
  <c r="Y666" i="11"/>
  <c r="Z915" i="11"/>
  <c r="J1743" i="11"/>
  <c r="L1651" i="11"/>
  <c r="S666" i="11"/>
  <c r="U915" i="11"/>
  <c r="Z1651" i="11"/>
  <c r="Q1743" i="11"/>
  <c r="N1743" i="11"/>
  <c r="V1724" i="11"/>
  <c r="V1632" i="11"/>
  <c r="X896" i="11"/>
  <c r="W896" i="11"/>
  <c r="AA896" i="11"/>
  <c r="V896" i="11"/>
  <c r="J961" i="11"/>
  <c r="Y1743" i="11"/>
  <c r="V1743" i="11"/>
  <c r="N942" i="11"/>
  <c r="J685" i="11"/>
  <c r="V685" i="11"/>
  <c r="U685" i="11"/>
  <c r="S896" i="11"/>
  <c r="N896" i="11"/>
  <c r="S1651" i="11"/>
  <c r="Z1632" i="11"/>
  <c r="W1743" i="11"/>
  <c r="J915" i="11"/>
  <c r="Y915" i="11"/>
  <c r="K896" i="11"/>
  <c r="V915" i="11"/>
  <c r="Q896" i="11"/>
  <c r="M915" i="11"/>
  <c r="R1034" i="11"/>
  <c r="V1053" i="11"/>
  <c r="K1651" i="11"/>
  <c r="R1651" i="11"/>
  <c r="R1632" i="11"/>
  <c r="V1651" i="11"/>
  <c r="U1724" i="11"/>
  <c r="I1743" i="11"/>
  <c r="Z1724" i="11"/>
  <c r="O1743" i="11"/>
  <c r="U1743" i="11"/>
  <c r="I1724" i="11"/>
  <c r="AA915" i="11"/>
  <c r="R896" i="11"/>
  <c r="L915" i="11"/>
  <c r="P1743" i="11"/>
  <c r="R685" i="11"/>
  <c r="AA666" i="11"/>
  <c r="N666" i="11"/>
  <c r="K915" i="11"/>
  <c r="Y961" i="11"/>
  <c r="K1724" i="11"/>
  <c r="L1743" i="11"/>
  <c r="AA1651" i="11"/>
  <c r="Q666" i="11"/>
  <c r="R915" i="11"/>
  <c r="Y896" i="11"/>
  <c r="U896" i="11"/>
  <c r="Q915" i="11"/>
  <c r="I896" i="11"/>
  <c r="P896" i="11"/>
  <c r="T1034" i="11"/>
  <c r="X1053" i="11"/>
  <c r="J1034" i="11"/>
  <c r="Y1034" i="11"/>
  <c r="N1053" i="11"/>
  <c r="M1724" i="11"/>
  <c r="R1724" i="11"/>
  <c r="M1743" i="11"/>
  <c r="T1743" i="11"/>
  <c r="AA1743" i="11"/>
  <c r="M804" i="11"/>
  <c r="R804" i="11"/>
  <c r="N823" i="11"/>
  <c r="J804" i="11"/>
  <c r="U823" i="11"/>
  <c r="V804" i="11"/>
  <c r="V1310" i="11"/>
  <c r="U1375" i="11"/>
  <c r="L804" i="11"/>
  <c r="M823" i="11"/>
  <c r="T804" i="11"/>
  <c r="X823" i="11"/>
  <c r="Y804" i="11"/>
  <c r="P823" i="11"/>
  <c r="Q804" i="11"/>
  <c r="S823" i="11"/>
  <c r="Z823" i="11"/>
  <c r="AA804" i="11"/>
  <c r="I804" i="11"/>
  <c r="X804" i="11"/>
  <c r="K823" i="11"/>
  <c r="R823" i="11"/>
  <c r="S804" i="11"/>
  <c r="P804" i="11"/>
  <c r="J823" i="11"/>
  <c r="W823" i="11"/>
  <c r="AA823" i="11"/>
  <c r="Y823" i="11"/>
  <c r="K804" i="11"/>
  <c r="W804" i="11"/>
  <c r="Q823" i="11"/>
  <c r="O823" i="11"/>
  <c r="O804" i="11"/>
  <c r="T823" i="11"/>
  <c r="L823" i="11"/>
  <c r="T1310" i="11"/>
  <c r="R1310" i="11"/>
  <c r="S1375" i="11"/>
  <c r="Z1375" i="11"/>
  <c r="X1375" i="11"/>
  <c r="J1356" i="11"/>
  <c r="O1375" i="11"/>
  <c r="I1789" i="11"/>
  <c r="R1770" i="11"/>
  <c r="N1789" i="11"/>
  <c r="L1310" i="11"/>
  <c r="X1329" i="11"/>
  <c r="J1310" i="11"/>
  <c r="Y1310" i="11"/>
  <c r="V1329" i="11"/>
  <c r="K1375" i="11"/>
  <c r="R1375" i="11"/>
  <c r="P1375" i="11"/>
  <c r="X1789" i="11"/>
  <c r="J1770" i="11"/>
  <c r="AA1007" i="11"/>
  <c r="AA1099" i="11"/>
  <c r="Q1007" i="11"/>
  <c r="K988" i="11"/>
  <c r="O1007" i="11"/>
  <c r="P988" i="11"/>
  <c r="Z1329" i="11"/>
  <c r="P1329" i="11"/>
  <c r="Q1310" i="11"/>
  <c r="N1329" i="11"/>
  <c r="J1375" i="11"/>
  <c r="AA1356" i="11"/>
  <c r="V1375" i="11"/>
  <c r="T1770" i="11"/>
  <c r="P1789" i="11"/>
  <c r="Y1770" i="11"/>
  <c r="U1789" i="11"/>
  <c r="T1789" i="11"/>
  <c r="L1375" i="11"/>
  <c r="R1329" i="11"/>
  <c r="AA1310" i="11"/>
  <c r="I1310" i="11"/>
  <c r="Y1375" i="11"/>
  <c r="S1356" i="11"/>
  <c r="Y1356" i="11"/>
  <c r="N1375" i="11"/>
  <c r="L1770" i="11"/>
  <c r="Q1770" i="11"/>
  <c r="X1770" i="11"/>
  <c r="M1789" i="11"/>
  <c r="T1375" i="11"/>
  <c r="M1375" i="11"/>
  <c r="V1770" i="11"/>
  <c r="U1770" i="11"/>
  <c r="L1789" i="11"/>
  <c r="N1356" i="11"/>
  <c r="V1356" i="11"/>
  <c r="J1329" i="11"/>
  <c r="S1310" i="11"/>
  <c r="U1356" i="11"/>
  <c r="Q1375" i="11"/>
  <c r="K1356" i="11"/>
  <c r="Q1356" i="11"/>
  <c r="Z1789" i="11"/>
  <c r="AA1770" i="11"/>
  <c r="P1770" i="11"/>
  <c r="W1356" i="11"/>
  <c r="N1770" i="11"/>
  <c r="L1329" i="11"/>
  <c r="O1356" i="11"/>
  <c r="Y1329" i="11"/>
  <c r="K1310" i="11"/>
  <c r="W1329" i="11"/>
  <c r="X1310" i="11"/>
  <c r="M1356" i="11"/>
  <c r="I1375" i="11"/>
  <c r="I1356" i="11"/>
  <c r="R1789" i="11"/>
  <c r="S1770" i="11"/>
  <c r="S1329" i="11"/>
  <c r="Q1329" i="11"/>
  <c r="O1329" i="11"/>
  <c r="P1310" i="11"/>
  <c r="U1329" i="11"/>
  <c r="T1356" i="11"/>
  <c r="Z1356" i="11"/>
  <c r="X1356" i="11"/>
  <c r="S1789" i="11"/>
  <c r="J1789" i="11"/>
  <c r="Y1789" i="11"/>
  <c r="K1770" i="11"/>
  <c r="W1789" i="11"/>
  <c r="W1770" i="11"/>
  <c r="AA1375" i="11"/>
  <c r="I1770" i="11"/>
  <c r="N639" i="11"/>
  <c r="I1080" i="11"/>
  <c r="L501" i="11"/>
  <c r="U482" i="11"/>
  <c r="V501" i="11"/>
  <c r="Y639" i="11"/>
  <c r="Q620" i="11"/>
  <c r="R712" i="11"/>
  <c r="AA1080" i="11"/>
  <c r="V1080" i="11"/>
  <c r="X482" i="11"/>
  <c r="S501" i="11"/>
  <c r="M482" i="11"/>
  <c r="O501" i="11"/>
  <c r="M620" i="11"/>
  <c r="Q639" i="11"/>
  <c r="K620" i="11"/>
  <c r="I620" i="11"/>
  <c r="U712" i="11"/>
  <c r="R731" i="11"/>
  <c r="X731" i="11"/>
  <c r="J712" i="11"/>
  <c r="P712" i="11"/>
  <c r="V712" i="11"/>
  <c r="N731" i="11"/>
  <c r="J1099" i="11"/>
  <c r="Y1099" i="11"/>
  <c r="S1080" i="11"/>
  <c r="P1080" i="11"/>
  <c r="S1283" i="11"/>
  <c r="Z1283" i="11"/>
  <c r="AA1264" i="11"/>
  <c r="I1264" i="11"/>
  <c r="X1264" i="11"/>
  <c r="M1402" i="11"/>
  <c r="N1421" i="11"/>
  <c r="Z1402" i="11"/>
  <c r="W1421" i="11"/>
  <c r="S1835" i="11"/>
  <c r="Z1835" i="11"/>
  <c r="P1835" i="11"/>
  <c r="Q1816" i="11"/>
  <c r="M1835" i="11"/>
  <c r="O574" i="11"/>
  <c r="L1283" i="11"/>
  <c r="N1816" i="11"/>
  <c r="AA501" i="11"/>
  <c r="W501" i="11"/>
  <c r="U620" i="11"/>
  <c r="S620" i="11"/>
  <c r="P620" i="11"/>
  <c r="Z731" i="11"/>
  <c r="O712" i="11"/>
  <c r="R1099" i="11"/>
  <c r="X1080" i="11"/>
  <c r="P482" i="11"/>
  <c r="K501" i="11"/>
  <c r="Z501" i="11"/>
  <c r="T482" i="11"/>
  <c r="AA482" i="11"/>
  <c r="I639" i="11"/>
  <c r="Z620" i="11"/>
  <c r="U639" i="11"/>
  <c r="M712" i="11"/>
  <c r="J731" i="11"/>
  <c r="Y731" i="11"/>
  <c r="X712" i="11"/>
  <c r="P731" i="11"/>
  <c r="N712" i="11"/>
  <c r="U1080" i="11"/>
  <c r="Q1099" i="11"/>
  <c r="K1080" i="11"/>
  <c r="W1099" i="11"/>
  <c r="W1080" i="11"/>
  <c r="K1283" i="11"/>
  <c r="R1283" i="11"/>
  <c r="S1264" i="11"/>
  <c r="P1264" i="11"/>
  <c r="T1402" i="11"/>
  <c r="P1402" i="11"/>
  <c r="R1402" i="11"/>
  <c r="O1421" i="11"/>
  <c r="K1835" i="11"/>
  <c r="R1835" i="11"/>
  <c r="I1816" i="11"/>
  <c r="X1816" i="11"/>
  <c r="AA1835" i="11"/>
  <c r="AA593" i="11"/>
  <c r="AA1145" i="11"/>
  <c r="T1283" i="11"/>
  <c r="N1080" i="11"/>
  <c r="L1835" i="11"/>
  <c r="N620" i="11"/>
  <c r="X850" i="11"/>
  <c r="R501" i="11"/>
  <c r="M1080" i="11"/>
  <c r="I1099" i="11"/>
  <c r="Z1080" i="11"/>
  <c r="O1099" i="11"/>
  <c r="O1080" i="11"/>
  <c r="J1835" i="11"/>
  <c r="AA1816" i="11"/>
  <c r="P1816" i="11"/>
  <c r="X501" i="11"/>
  <c r="S1816" i="11"/>
  <c r="W1835" i="11"/>
  <c r="W1816" i="11"/>
  <c r="V1264" i="11"/>
  <c r="L482" i="11"/>
  <c r="Q482" i="11"/>
  <c r="O482" i="11"/>
  <c r="J501" i="11"/>
  <c r="K482" i="11"/>
  <c r="Y482" i="11"/>
  <c r="M731" i="11"/>
  <c r="V1099" i="11"/>
  <c r="Q501" i="11"/>
  <c r="P501" i="11"/>
  <c r="R482" i="11"/>
  <c r="U501" i="11"/>
  <c r="K639" i="11"/>
  <c r="Z639" i="11"/>
  <c r="P639" i="11"/>
  <c r="V639" i="11"/>
  <c r="T1080" i="11"/>
  <c r="X1099" i="11"/>
  <c r="J1080" i="11"/>
  <c r="N1099" i="11"/>
  <c r="U1264" i="11"/>
  <c r="I1283" i="11"/>
  <c r="R1264" i="11"/>
  <c r="V1283" i="11"/>
  <c r="K1421" i="11"/>
  <c r="R1421" i="11"/>
  <c r="S1402" i="11"/>
  <c r="Y1402" i="11"/>
  <c r="X1402" i="11"/>
  <c r="U1816" i="11"/>
  <c r="Y1835" i="11"/>
  <c r="K1816" i="11"/>
  <c r="O1835" i="11"/>
  <c r="O1816" i="11"/>
  <c r="W482" i="11"/>
  <c r="S482" i="11"/>
  <c r="Y501" i="11"/>
  <c r="Z482" i="11"/>
  <c r="R1080" i="11"/>
  <c r="M501" i="11"/>
  <c r="V482" i="11"/>
  <c r="I501" i="11"/>
  <c r="J482" i="11"/>
  <c r="I482" i="11"/>
  <c r="R639" i="11"/>
  <c r="W620" i="11"/>
  <c r="S1099" i="11"/>
  <c r="L1080" i="11"/>
  <c r="P1099" i="11"/>
  <c r="Y1080" i="11"/>
  <c r="U1099" i="11"/>
  <c r="M1264" i="11"/>
  <c r="X1283" i="11"/>
  <c r="J1264" i="11"/>
  <c r="N1283" i="11"/>
  <c r="J1421" i="11"/>
  <c r="Y1421" i="11"/>
  <c r="K1402" i="11"/>
  <c r="Q1402" i="11"/>
  <c r="M1816" i="11"/>
  <c r="Q1835" i="11"/>
  <c r="Z1816" i="11"/>
  <c r="V1835" i="11"/>
  <c r="V1816" i="11"/>
  <c r="Z777" i="11"/>
  <c r="R758" i="11"/>
  <c r="W777" i="11"/>
  <c r="V758" i="11"/>
  <c r="AA777" i="11"/>
  <c r="L528" i="11"/>
  <c r="P547" i="11"/>
  <c r="Y528" i="11"/>
  <c r="N547" i="11"/>
  <c r="R777" i="11"/>
  <c r="X777" i="11"/>
  <c r="J758" i="11"/>
  <c r="O777" i="11"/>
  <c r="N758" i="11"/>
  <c r="H181" i="11"/>
  <c r="G178" i="11"/>
  <c r="M758" i="11"/>
  <c r="Y777" i="11"/>
  <c r="S758" i="11"/>
  <c r="M777" i="11"/>
  <c r="G163" i="11"/>
  <c r="G182" i="11"/>
  <c r="G159" i="11"/>
  <c r="K1697" i="11"/>
  <c r="L1678" i="11"/>
  <c r="O1632" i="11"/>
  <c r="T1329" i="11"/>
  <c r="P1586" i="11"/>
  <c r="W1310" i="11"/>
  <c r="M1329" i="11"/>
  <c r="R869" i="11"/>
  <c r="Z850" i="11"/>
  <c r="J850" i="11"/>
  <c r="Y850" i="11"/>
  <c r="V850" i="11"/>
  <c r="U1310" i="11"/>
  <c r="N1310" i="11"/>
  <c r="T1099" i="11"/>
  <c r="T850" i="11"/>
  <c r="Q869" i="11"/>
  <c r="W869" i="11"/>
  <c r="T869" i="11"/>
  <c r="U1034" i="11"/>
  <c r="Q1053" i="11"/>
  <c r="K1034" i="11"/>
  <c r="O1053" i="11"/>
  <c r="W1034" i="11"/>
  <c r="J1651" i="11"/>
  <c r="AA1632" i="11"/>
  <c r="X1651" i="11"/>
  <c r="J1632" i="11"/>
  <c r="Y1632" i="11"/>
  <c r="N1651" i="11"/>
  <c r="L1053" i="11"/>
  <c r="AA639" i="11"/>
  <c r="AA1053" i="11"/>
  <c r="K593" i="11"/>
  <c r="R593" i="11"/>
  <c r="AA574" i="11"/>
  <c r="I574" i="11"/>
  <c r="U593" i="11"/>
  <c r="T620" i="11"/>
  <c r="R620" i="11"/>
  <c r="W639" i="11"/>
  <c r="M639" i="11"/>
  <c r="T639" i="11"/>
  <c r="J593" i="11"/>
  <c r="Y593" i="11"/>
  <c r="S574" i="11"/>
  <c r="M593" i="11"/>
  <c r="S639" i="11"/>
  <c r="L620" i="11"/>
  <c r="X639" i="11"/>
  <c r="J620" i="11"/>
  <c r="O639" i="11"/>
  <c r="L639" i="11"/>
  <c r="M666" i="11"/>
  <c r="Q685" i="11"/>
  <c r="Z666" i="11"/>
  <c r="T685" i="11"/>
  <c r="P666" i="11"/>
  <c r="S869" i="11"/>
  <c r="L850" i="11"/>
  <c r="I869" i="11"/>
  <c r="O869" i="11"/>
  <c r="L869" i="11"/>
  <c r="M1034" i="11"/>
  <c r="I1053" i="11"/>
  <c r="Z1034" i="11"/>
  <c r="O1034" i="11"/>
  <c r="S1632" i="11"/>
  <c r="P1651" i="11"/>
  <c r="Q1632" i="11"/>
  <c r="T1053" i="11"/>
  <c r="V620" i="11"/>
  <c r="U1632" i="11"/>
  <c r="Y1651" i="11"/>
  <c r="K1632" i="11"/>
  <c r="I1632" i="11"/>
  <c r="T1651" i="11"/>
  <c r="N1034" i="11"/>
  <c r="T593" i="11"/>
  <c r="M1651" i="11"/>
  <c r="V942" i="11"/>
  <c r="M1632" i="11"/>
  <c r="Q1651" i="11"/>
  <c r="X1632" i="11"/>
  <c r="U1651" i="11"/>
  <c r="V574" i="11"/>
  <c r="T1632" i="11"/>
  <c r="I1651" i="11"/>
  <c r="W1651" i="11"/>
  <c r="P1632" i="11"/>
  <c r="W1632" i="11"/>
  <c r="K685" i="11"/>
  <c r="Z685" i="11"/>
  <c r="V666" i="11"/>
  <c r="AA850" i="11"/>
  <c r="Q850" i="11"/>
  <c r="N850" i="11"/>
  <c r="K1053" i="11"/>
  <c r="Z1053" i="11"/>
  <c r="I1034" i="11"/>
  <c r="M1053" i="11"/>
  <c r="L1632" i="11"/>
  <c r="O1651" i="11"/>
  <c r="AA869" i="11"/>
  <c r="W574" i="11"/>
  <c r="N574" i="11"/>
  <c r="H135" i="11"/>
  <c r="G132" i="11"/>
  <c r="T528" i="11"/>
  <c r="X547" i="11"/>
  <c r="J528" i="11"/>
  <c r="V547" i="11"/>
  <c r="U666" i="11"/>
  <c r="Y685" i="11"/>
  <c r="K666" i="11"/>
  <c r="I666" i="11"/>
  <c r="M685" i="11"/>
  <c r="X666" i="11"/>
  <c r="K712" i="11"/>
  <c r="U731" i="11"/>
  <c r="U942" i="11"/>
  <c r="Q961" i="11"/>
  <c r="K942" i="11"/>
  <c r="X942" i="11"/>
  <c r="AA685" i="11"/>
  <c r="AA731" i="11"/>
  <c r="L547" i="11"/>
  <c r="U547" i="11"/>
  <c r="M942" i="11"/>
  <c r="V961" i="11"/>
  <c r="S547" i="11"/>
  <c r="Z547" i="11"/>
  <c r="AA528" i="11"/>
  <c r="Q528" i="11"/>
  <c r="I685" i="11"/>
  <c r="R666" i="11"/>
  <c r="W685" i="11"/>
  <c r="L685" i="11"/>
  <c r="S731" i="11"/>
  <c r="I731" i="11"/>
  <c r="O731" i="11"/>
  <c r="Q712" i="11"/>
  <c r="T731" i="11"/>
  <c r="Q731" i="11"/>
  <c r="N961" i="11"/>
  <c r="Y942" i="11"/>
  <c r="U961" i="11"/>
  <c r="O528" i="11"/>
  <c r="AA547" i="11"/>
  <c r="I961" i="11"/>
  <c r="K547" i="11"/>
  <c r="R547" i="11"/>
  <c r="S528" i="11"/>
  <c r="I528" i="11"/>
  <c r="T666" i="11"/>
  <c r="X685" i="11"/>
  <c r="J666" i="11"/>
  <c r="O685" i="11"/>
  <c r="W666" i="11"/>
  <c r="K731" i="11"/>
  <c r="S712" i="11"/>
  <c r="T712" i="11"/>
  <c r="L731" i="11"/>
  <c r="W731" i="11"/>
  <c r="T942" i="11"/>
  <c r="Z942" i="11"/>
  <c r="Q942" i="11"/>
  <c r="M961" i="11"/>
  <c r="T961" i="11"/>
  <c r="N528" i="11"/>
  <c r="AA961" i="11"/>
  <c r="M547" i="11"/>
  <c r="T547" i="11"/>
  <c r="G136" i="11"/>
  <c r="R961" i="11"/>
  <c r="AA942" i="11"/>
  <c r="P961" i="11"/>
  <c r="W961" i="11"/>
  <c r="W942" i="11"/>
  <c r="V528" i="11"/>
  <c r="G117" i="11"/>
  <c r="H116" i="11"/>
  <c r="G113" i="11"/>
  <c r="P436" i="11"/>
  <c r="J436" i="11"/>
  <c r="K455" i="11"/>
  <c r="U436" i="11"/>
  <c r="N455" i="11"/>
  <c r="L436" i="11"/>
  <c r="S1191" i="11"/>
  <c r="W1191" i="11"/>
  <c r="J1191" i="11"/>
  <c r="Q1172" i="11"/>
  <c r="AA1172" i="11"/>
  <c r="T1191" i="11"/>
  <c r="O1191" i="11"/>
  <c r="H89" i="11"/>
  <c r="G88" i="11" s="1"/>
  <c r="D49" i="11" s="1"/>
  <c r="G3" i="12" s="1"/>
  <c r="G86" i="11"/>
  <c r="K1191" i="11"/>
  <c r="Y1191" i="11"/>
  <c r="S1172" i="11"/>
  <c r="Y1172" i="11"/>
  <c r="Q1191" i="11"/>
  <c r="K1172" i="11"/>
  <c r="N1191" i="11"/>
  <c r="W1172" i="11"/>
  <c r="I1172" i="11"/>
  <c r="G71" i="11"/>
  <c r="I1191" i="11"/>
  <c r="Z1172" i="11"/>
  <c r="O1172" i="11"/>
  <c r="V988" i="11"/>
  <c r="G67" i="11"/>
  <c r="H70" i="11"/>
  <c r="V436" i="11"/>
  <c r="U1172" i="11"/>
  <c r="V1191" i="11"/>
  <c r="T1172" i="11"/>
  <c r="R1172" i="11"/>
  <c r="X1172" i="11"/>
  <c r="V1172" i="11"/>
  <c r="P1172" i="11"/>
  <c r="K1513" i="11"/>
  <c r="Z1513" i="11"/>
  <c r="G90" i="11"/>
  <c r="G79" i="11"/>
  <c r="M1172" i="11"/>
  <c r="L1172" i="11"/>
  <c r="X1191" i="11"/>
  <c r="J1172" i="11"/>
  <c r="N1172" i="11"/>
  <c r="M455" i="11"/>
  <c r="J455" i="11"/>
  <c r="I436" i="11"/>
  <c r="AA436" i="11"/>
  <c r="W436" i="11"/>
  <c r="AA455" i="11"/>
  <c r="W455" i="11"/>
  <c r="Z1191" i="11"/>
  <c r="P1191" i="11"/>
  <c r="U1191" i="11"/>
  <c r="K1007" i="11"/>
  <c r="R1007" i="11"/>
  <c r="AA988" i="11"/>
  <c r="M1007" i="11"/>
  <c r="T1007" i="11"/>
  <c r="Y988" i="11"/>
  <c r="G44" i="11"/>
  <c r="D3" i="11"/>
  <c r="G2" i="12" s="1"/>
  <c r="D4" i="11"/>
  <c r="H2" i="12" s="1"/>
  <c r="G25" i="11"/>
  <c r="J1007" i="11"/>
  <c r="Y1007" i="11"/>
  <c r="S988" i="11"/>
  <c r="W1007" i="11"/>
  <c r="X988" i="11"/>
  <c r="L1007" i="11"/>
  <c r="G21" i="11"/>
  <c r="H24" i="11"/>
  <c r="G23" i="11" s="1"/>
  <c r="H43" i="11"/>
  <c r="G40" i="11"/>
  <c r="U988" i="11"/>
  <c r="I1007" i="11"/>
  <c r="Z988" i="11"/>
  <c r="W988" i="11"/>
  <c r="M988" i="11"/>
  <c r="R988" i="11"/>
  <c r="O988" i="11"/>
  <c r="Q988" i="11"/>
  <c r="N988" i="11"/>
  <c r="T988" i="11"/>
  <c r="X1007" i="11"/>
  <c r="J988" i="11"/>
  <c r="V1007" i="11"/>
  <c r="L988" i="11"/>
  <c r="P1007" i="11"/>
  <c r="N1007" i="11"/>
  <c r="S1007" i="11"/>
  <c r="Z1007" i="11"/>
  <c r="U1007" i="11"/>
  <c r="AA1697" i="11"/>
  <c r="AA363" i="11"/>
  <c r="Q363" i="11"/>
  <c r="AA1559" i="11"/>
  <c r="AA1421" i="11"/>
  <c r="Z1559" i="11"/>
  <c r="X1559" i="11"/>
  <c r="J1540" i="11"/>
  <c r="Y1540" i="11"/>
  <c r="T455" i="11"/>
  <c r="K436" i="11"/>
  <c r="M436" i="11"/>
  <c r="Y455" i="11"/>
  <c r="L455" i="11"/>
  <c r="Z455" i="11"/>
  <c r="Q455" i="11"/>
  <c r="R1559" i="11"/>
  <c r="P1559" i="11"/>
  <c r="Q1540" i="11"/>
  <c r="M1559" i="11"/>
  <c r="P1540" i="11"/>
  <c r="AA1605" i="11"/>
  <c r="U1540" i="11"/>
  <c r="J1559" i="11"/>
  <c r="AA1540" i="11"/>
  <c r="I1540" i="11"/>
  <c r="T1559" i="11"/>
  <c r="U455" i="11"/>
  <c r="M1540" i="11"/>
  <c r="Y1559" i="11"/>
  <c r="S1540" i="11"/>
  <c r="L1559" i="11"/>
  <c r="X1540" i="11"/>
  <c r="Q1559" i="11"/>
  <c r="K1540" i="11"/>
  <c r="W1559" i="11"/>
  <c r="W1540" i="11"/>
  <c r="I1559" i="11"/>
  <c r="O1559" i="11"/>
  <c r="O1540" i="11"/>
  <c r="S1559" i="11"/>
  <c r="N1559" i="11"/>
  <c r="T1540" i="11"/>
  <c r="Z1540" i="11"/>
  <c r="V1559" i="11"/>
  <c r="V1540" i="11"/>
  <c r="N363" i="11"/>
  <c r="M344" i="11"/>
  <c r="K1559" i="11"/>
  <c r="AA1191" i="11"/>
  <c r="R1191" i="11"/>
  <c r="M1191" i="11"/>
  <c r="L1191" i="11"/>
  <c r="X455" i="11"/>
  <c r="N1494" i="11"/>
  <c r="V455" i="11"/>
  <c r="N436" i="11"/>
  <c r="S436" i="11"/>
  <c r="R436" i="11"/>
  <c r="S1697" i="11"/>
  <c r="T1678" i="11"/>
  <c r="X1697" i="11"/>
  <c r="J1678" i="11"/>
  <c r="Y1678" i="11"/>
  <c r="U1697" i="11"/>
  <c r="X436" i="11"/>
  <c r="O436" i="11"/>
  <c r="S455" i="11"/>
  <c r="Z436" i="11"/>
  <c r="T436" i="11"/>
  <c r="U1678" i="11"/>
  <c r="J1697" i="11"/>
  <c r="Y1697" i="11"/>
  <c r="S1678" i="11"/>
  <c r="W1697" i="11"/>
  <c r="R455" i="11"/>
  <c r="I455" i="11"/>
  <c r="P455" i="11"/>
  <c r="M1678" i="11"/>
  <c r="Q1697" i="11"/>
  <c r="K1678" i="11"/>
  <c r="O1697" i="11"/>
  <c r="O455" i="11"/>
  <c r="R1513" i="11"/>
  <c r="AA1494" i="11"/>
  <c r="I1494" i="11"/>
  <c r="X1494" i="11"/>
  <c r="AA1513" i="11"/>
  <c r="J1513" i="11"/>
  <c r="Y1513" i="11"/>
  <c r="S1494" i="11"/>
  <c r="P1494" i="11"/>
  <c r="Y436" i="11"/>
  <c r="U1494" i="11"/>
  <c r="Q1513" i="11"/>
  <c r="K1494" i="11"/>
  <c r="W1513" i="11"/>
  <c r="M1697" i="11"/>
  <c r="T1697" i="11"/>
  <c r="M1494" i="11"/>
  <c r="I1513" i="11"/>
  <c r="Z1494" i="11"/>
  <c r="O1513" i="11"/>
  <c r="O1494" i="11"/>
  <c r="R1494" i="11"/>
  <c r="V1513" i="11"/>
  <c r="T1494" i="11"/>
  <c r="X1513" i="11"/>
  <c r="J1494" i="11"/>
  <c r="N1513" i="11"/>
  <c r="S1513" i="11"/>
  <c r="L1494" i="11"/>
  <c r="P1513" i="11"/>
  <c r="Y1494" i="11"/>
  <c r="U1513" i="11"/>
  <c r="U1586" i="11"/>
  <c r="Y1605" i="11"/>
  <c r="S1586" i="11"/>
  <c r="X1605" i="11"/>
  <c r="J1586" i="11"/>
  <c r="O1605" i="11"/>
  <c r="M1586" i="11"/>
  <c r="Q1605" i="11"/>
  <c r="K1586" i="11"/>
  <c r="P1605" i="11"/>
  <c r="Z1697" i="11"/>
  <c r="I1678" i="11"/>
  <c r="X1678" i="11"/>
  <c r="L1697" i="11"/>
  <c r="Q436" i="11"/>
  <c r="AA938" i="11"/>
  <c r="T1586" i="11"/>
  <c r="I1605" i="11"/>
  <c r="R1697" i="11"/>
  <c r="AA1678" i="11"/>
  <c r="P1678" i="11"/>
  <c r="V1678" i="11"/>
  <c r="L1586" i="11"/>
  <c r="Y1586" i="11"/>
  <c r="M1605" i="11"/>
  <c r="T1605" i="11"/>
  <c r="S1605" i="11"/>
  <c r="Z1605" i="11"/>
  <c r="V1605" i="11"/>
  <c r="Q1586" i="11"/>
  <c r="L1605" i="11"/>
  <c r="O1678" i="11"/>
  <c r="W1494" i="11"/>
  <c r="L1540" i="11"/>
  <c r="R1540" i="11"/>
  <c r="N1540" i="11"/>
  <c r="K1605" i="11"/>
  <c r="R1605" i="11"/>
  <c r="I1586" i="11"/>
  <c r="I1697" i="11"/>
  <c r="Z1678" i="11"/>
  <c r="V1697" i="11"/>
  <c r="U1559" i="11"/>
  <c r="J1605" i="11"/>
  <c r="N1605" i="11"/>
  <c r="X1586" i="11"/>
  <c r="Z1586" i="11"/>
  <c r="W1586" i="11"/>
  <c r="R1678" i="11"/>
  <c r="N1697" i="11"/>
  <c r="G1832" i="11"/>
  <c r="H1835" i="11"/>
  <c r="G1813" i="11"/>
  <c r="H1816" i="11"/>
  <c r="Y1828" i="11"/>
  <c r="Q1828" i="11"/>
  <c r="I1828" i="11"/>
  <c r="I1837" i="11" s="1"/>
  <c r="I1838" i="11" s="1"/>
  <c r="U1809" i="11"/>
  <c r="M1809" i="11"/>
  <c r="X1828" i="11"/>
  <c r="X1837" i="11" s="1"/>
  <c r="X1838" i="11" s="1"/>
  <c r="P1828" i="11"/>
  <c r="H1828" i="11"/>
  <c r="T1809" i="11"/>
  <c r="T1818" i="11" s="1"/>
  <c r="T1819" i="11" s="1"/>
  <c r="L1809" i="11"/>
  <c r="L1818" i="11" s="1"/>
  <c r="L1819" i="11" s="1"/>
  <c r="G1807" i="11"/>
  <c r="Z1828" i="11"/>
  <c r="R1828" i="11"/>
  <c r="J1828" i="11"/>
  <c r="J1837" i="11" s="1"/>
  <c r="J1838" i="11" s="1"/>
  <c r="V1809" i="11"/>
  <c r="N1809" i="11"/>
  <c r="W1828" i="11"/>
  <c r="O1828" i="11"/>
  <c r="AA1809" i="11"/>
  <c r="S1809" i="11"/>
  <c r="K1809" i="11"/>
  <c r="V1828" i="11"/>
  <c r="N1828" i="11"/>
  <c r="N1837" i="11" s="1"/>
  <c r="N1838" i="11" s="1"/>
  <c r="Z1809" i="11"/>
  <c r="R1809" i="11"/>
  <c r="R1818" i="11" s="1"/>
  <c r="R1819" i="11" s="1"/>
  <c r="J1809" i="11"/>
  <c r="J1818" i="11" s="1"/>
  <c r="J1819" i="11" s="1"/>
  <c r="U1828" i="11"/>
  <c r="U1837" i="11" s="1"/>
  <c r="U1838" i="11" s="1"/>
  <c r="M1828" i="11"/>
  <c r="Y1809" i="11"/>
  <c r="Y1818" i="11" s="1"/>
  <c r="Y1819" i="11" s="1"/>
  <c r="Q1809" i="11"/>
  <c r="I1809" i="11"/>
  <c r="I1818" i="11" s="1"/>
  <c r="I1819" i="11" s="1"/>
  <c r="T1828" i="11"/>
  <c r="T1837" i="11" s="1"/>
  <c r="T1838" i="11" s="1"/>
  <c r="L1828" i="11"/>
  <c r="G1826" i="11"/>
  <c r="X1809" i="11"/>
  <c r="P1809" i="11"/>
  <c r="H1809" i="11"/>
  <c r="AA1828" i="11"/>
  <c r="S1828" i="11"/>
  <c r="K1828" i="11"/>
  <c r="W1809" i="11"/>
  <c r="O1809" i="11"/>
  <c r="G1829" i="11"/>
  <c r="AA1831" i="11"/>
  <c r="AA1812" i="11"/>
  <c r="G1810" i="11"/>
  <c r="Y1782" i="11"/>
  <c r="Q1782" i="11"/>
  <c r="I1782" i="11"/>
  <c r="U1763" i="11"/>
  <c r="M1763" i="11"/>
  <c r="X1782" i="11"/>
  <c r="P1782" i="11"/>
  <c r="P1791" i="11" s="1"/>
  <c r="P1792" i="11" s="1"/>
  <c r="H1782" i="11"/>
  <c r="T1763" i="11"/>
  <c r="L1763" i="11"/>
  <c r="G1761" i="11"/>
  <c r="W1782" i="11"/>
  <c r="O1782" i="11"/>
  <c r="AA1763" i="11"/>
  <c r="S1763" i="11"/>
  <c r="K1763" i="11"/>
  <c r="V1782" i="11"/>
  <c r="V1791" i="11" s="1"/>
  <c r="V1792" i="11" s="1"/>
  <c r="N1782" i="11"/>
  <c r="Z1763" i="11"/>
  <c r="R1763" i="11"/>
  <c r="J1763" i="11"/>
  <c r="J1772" i="11" s="1"/>
  <c r="J1773" i="11" s="1"/>
  <c r="R1782" i="11"/>
  <c r="U1782" i="11"/>
  <c r="M1782" i="11"/>
  <c r="Y1763" i="11"/>
  <c r="Y1772" i="11" s="1"/>
  <c r="Y1773" i="11" s="1"/>
  <c r="Q1763" i="11"/>
  <c r="I1763" i="11"/>
  <c r="I1772" i="11" s="1"/>
  <c r="I1773" i="11" s="1"/>
  <c r="V1763" i="11"/>
  <c r="T1782" i="11"/>
  <c r="T1791" i="11" s="1"/>
  <c r="T1792" i="11" s="1"/>
  <c r="L1782" i="11"/>
  <c r="G1780" i="11"/>
  <c r="X1763" i="11"/>
  <c r="P1763" i="11"/>
  <c r="H1763" i="11"/>
  <c r="Z1782" i="11"/>
  <c r="J1782" i="11"/>
  <c r="AA1782" i="11"/>
  <c r="S1782" i="11"/>
  <c r="K1782" i="11"/>
  <c r="K1791" i="11" s="1"/>
  <c r="K1792" i="11" s="1"/>
  <c r="W1763" i="11"/>
  <c r="O1763" i="11"/>
  <c r="O1772" i="11" s="1"/>
  <c r="O1773" i="11" s="1"/>
  <c r="N1763" i="11"/>
  <c r="N1772" i="11" s="1"/>
  <c r="N1773" i="11" s="1"/>
  <c r="G1786" i="11"/>
  <c r="H1789" i="11"/>
  <c r="G1764" i="11"/>
  <c r="AA1785" i="11"/>
  <c r="H1770" i="11"/>
  <c r="G1767" i="11"/>
  <c r="G1783" i="11"/>
  <c r="G1737" i="11"/>
  <c r="AA1720" i="11"/>
  <c r="G1718" i="11"/>
  <c r="Y1736" i="11"/>
  <c r="Y1745" i="11" s="1"/>
  <c r="Y1746" i="11" s="1"/>
  <c r="Q1736" i="11"/>
  <c r="I1736" i="11"/>
  <c r="I1745" i="11" s="1"/>
  <c r="I1746" i="11" s="1"/>
  <c r="U1717" i="11"/>
  <c r="M1717" i="11"/>
  <c r="N1717" i="11"/>
  <c r="X1736" i="11"/>
  <c r="X1745" i="11" s="1"/>
  <c r="X1746" i="11" s="1"/>
  <c r="P1736" i="11"/>
  <c r="P1745" i="11" s="1"/>
  <c r="P1746" i="11" s="1"/>
  <c r="H1736" i="11"/>
  <c r="T1717" i="11"/>
  <c r="T1726" i="11" s="1"/>
  <c r="T1727" i="11" s="1"/>
  <c r="L1717" i="11"/>
  <c r="L1726" i="11" s="1"/>
  <c r="L1727" i="11" s="1"/>
  <c r="G1715" i="11"/>
  <c r="V1717" i="11"/>
  <c r="W1736" i="11"/>
  <c r="W1745" i="11" s="1"/>
  <c r="W1746" i="11" s="1"/>
  <c r="O1736" i="11"/>
  <c r="O1745" i="11" s="1"/>
  <c r="O1746" i="11" s="1"/>
  <c r="AA1717" i="11"/>
  <c r="AA1726" i="11" s="1"/>
  <c r="AA1727" i="11" s="1"/>
  <c r="S1717" i="11"/>
  <c r="K1717" i="11"/>
  <c r="J1736" i="11"/>
  <c r="V1736" i="11"/>
  <c r="N1736" i="11"/>
  <c r="N1745" i="11" s="1"/>
  <c r="N1746" i="11" s="1"/>
  <c r="Z1717" i="11"/>
  <c r="R1717" i="11"/>
  <c r="J1717" i="11"/>
  <c r="R1736" i="11"/>
  <c r="U1736" i="11"/>
  <c r="M1736" i="11"/>
  <c r="Y1717" i="11"/>
  <c r="Y1726" i="11" s="1"/>
  <c r="Y1727" i="11" s="1"/>
  <c r="Q1717" i="11"/>
  <c r="I1717" i="11"/>
  <c r="T1736" i="11"/>
  <c r="T1745" i="11" s="1"/>
  <c r="T1746" i="11" s="1"/>
  <c r="L1736" i="11"/>
  <c r="G1734" i="11"/>
  <c r="X1717" i="11"/>
  <c r="P1717" i="11"/>
  <c r="P1726" i="11" s="1"/>
  <c r="P1727" i="11" s="1"/>
  <c r="H1717" i="11"/>
  <c r="AA1736" i="11"/>
  <c r="S1736" i="11"/>
  <c r="K1736" i="11"/>
  <c r="K1745" i="11" s="1"/>
  <c r="K1746" i="11" s="1"/>
  <c r="W1717" i="11"/>
  <c r="O1717" i="11"/>
  <c r="Z1736" i="11"/>
  <c r="M1745" i="11"/>
  <c r="M1746" i="11" s="1"/>
  <c r="G1740" i="11"/>
  <c r="H1743" i="11"/>
  <c r="G1721" i="11"/>
  <c r="H1724" i="11"/>
  <c r="G1645" i="11"/>
  <c r="W1678" i="11"/>
  <c r="N1678" i="11"/>
  <c r="Y1690" i="11"/>
  <c r="Q1690" i="11"/>
  <c r="I1690" i="11"/>
  <c r="U1671" i="11"/>
  <c r="M1671" i="11"/>
  <c r="R1690" i="11"/>
  <c r="X1690" i="11"/>
  <c r="P1690" i="11"/>
  <c r="P1699" i="11" s="1"/>
  <c r="P1700" i="11" s="1"/>
  <c r="H1690" i="11"/>
  <c r="T1671" i="11"/>
  <c r="L1671" i="11"/>
  <c r="L1680" i="11" s="1"/>
  <c r="L1681" i="11" s="1"/>
  <c r="G1669" i="11"/>
  <c r="J1690" i="11"/>
  <c r="V1671" i="11"/>
  <c r="N1671" i="11"/>
  <c r="W1690" i="11"/>
  <c r="O1690" i="11"/>
  <c r="AA1671" i="11"/>
  <c r="AA1680" i="11" s="1"/>
  <c r="AA1681" i="11" s="1"/>
  <c r="S1671" i="11"/>
  <c r="K1671" i="11"/>
  <c r="K1680" i="11" s="1"/>
  <c r="K1681" i="11" s="1"/>
  <c r="V1690" i="11"/>
  <c r="N1690" i="11"/>
  <c r="Z1671" i="11"/>
  <c r="R1671" i="11"/>
  <c r="J1671" i="11"/>
  <c r="U1690" i="11"/>
  <c r="M1690" i="11"/>
  <c r="Y1671" i="11"/>
  <c r="Q1671" i="11"/>
  <c r="Q1680" i="11" s="1"/>
  <c r="Q1681" i="11" s="1"/>
  <c r="I1671" i="11"/>
  <c r="T1690" i="11"/>
  <c r="L1690" i="11"/>
  <c r="G1688" i="11"/>
  <c r="X1671" i="11"/>
  <c r="P1671" i="11"/>
  <c r="H1671" i="11"/>
  <c r="Z1690" i="11"/>
  <c r="AA1690" i="11"/>
  <c r="S1690" i="11"/>
  <c r="K1690" i="11"/>
  <c r="W1671" i="11"/>
  <c r="O1671" i="11"/>
  <c r="G1694" i="11"/>
  <c r="H1697" i="11"/>
  <c r="AA1693" i="11"/>
  <c r="G1691" i="11"/>
  <c r="G1675" i="11"/>
  <c r="H1678" i="11"/>
  <c r="AA1674" i="11"/>
  <c r="G1672" i="11"/>
  <c r="V1586" i="11"/>
  <c r="G1626" i="11"/>
  <c r="Y1644" i="11"/>
  <c r="Y1653" i="11" s="1"/>
  <c r="Y1654" i="11" s="1"/>
  <c r="Q1644" i="11"/>
  <c r="I1644" i="11"/>
  <c r="U1625" i="11"/>
  <c r="M1625" i="11"/>
  <c r="M1634" i="11" s="1"/>
  <c r="M1635" i="11" s="1"/>
  <c r="X1644" i="11"/>
  <c r="P1644" i="11"/>
  <c r="H1644" i="11"/>
  <c r="T1625" i="11"/>
  <c r="L1625" i="11"/>
  <c r="L1634" i="11" s="1"/>
  <c r="L1635" i="11" s="1"/>
  <c r="G1623" i="11"/>
  <c r="Z1644" i="11"/>
  <c r="W1644" i="11"/>
  <c r="O1644" i="11"/>
  <c r="AA1625" i="11"/>
  <c r="AA1634" i="11" s="1"/>
  <c r="AA1635" i="11" s="1"/>
  <c r="S1625" i="11"/>
  <c r="K1625" i="11"/>
  <c r="AA1644" i="11"/>
  <c r="AA1653" i="11" s="1"/>
  <c r="AA1654" i="11" s="1"/>
  <c r="S1644" i="11"/>
  <c r="S1653" i="11" s="1"/>
  <c r="S1654" i="11" s="1"/>
  <c r="K1644" i="11"/>
  <c r="W1625" i="11"/>
  <c r="J1644" i="11"/>
  <c r="V1644" i="11"/>
  <c r="N1644" i="11"/>
  <c r="N1653" i="11" s="1"/>
  <c r="N1654" i="11" s="1"/>
  <c r="Z1625" i="11"/>
  <c r="R1625" i="11"/>
  <c r="J1625" i="11"/>
  <c r="R1644" i="11"/>
  <c r="V1625" i="11"/>
  <c r="N1625" i="11"/>
  <c r="U1644" i="11"/>
  <c r="M1644" i="11"/>
  <c r="Y1625" i="11"/>
  <c r="Y1634" i="11" s="1"/>
  <c r="Y1635" i="11" s="1"/>
  <c r="Q1625" i="11"/>
  <c r="Q1634" i="11" s="1"/>
  <c r="Q1635" i="11" s="1"/>
  <c r="I1625" i="11"/>
  <c r="O1625" i="11"/>
  <c r="T1644" i="11"/>
  <c r="L1644" i="11"/>
  <c r="G1642" i="11"/>
  <c r="X1625" i="11"/>
  <c r="P1625" i="11"/>
  <c r="P1634" i="11" s="1"/>
  <c r="P1635" i="11" s="1"/>
  <c r="H1625" i="11"/>
  <c r="H1632" i="11"/>
  <c r="G1629" i="11"/>
  <c r="H1651" i="11"/>
  <c r="G1648" i="11"/>
  <c r="AA1628" i="11"/>
  <c r="N1586" i="11"/>
  <c r="U1605" i="11"/>
  <c r="G1602" i="11"/>
  <c r="H1605" i="11"/>
  <c r="G1580" i="11"/>
  <c r="Y1598" i="11"/>
  <c r="Q1598" i="11"/>
  <c r="I1598" i="11"/>
  <c r="U1579" i="11"/>
  <c r="M1579" i="11"/>
  <c r="X1579" i="11"/>
  <c r="X1598" i="11"/>
  <c r="P1598" i="11"/>
  <c r="H1598" i="11"/>
  <c r="T1579" i="11"/>
  <c r="L1579" i="11"/>
  <c r="G1577" i="11"/>
  <c r="L1598" i="11"/>
  <c r="P1579" i="11"/>
  <c r="W1598" i="11"/>
  <c r="W1607" i="11" s="1"/>
  <c r="W1608" i="11" s="1"/>
  <c r="O1598" i="11"/>
  <c r="AA1579" i="11"/>
  <c r="AA1588" i="11" s="1"/>
  <c r="AA1589" i="11" s="1"/>
  <c r="S1579" i="11"/>
  <c r="K1579" i="11"/>
  <c r="H1579" i="11"/>
  <c r="V1598" i="11"/>
  <c r="N1598" i="11"/>
  <c r="Z1579" i="11"/>
  <c r="R1579" i="11"/>
  <c r="R1588" i="11" s="1"/>
  <c r="R1589" i="11" s="1"/>
  <c r="J1579" i="11"/>
  <c r="U1598" i="11"/>
  <c r="M1598" i="11"/>
  <c r="Y1579" i="11"/>
  <c r="Q1579" i="11"/>
  <c r="I1579" i="11"/>
  <c r="T1598" i="11"/>
  <c r="G1596" i="11"/>
  <c r="V1579" i="11"/>
  <c r="AA1598" i="11"/>
  <c r="S1598" i="11"/>
  <c r="K1598" i="11"/>
  <c r="W1579" i="11"/>
  <c r="O1579" i="11"/>
  <c r="O1588" i="11" s="1"/>
  <c r="O1589" i="11" s="1"/>
  <c r="Z1598" i="11"/>
  <c r="R1598" i="11"/>
  <c r="J1598" i="11"/>
  <c r="N1579" i="11"/>
  <c r="AA1601" i="11"/>
  <c r="G1599" i="11"/>
  <c r="G1583" i="11"/>
  <c r="H1586" i="11"/>
  <c r="T1513" i="11"/>
  <c r="L1513" i="11"/>
  <c r="V1494" i="11"/>
  <c r="G1556" i="11"/>
  <c r="H1559" i="11"/>
  <c r="Y1552" i="11"/>
  <c r="Q1552" i="11"/>
  <c r="I1552" i="11"/>
  <c r="U1533" i="11"/>
  <c r="M1533" i="11"/>
  <c r="T1552" i="11"/>
  <c r="X1552" i="11"/>
  <c r="X1561" i="11" s="1"/>
  <c r="X1562" i="11" s="1"/>
  <c r="P1552" i="11"/>
  <c r="H1552" i="11"/>
  <c r="AA1536" i="11"/>
  <c r="T1533" i="11"/>
  <c r="L1533" i="11"/>
  <c r="G1531" i="11"/>
  <c r="X1533" i="11"/>
  <c r="W1552" i="11"/>
  <c r="O1552" i="11"/>
  <c r="AA1533" i="11"/>
  <c r="AA1542" i="11" s="1"/>
  <c r="AA1543" i="11" s="1"/>
  <c r="S1533" i="11"/>
  <c r="K1533" i="11"/>
  <c r="V1552" i="11"/>
  <c r="N1552" i="11"/>
  <c r="Z1533" i="11"/>
  <c r="R1533" i="11"/>
  <c r="J1533" i="11"/>
  <c r="P1533" i="11"/>
  <c r="U1552" i="11"/>
  <c r="M1552" i="11"/>
  <c r="Y1533" i="11"/>
  <c r="Q1533" i="11"/>
  <c r="I1533" i="11"/>
  <c r="L1552" i="11"/>
  <c r="H1533" i="11"/>
  <c r="AA1552" i="11"/>
  <c r="S1552" i="11"/>
  <c r="S1561" i="11" s="1"/>
  <c r="S1562" i="11" s="1"/>
  <c r="K1552" i="11"/>
  <c r="W1533" i="11"/>
  <c r="O1533" i="11"/>
  <c r="Z1552" i="11"/>
  <c r="Z1561" i="11" s="1"/>
  <c r="Z1562" i="11" s="1"/>
  <c r="R1552" i="11"/>
  <c r="J1552" i="11"/>
  <c r="V1533" i="11"/>
  <c r="N1533" i="11"/>
  <c r="G1550" i="11"/>
  <c r="G1534" i="11"/>
  <c r="G1553" i="11"/>
  <c r="H1540" i="11"/>
  <c r="G1537" i="11"/>
  <c r="Y1506" i="11"/>
  <c r="Q1506" i="11"/>
  <c r="I1506" i="11"/>
  <c r="U1487" i="11"/>
  <c r="M1487" i="11"/>
  <c r="X1506" i="11"/>
  <c r="P1506" i="11"/>
  <c r="H1506" i="11"/>
  <c r="T1487" i="11"/>
  <c r="L1487" i="11"/>
  <c r="G1485" i="11"/>
  <c r="W1506" i="11"/>
  <c r="O1506" i="11"/>
  <c r="AA1487" i="11"/>
  <c r="S1487" i="11"/>
  <c r="K1487" i="11"/>
  <c r="V1506" i="11"/>
  <c r="N1506" i="11"/>
  <c r="Z1487" i="11"/>
  <c r="R1487" i="11"/>
  <c r="J1487" i="11"/>
  <c r="U1506" i="11"/>
  <c r="M1506" i="11"/>
  <c r="M1515" i="11" s="1"/>
  <c r="M1516" i="11" s="1"/>
  <c r="Y1487" i="11"/>
  <c r="Q1487" i="11"/>
  <c r="Q1496" i="11" s="1"/>
  <c r="Q1497" i="11" s="1"/>
  <c r="I1487" i="11"/>
  <c r="Z1506" i="11"/>
  <c r="T1506" i="11"/>
  <c r="L1506" i="11"/>
  <c r="G1504" i="11"/>
  <c r="X1487" i="11"/>
  <c r="P1487" i="11"/>
  <c r="H1487" i="11"/>
  <c r="V1487" i="11"/>
  <c r="N1487" i="11"/>
  <c r="AA1506" i="11"/>
  <c r="S1506" i="11"/>
  <c r="K1506" i="11"/>
  <c r="K1515" i="11" s="1"/>
  <c r="K1516" i="11" s="1"/>
  <c r="W1487" i="11"/>
  <c r="O1487" i="11"/>
  <c r="R1506" i="11"/>
  <c r="J1506" i="11"/>
  <c r="J1515" i="11" s="1"/>
  <c r="J1516" i="11" s="1"/>
  <c r="G1488" i="11"/>
  <c r="AA1509" i="11"/>
  <c r="G1507" i="11"/>
  <c r="G1491" i="11"/>
  <c r="H1494" i="11"/>
  <c r="G1510" i="11"/>
  <c r="H1513" i="11"/>
  <c r="AA1490" i="11"/>
  <c r="G1464" i="11"/>
  <c r="H1467" i="11"/>
  <c r="G1461" i="11"/>
  <c r="Y1460" i="11"/>
  <c r="Q1460" i="11"/>
  <c r="Q1469" i="11" s="1"/>
  <c r="Q1470" i="11" s="1"/>
  <c r="I1460" i="11"/>
  <c r="I1469" i="11" s="1"/>
  <c r="I1470" i="11" s="1"/>
  <c r="U1441" i="11"/>
  <c r="U1450" i="11" s="1"/>
  <c r="U1451" i="11" s="1"/>
  <c r="M1441" i="11"/>
  <c r="M1450" i="11" s="1"/>
  <c r="M1451" i="11" s="1"/>
  <c r="N1460" i="11"/>
  <c r="N1469" i="11" s="1"/>
  <c r="N1470" i="11" s="1"/>
  <c r="R1441" i="11"/>
  <c r="R1450" i="11" s="1"/>
  <c r="R1451" i="11" s="1"/>
  <c r="J1441" i="11"/>
  <c r="J1450" i="11" s="1"/>
  <c r="J1451" i="11" s="1"/>
  <c r="X1460" i="11"/>
  <c r="X1469" i="11" s="1"/>
  <c r="X1470" i="11" s="1"/>
  <c r="P1460" i="11"/>
  <c r="P1469" i="11" s="1"/>
  <c r="P1470" i="11" s="1"/>
  <c r="H1460" i="11"/>
  <c r="T1441" i="11"/>
  <c r="T1450" i="11" s="1"/>
  <c r="T1451" i="11" s="1"/>
  <c r="L1441" i="11"/>
  <c r="G1439" i="11"/>
  <c r="V1460" i="11"/>
  <c r="V1469" i="11" s="1"/>
  <c r="V1470" i="11" s="1"/>
  <c r="W1460" i="11"/>
  <c r="W1469" i="11" s="1"/>
  <c r="W1470" i="11" s="1"/>
  <c r="O1460" i="11"/>
  <c r="AA1441" i="11"/>
  <c r="S1441" i="11"/>
  <c r="S1450" i="11" s="1"/>
  <c r="S1451" i="11" s="1"/>
  <c r="K1441" i="11"/>
  <c r="Z1441" i="11"/>
  <c r="U1460" i="11"/>
  <c r="M1460" i="11"/>
  <c r="M1469" i="11" s="1"/>
  <c r="M1470" i="11" s="1"/>
  <c r="Y1441" i="11"/>
  <c r="Y1450" i="11" s="1"/>
  <c r="Y1451" i="11" s="1"/>
  <c r="Q1441" i="11"/>
  <c r="Q1450" i="11" s="1"/>
  <c r="Q1451" i="11" s="1"/>
  <c r="I1441" i="11"/>
  <c r="R1460" i="11"/>
  <c r="R1469" i="11" s="1"/>
  <c r="R1470" i="11" s="1"/>
  <c r="T1460" i="11"/>
  <c r="T1469" i="11" s="1"/>
  <c r="T1470" i="11" s="1"/>
  <c r="L1460" i="11"/>
  <c r="L1469" i="11" s="1"/>
  <c r="L1470" i="11" s="1"/>
  <c r="G1458" i="11"/>
  <c r="X1441" i="11"/>
  <c r="P1441" i="11"/>
  <c r="P1450" i="11" s="1"/>
  <c r="P1451" i="11" s="1"/>
  <c r="H1441" i="11"/>
  <c r="Z1460" i="11"/>
  <c r="Z1469" i="11" s="1"/>
  <c r="Z1470" i="11" s="1"/>
  <c r="N1441" i="11"/>
  <c r="N1450" i="11" s="1"/>
  <c r="N1451" i="11" s="1"/>
  <c r="AA1460" i="11"/>
  <c r="S1460" i="11"/>
  <c r="S1469" i="11" s="1"/>
  <c r="S1470" i="11" s="1"/>
  <c r="K1460" i="11"/>
  <c r="K1469" i="11" s="1"/>
  <c r="K1470" i="11" s="1"/>
  <c r="W1441" i="11"/>
  <c r="O1441" i="11"/>
  <c r="O1450" i="11" s="1"/>
  <c r="O1451" i="11" s="1"/>
  <c r="J1460" i="11"/>
  <c r="V1441" i="11"/>
  <c r="V1450" i="11" s="1"/>
  <c r="V1451" i="11" s="1"/>
  <c r="G1442" i="11"/>
  <c r="AA1463" i="11"/>
  <c r="G1445" i="11"/>
  <c r="H1448" i="11"/>
  <c r="G1415" i="11"/>
  <c r="H1402" i="11"/>
  <c r="G1399" i="11"/>
  <c r="Y1414" i="11"/>
  <c r="Y1423" i="11" s="1"/>
  <c r="Y1424" i="11" s="1"/>
  <c r="Q1414" i="11"/>
  <c r="Q1423" i="11" s="1"/>
  <c r="Q1424" i="11" s="1"/>
  <c r="I1414" i="11"/>
  <c r="I1423" i="11" s="1"/>
  <c r="I1424" i="11" s="1"/>
  <c r="U1395" i="11"/>
  <c r="U1404" i="11" s="1"/>
  <c r="U1405" i="11" s="1"/>
  <c r="M1395" i="11"/>
  <c r="X1414" i="11"/>
  <c r="X1423" i="11" s="1"/>
  <c r="X1424" i="11" s="1"/>
  <c r="P1414" i="11"/>
  <c r="P1423" i="11" s="1"/>
  <c r="P1424" i="11" s="1"/>
  <c r="H1414" i="11"/>
  <c r="AA1398" i="11"/>
  <c r="T1395" i="11"/>
  <c r="L1395" i="11"/>
  <c r="L1404" i="11" s="1"/>
  <c r="L1405" i="11" s="1"/>
  <c r="G1393" i="11"/>
  <c r="W1414" i="11"/>
  <c r="O1414" i="11"/>
  <c r="AA1395" i="11"/>
  <c r="AA1404" i="11" s="1"/>
  <c r="AA1405" i="11" s="1"/>
  <c r="S1395" i="11"/>
  <c r="K1395" i="11"/>
  <c r="G1412" i="11"/>
  <c r="P1395" i="11"/>
  <c r="V1414" i="11"/>
  <c r="V1423" i="11" s="1"/>
  <c r="V1424" i="11" s="1"/>
  <c r="N1414" i="11"/>
  <c r="Z1395" i="11"/>
  <c r="Z1404" i="11" s="1"/>
  <c r="Z1405" i="11" s="1"/>
  <c r="R1395" i="11"/>
  <c r="J1395" i="11"/>
  <c r="J1404" i="11" s="1"/>
  <c r="J1405" i="11" s="1"/>
  <c r="L1414" i="11"/>
  <c r="L1423" i="11" s="1"/>
  <c r="L1424" i="11" s="1"/>
  <c r="X1395" i="11"/>
  <c r="U1414" i="11"/>
  <c r="U1423" i="11" s="1"/>
  <c r="U1424" i="11" s="1"/>
  <c r="M1414" i="11"/>
  <c r="M1423" i="11" s="1"/>
  <c r="M1424" i="11" s="1"/>
  <c r="Y1395" i="11"/>
  <c r="Q1395" i="11"/>
  <c r="I1395" i="11"/>
  <c r="I1404" i="11" s="1"/>
  <c r="I1405" i="11" s="1"/>
  <c r="AA1414" i="11"/>
  <c r="S1414" i="11"/>
  <c r="S1423" i="11" s="1"/>
  <c r="S1424" i="11" s="1"/>
  <c r="K1414" i="11"/>
  <c r="K1423" i="11" s="1"/>
  <c r="K1424" i="11" s="1"/>
  <c r="W1395" i="11"/>
  <c r="W1404" i="11" s="1"/>
  <c r="W1405" i="11" s="1"/>
  <c r="O1395" i="11"/>
  <c r="O1404" i="11" s="1"/>
  <c r="O1405" i="11" s="1"/>
  <c r="H1395" i="11"/>
  <c r="Z1414" i="11"/>
  <c r="Z1423" i="11" s="1"/>
  <c r="Z1424" i="11" s="1"/>
  <c r="R1414" i="11"/>
  <c r="J1414" i="11"/>
  <c r="V1395" i="11"/>
  <c r="V1404" i="11" s="1"/>
  <c r="V1405" i="11" s="1"/>
  <c r="N1395" i="11"/>
  <c r="N1404" i="11" s="1"/>
  <c r="N1405" i="11" s="1"/>
  <c r="T1414" i="11"/>
  <c r="T1423" i="11" s="1"/>
  <c r="T1424" i="11" s="1"/>
  <c r="G1418" i="11"/>
  <c r="H1421" i="11"/>
  <c r="G1396" i="11"/>
  <c r="AA1352" i="11"/>
  <c r="AA1279" i="11"/>
  <c r="G1350" i="11"/>
  <c r="G1369" i="11"/>
  <c r="G1372" i="11"/>
  <c r="H1375" i="11"/>
  <c r="G1353" i="11"/>
  <c r="H1356" i="11"/>
  <c r="Y1368" i="11"/>
  <c r="Q1368" i="11"/>
  <c r="Q1377" i="11" s="1"/>
  <c r="Q1378" i="11" s="1"/>
  <c r="I1368" i="11"/>
  <c r="I1377" i="11" s="1"/>
  <c r="I1378" i="11" s="1"/>
  <c r="U1349" i="11"/>
  <c r="U1358" i="11" s="1"/>
  <c r="U1359" i="11" s="1"/>
  <c r="M1349" i="11"/>
  <c r="N1349" i="11"/>
  <c r="X1368" i="11"/>
  <c r="P1368" i="11"/>
  <c r="H1368" i="11"/>
  <c r="T1349" i="11"/>
  <c r="T1358" i="11" s="1"/>
  <c r="T1359" i="11" s="1"/>
  <c r="L1349" i="11"/>
  <c r="L1358" i="11" s="1"/>
  <c r="L1359" i="11" s="1"/>
  <c r="G1347" i="11"/>
  <c r="S1368" i="11"/>
  <c r="W1368" i="11"/>
  <c r="O1368" i="11"/>
  <c r="O1377" i="11" s="1"/>
  <c r="O1378" i="11" s="1"/>
  <c r="AA1349" i="11"/>
  <c r="S1349" i="11"/>
  <c r="S1358" i="11" s="1"/>
  <c r="S1359" i="11" s="1"/>
  <c r="K1349" i="11"/>
  <c r="AA1368" i="11"/>
  <c r="W1349" i="11"/>
  <c r="V1368" i="11"/>
  <c r="N1368" i="11"/>
  <c r="N1377" i="11" s="1"/>
  <c r="N1378" i="11" s="1"/>
  <c r="Z1349" i="11"/>
  <c r="Z1358" i="11" s="1"/>
  <c r="Z1359" i="11" s="1"/>
  <c r="R1349" i="11"/>
  <c r="R1358" i="11" s="1"/>
  <c r="R1359" i="11" s="1"/>
  <c r="J1349" i="11"/>
  <c r="J1358" i="11" s="1"/>
  <c r="J1359" i="11" s="1"/>
  <c r="R1368" i="11"/>
  <c r="V1349" i="11"/>
  <c r="U1368" i="11"/>
  <c r="M1368" i="11"/>
  <c r="M1377" i="11" s="1"/>
  <c r="M1378" i="11" s="1"/>
  <c r="Y1349" i="11"/>
  <c r="Q1349" i="11"/>
  <c r="Q1358" i="11" s="1"/>
  <c r="Q1359" i="11" s="1"/>
  <c r="I1349" i="11"/>
  <c r="O1349" i="11"/>
  <c r="O1358" i="11" s="1"/>
  <c r="O1359" i="11" s="1"/>
  <c r="Z1368" i="11"/>
  <c r="Z1377" i="11" s="1"/>
  <c r="Z1378" i="11" s="1"/>
  <c r="J1368" i="11"/>
  <c r="T1368" i="11"/>
  <c r="L1368" i="11"/>
  <c r="G1366" i="11"/>
  <c r="X1349" i="11"/>
  <c r="X1358" i="11" s="1"/>
  <c r="X1359" i="11" s="1"/>
  <c r="P1349" i="11"/>
  <c r="H1349" i="11"/>
  <c r="K1368" i="11"/>
  <c r="G1323" i="11"/>
  <c r="G1304" i="11"/>
  <c r="G1307" i="11"/>
  <c r="H1310" i="11"/>
  <c r="Y1322" i="11"/>
  <c r="Y1331" i="11" s="1"/>
  <c r="Y1332" i="11" s="1"/>
  <c r="Q1322" i="11"/>
  <c r="I1322" i="11"/>
  <c r="I1331" i="11" s="1"/>
  <c r="I1332" i="11" s="1"/>
  <c r="X1322" i="11"/>
  <c r="X1331" i="11" s="1"/>
  <c r="X1332" i="11" s="1"/>
  <c r="P1322" i="11"/>
  <c r="P1331" i="11" s="1"/>
  <c r="P1332" i="11" s="1"/>
  <c r="H1322" i="11"/>
  <c r="T1303" i="11"/>
  <c r="L1303" i="11"/>
  <c r="G1301" i="11"/>
  <c r="W1322" i="11"/>
  <c r="O1322" i="11"/>
  <c r="AA1303" i="11"/>
  <c r="S1303" i="11"/>
  <c r="S1312" i="11" s="1"/>
  <c r="S1313" i="11" s="1"/>
  <c r="K1303" i="11"/>
  <c r="V1322" i="11"/>
  <c r="N1322" i="11"/>
  <c r="N1331" i="11" s="1"/>
  <c r="N1332" i="11" s="1"/>
  <c r="Z1303" i="11"/>
  <c r="R1303" i="11"/>
  <c r="J1303" i="11"/>
  <c r="U1322" i="11"/>
  <c r="U1331" i="11" s="1"/>
  <c r="U1332" i="11" s="1"/>
  <c r="M1322" i="11"/>
  <c r="Y1303" i="11"/>
  <c r="Q1303" i="11"/>
  <c r="I1303" i="11"/>
  <c r="Z1322" i="11"/>
  <c r="R1322" i="11"/>
  <c r="J1322" i="11"/>
  <c r="U1303" i="11"/>
  <c r="M1303" i="11"/>
  <c r="M1312" i="11" s="1"/>
  <c r="M1313" i="11" s="1"/>
  <c r="T1322" i="11"/>
  <c r="L1322" i="11"/>
  <c r="G1320" i="11"/>
  <c r="X1303" i="11"/>
  <c r="P1303" i="11"/>
  <c r="H1303" i="11"/>
  <c r="AA1322" i="11"/>
  <c r="AA1331" i="11" s="1"/>
  <c r="AA1332" i="11" s="1"/>
  <c r="S1322" i="11"/>
  <c r="K1322" i="11"/>
  <c r="W1303" i="11"/>
  <c r="W1312" i="11" s="1"/>
  <c r="W1313" i="11" s="1"/>
  <c r="O1303" i="11"/>
  <c r="O1312" i="11" s="1"/>
  <c r="O1313" i="11" s="1"/>
  <c r="V1303" i="11"/>
  <c r="V1312" i="11" s="1"/>
  <c r="V1313" i="11" s="1"/>
  <c r="N1303" i="11"/>
  <c r="N1312" i="11" s="1"/>
  <c r="N1313" i="11" s="1"/>
  <c r="G1326" i="11"/>
  <c r="H1329" i="11"/>
  <c r="AA1325" i="11"/>
  <c r="G1277" i="11"/>
  <c r="G1261" i="11"/>
  <c r="H1264" i="11"/>
  <c r="Y1276" i="11"/>
  <c r="Y1285" i="11" s="1"/>
  <c r="Y1286" i="11" s="1"/>
  <c r="Q1276" i="11"/>
  <c r="Q1285" i="11" s="1"/>
  <c r="Q1286" i="11" s="1"/>
  <c r="I1276" i="11"/>
  <c r="U1257" i="11"/>
  <c r="M1257" i="11"/>
  <c r="V1257" i="11"/>
  <c r="X1276" i="11"/>
  <c r="P1276" i="11"/>
  <c r="P1285" i="11" s="1"/>
  <c r="P1286" i="11" s="1"/>
  <c r="H1276" i="11"/>
  <c r="T1257" i="11"/>
  <c r="T1266" i="11" s="1"/>
  <c r="T1267" i="11" s="1"/>
  <c r="L1257" i="11"/>
  <c r="L1266" i="11" s="1"/>
  <c r="L1267" i="11" s="1"/>
  <c r="G1255" i="11"/>
  <c r="W1276" i="11"/>
  <c r="W1285" i="11" s="1"/>
  <c r="W1286" i="11" s="1"/>
  <c r="O1276" i="11"/>
  <c r="O1285" i="11" s="1"/>
  <c r="O1286" i="11" s="1"/>
  <c r="AA1257" i="11"/>
  <c r="S1257" i="11"/>
  <c r="S1266" i="11" s="1"/>
  <c r="S1267" i="11" s="1"/>
  <c r="K1257" i="11"/>
  <c r="K1266" i="11" s="1"/>
  <c r="K1267" i="11" s="1"/>
  <c r="R1276" i="11"/>
  <c r="V1276" i="11"/>
  <c r="N1276" i="11"/>
  <c r="Z1257" i="11"/>
  <c r="Z1266" i="11" s="1"/>
  <c r="Z1267" i="11" s="1"/>
  <c r="R1257" i="11"/>
  <c r="J1257" i="11"/>
  <c r="J1276" i="11"/>
  <c r="J1285" i="11" s="1"/>
  <c r="J1286" i="11" s="1"/>
  <c r="U1276" i="11"/>
  <c r="U1285" i="11" s="1"/>
  <c r="U1286" i="11" s="1"/>
  <c r="M1276" i="11"/>
  <c r="M1285" i="11" s="1"/>
  <c r="M1286" i="11" s="1"/>
  <c r="Y1257" i="11"/>
  <c r="Y1266" i="11" s="1"/>
  <c r="Y1267" i="11" s="1"/>
  <c r="Q1257" i="11"/>
  <c r="Q1266" i="11" s="1"/>
  <c r="Q1267" i="11" s="1"/>
  <c r="I1257" i="11"/>
  <c r="N1257" i="11"/>
  <c r="T1276" i="11"/>
  <c r="L1276" i="11"/>
  <c r="L1285" i="11" s="1"/>
  <c r="L1286" i="11" s="1"/>
  <c r="G1274" i="11"/>
  <c r="X1257" i="11"/>
  <c r="P1257" i="11"/>
  <c r="H1257" i="11"/>
  <c r="AA1276" i="11"/>
  <c r="AA1285" i="11" s="1"/>
  <c r="AA1286" i="11" s="1"/>
  <c r="S1276" i="11"/>
  <c r="K1276" i="11"/>
  <c r="W1257" i="11"/>
  <c r="W1266" i="11" s="1"/>
  <c r="W1267" i="11" s="1"/>
  <c r="O1257" i="11"/>
  <c r="O1266" i="11" s="1"/>
  <c r="O1267" i="11" s="1"/>
  <c r="Z1276" i="11"/>
  <c r="G1280" i="11"/>
  <c r="H1283" i="11"/>
  <c r="G1258" i="11"/>
  <c r="G1231" i="11"/>
  <c r="G1215" i="11"/>
  <c r="H1218" i="11"/>
  <c r="G1212" i="11"/>
  <c r="Y1230" i="11"/>
  <c r="Y1239" i="11" s="1"/>
  <c r="Y1240" i="11" s="1"/>
  <c r="Q1230" i="11"/>
  <c r="Q1239" i="11" s="1"/>
  <c r="Q1240" i="11" s="1"/>
  <c r="I1230" i="11"/>
  <c r="I1239" i="11" s="1"/>
  <c r="I1240" i="11" s="1"/>
  <c r="X1230" i="11"/>
  <c r="X1239" i="11" s="1"/>
  <c r="X1240" i="11" s="1"/>
  <c r="P1230" i="11"/>
  <c r="P1239" i="11" s="1"/>
  <c r="P1240" i="11" s="1"/>
  <c r="H1230" i="11"/>
  <c r="T1211" i="11"/>
  <c r="T1220" i="11" s="1"/>
  <c r="T1221" i="11" s="1"/>
  <c r="L1211" i="11"/>
  <c r="L1220" i="11" s="1"/>
  <c r="L1221" i="11" s="1"/>
  <c r="G1209" i="11"/>
  <c r="W1230" i="11"/>
  <c r="W1239" i="11" s="1"/>
  <c r="W1240" i="11" s="1"/>
  <c r="O1230" i="11"/>
  <c r="O1239" i="11" s="1"/>
  <c r="O1240" i="11" s="1"/>
  <c r="AA1211" i="11"/>
  <c r="AA1220" i="11" s="1"/>
  <c r="AA1221" i="11" s="1"/>
  <c r="S1211" i="11"/>
  <c r="S1220" i="11" s="1"/>
  <c r="S1221" i="11" s="1"/>
  <c r="K1211" i="11"/>
  <c r="K1220" i="11" s="1"/>
  <c r="K1221" i="11" s="1"/>
  <c r="Z1230" i="11"/>
  <c r="Z1239" i="11" s="1"/>
  <c r="Z1240" i="11" s="1"/>
  <c r="N1211" i="11"/>
  <c r="N1220" i="11" s="1"/>
  <c r="N1221" i="11" s="1"/>
  <c r="M1211" i="11"/>
  <c r="M1220" i="11" s="1"/>
  <c r="M1221" i="11" s="1"/>
  <c r="V1230" i="11"/>
  <c r="V1239" i="11" s="1"/>
  <c r="V1240" i="11" s="1"/>
  <c r="N1230" i="11"/>
  <c r="N1239" i="11" s="1"/>
  <c r="N1240" i="11" s="1"/>
  <c r="Z1211" i="11"/>
  <c r="Z1220" i="11" s="1"/>
  <c r="Z1221" i="11" s="1"/>
  <c r="R1211" i="11"/>
  <c r="R1220" i="11" s="1"/>
  <c r="R1221" i="11" s="1"/>
  <c r="J1211" i="11"/>
  <c r="J1220" i="11" s="1"/>
  <c r="J1221" i="11" s="1"/>
  <c r="O1211" i="11"/>
  <c r="O1220" i="11" s="1"/>
  <c r="O1221" i="11" s="1"/>
  <c r="V1211" i="11"/>
  <c r="V1220" i="11" s="1"/>
  <c r="V1221" i="11" s="1"/>
  <c r="U1230" i="11"/>
  <c r="U1239" i="11" s="1"/>
  <c r="U1240" i="11" s="1"/>
  <c r="M1230" i="11"/>
  <c r="M1239" i="11" s="1"/>
  <c r="M1240" i="11" s="1"/>
  <c r="Y1211" i="11"/>
  <c r="Y1220" i="11" s="1"/>
  <c r="Y1221" i="11" s="1"/>
  <c r="Q1211" i="11"/>
  <c r="Q1220" i="11" s="1"/>
  <c r="Q1221" i="11" s="1"/>
  <c r="I1211" i="11"/>
  <c r="I1220" i="11" s="1"/>
  <c r="I1221" i="11" s="1"/>
  <c r="W1211" i="11"/>
  <c r="W1220" i="11" s="1"/>
  <c r="W1221" i="11" s="1"/>
  <c r="J1230" i="11"/>
  <c r="J1239" i="11" s="1"/>
  <c r="J1240" i="11" s="1"/>
  <c r="T1230" i="11"/>
  <c r="T1239" i="11" s="1"/>
  <c r="T1240" i="11" s="1"/>
  <c r="L1230" i="11"/>
  <c r="L1239" i="11" s="1"/>
  <c r="L1240" i="11" s="1"/>
  <c r="G1228" i="11"/>
  <c r="X1211" i="11"/>
  <c r="X1220" i="11" s="1"/>
  <c r="X1221" i="11" s="1"/>
  <c r="P1211" i="11"/>
  <c r="P1220" i="11" s="1"/>
  <c r="P1221" i="11" s="1"/>
  <c r="H1211" i="11"/>
  <c r="R1230" i="11"/>
  <c r="R1239" i="11" s="1"/>
  <c r="R1240" i="11" s="1"/>
  <c r="U1211" i="11"/>
  <c r="U1220" i="11" s="1"/>
  <c r="U1221" i="11" s="1"/>
  <c r="AA1230" i="11"/>
  <c r="AA1239" i="11" s="1"/>
  <c r="AA1240" i="11" s="1"/>
  <c r="S1230" i="11"/>
  <c r="S1239" i="11" s="1"/>
  <c r="S1240" i="11" s="1"/>
  <c r="K1230" i="11"/>
  <c r="K1239" i="11" s="1"/>
  <c r="K1240" i="11" s="1"/>
  <c r="G1234" i="11"/>
  <c r="H1237" i="11"/>
  <c r="AA1233" i="11"/>
  <c r="G1074" i="11"/>
  <c r="AA1030" i="11"/>
  <c r="AA1003" i="11"/>
  <c r="G587" i="11"/>
  <c r="AA589" i="11"/>
  <c r="G1185" i="11"/>
  <c r="H1172" i="11"/>
  <c r="G1169" i="11"/>
  <c r="Y1184" i="11"/>
  <c r="Q1184" i="11"/>
  <c r="I1184" i="11"/>
  <c r="U1165" i="11"/>
  <c r="M1165" i="11"/>
  <c r="M1174" i="11" s="1"/>
  <c r="M1175" i="11" s="1"/>
  <c r="U1184" i="11"/>
  <c r="X1165" i="11"/>
  <c r="X1184" i="11"/>
  <c r="X1193" i="11" s="1"/>
  <c r="X1194" i="11" s="1"/>
  <c r="P1184" i="11"/>
  <c r="H1184" i="11"/>
  <c r="AA1168" i="11"/>
  <c r="T1165" i="11"/>
  <c r="L1165" i="11"/>
  <c r="G1163" i="11"/>
  <c r="I1165" i="11"/>
  <c r="W1184" i="11"/>
  <c r="O1184" i="11"/>
  <c r="AA1165" i="11"/>
  <c r="S1165" i="11"/>
  <c r="K1165" i="11"/>
  <c r="Y1165" i="11"/>
  <c r="V1184" i="11"/>
  <c r="N1184" i="11"/>
  <c r="Z1165" i="11"/>
  <c r="R1165" i="11"/>
  <c r="J1165" i="11"/>
  <c r="T1184" i="11"/>
  <c r="T1193" i="11" s="1"/>
  <c r="T1194" i="11" s="1"/>
  <c r="G1182" i="11"/>
  <c r="P1165" i="11"/>
  <c r="AA1184" i="11"/>
  <c r="S1184" i="11"/>
  <c r="S1193" i="11" s="1"/>
  <c r="S1194" i="11" s="1"/>
  <c r="K1184" i="11"/>
  <c r="W1165" i="11"/>
  <c r="O1165" i="11"/>
  <c r="Z1184" i="11"/>
  <c r="R1184" i="11"/>
  <c r="J1184" i="11"/>
  <c r="V1165" i="11"/>
  <c r="N1165" i="11"/>
  <c r="M1184" i="11"/>
  <c r="Q1165" i="11"/>
  <c r="L1184" i="11"/>
  <c r="H1165" i="11"/>
  <c r="G1188" i="11"/>
  <c r="H1191" i="11"/>
  <c r="G1166" i="11"/>
  <c r="AA1187" i="11"/>
  <c r="G1142" i="11"/>
  <c r="H1145" i="11"/>
  <c r="G1120" i="11"/>
  <c r="G1139" i="11"/>
  <c r="Y1138" i="11"/>
  <c r="Q1138" i="11"/>
  <c r="I1138" i="11"/>
  <c r="I1147" i="11" s="1"/>
  <c r="I1148" i="11" s="1"/>
  <c r="U1119" i="11"/>
  <c r="M1119" i="11"/>
  <c r="X1138" i="11"/>
  <c r="P1138" i="11"/>
  <c r="H1138" i="11"/>
  <c r="AA1122" i="11"/>
  <c r="T1119" i="11"/>
  <c r="L1119" i="11"/>
  <c r="L1128" i="11" s="1"/>
  <c r="L1129" i="11" s="1"/>
  <c r="G1117" i="11"/>
  <c r="W1138" i="11"/>
  <c r="O1138" i="11"/>
  <c r="O1147" i="11" s="1"/>
  <c r="O1148" i="11" s="1"/>
  <c r="AA1119" i="11"/>
  <c r="AA1128" i="11" s="1"/>
  <c r="AA1129" i="11" s="1"/>
  <c r="S1119" i="11"/>
  <c r="S1128" i="11" s="1"/>
  <c r="S1129" i="11" s="1"/>
  <c r="K1119" i="11"/>
  <c r="P1119" i="11"/>
  <c r="V1138" i="11"/>
  <c r="N1138" i="11"/>
  <c r="Z1119" i="11"/>
  <c r="R1119" i="11"/>
  <c r="J1119" i="11"/>
  <c r="J1128" i="11" s="1"/>
  <c r="J1129" i="11" s="1"/>
  <c r="H1119" i="11"/>
  <c r="U1138" i="11"/>
  <c r="M1138" i="11"/>
  <c r="Y1119" i="11"/>
  <c r="Y1128" i="11" s="1"/>
  <c r="Y1129" i="11" s="1"/>
  <c r="Q1119" i="11"/>
  <c r="Q1128" i="11" s="1"/>
  <c r="Q1129" i="11" s="1"/>
  <c r="I1119" i="11"/>
  <c r="L1138" i="11"/>
  <c r="L1147" i="11" s="1"/>
  <c r="L1148" i="11" s="1"/>
  <c r="X1119" i="11"/>
  <c r="AA1138" i="11"/>
  <c r="S1138" i="11"/>
  <c r="S1147" i="11" s="1"/>
  <c r="S1148" i="11" s="1"/>
  <c r="K1138" i="11"/>
  <c r="K1147" i="11" s="1"/>
  <c r="K1148" i="11" s="1"/>
  <c r="W1119" i="11"/>
  <c r="W1128" i="11" s="1"/>
  <c r="W1129" i="11" s="1"/>
  <c r="O1119" i="11"/>
  <c r="Z1138" i="11"/>
  <c r="Z1147" i="11" s="1"/>
  <c r="Z1148" i="11" s="1"/>
  <c r="R1138" i="11"/>
  <c r="J1138" i="11"/>
  <c r="V1119" i="11"/>
  <c r="N1119" i="11"/>
  <c r="T1138" i="11"/>
  <c r="T1147" i="11" s="1"/>
  <c r="T1148" i="11" s="1"/>
  <c r="G1136" i="11"/>
  <c r="H1126" i="11"/>
  <c r="G1123" i="11"/>
  <c r="G1093" i="11"/>
  <c r="G1077" i="11"/>
  <c r="H1080" i="11"/>
  <c r="G1096" i="11"/>
  <c r="H1099" i="11"/>
  <c r="Y1092" i="11"/>
  <c r="Q1092" i="11"/>
  <c r="I1092" i="11"/>
  <c r="U1073" i="11"/>
  <c r="M1073" i="11"/>
  <c r="R1092" i="11"/>
  <c r="X1092" i="11"/>
  <c r="P1092" i="11"/>
  <c r="P1101" i="11" s="1"/>
  <c r="P1102" i="11" s="1"/>
  <c r="H1092" i="11"/>
  <c r="T1073" i="11"/>
  <c r="T1082" i="11" s="1"/>
  <c r="T1083" i="11" s="1"/>
  <c r="L1073" i="11"/>
  <c r="G1071" i="11"/>
  <c r="W1092" i="11"/>
  <c r="O1092" i="11"/>
  <c r="AA1073" i="11"/>
  <c r="S1073" i="11"/>
  <c r="K1073" i="11"/>
  <c r="V1092" i="11"/>
  <c r="V1101" i="11" s="1"/>
  <c r="V1102" i="11" s="1"/>
  <c r="N1092" i="11"/>
  <c r="Z1073" i="11"/>
  <c r="R1073" i="11"/>
  <c r="J1073" i="11"/>
  <c r="J1092" i="11"/>
  <c r="U1092" i="11"/>
  <c r="M1092" i="11"/>
  <c r="M1101" i="11" s="1"/>
  <c r="M1102" i="11" s="1"/>
  <c r="Y1073" i="11"/>
  <c r="Q1073" i="11"/>
  <c r="Q1082" i="11" s="1"/>
  <c r="Q1083" i="11" s="1"/>
  <c r="I1073" i="11"/>
  <c r="N1073" i="11"/>
  <c r="T1092" i="11"/>
  <c r="L1092" i="11"/>
  <c r="L1101" i="11" s="1"/>
  <c r="L1102" i="11" s="1"/>
  <c r="G1090" i="11"/>
  <c r="X1073" i="11"/>
  <c r="P1073" i="11"/>
  <c r="P1082" i="11" s="1"/>
  <c r="P1083" i="11" s="1"/>
  <c r="H1073" i="11"/>
  <c r="Z1092" i="11"/>
  <c r="Z1101" i="11" s="1"/>
  <c r="Z1102" i="11" s="1"/>
  <c r="AA1092" i="11"/>
  <c r="AA1101" i="11" s="1"/>
  <c r="AA1102" i="11" s="1"/>
  <c r="S1092" i="11"/>
  <c r="K1092" i="11"/>
  <c r="K1101" i="11" s="1"/>
  <c r="K1102" i="11" s="1"/>
  <c r="W1073" i="11"/>
  <c r="O1073" i="11"/>
  <c r="V1073" i="11"/>
  <c r="AA1076" i="11"/>
  <c r="G1047" i="11"/>
  <c r="G1031" i="11"/>
  <c r="H1034" i="11"/>
  <c r="Y1046" i="11"/>
  <c r="Q1046" i="11"/>
  <c r="I1046" i="11"/>
  <c r="U1027" i="11"/>
  <c r="M1027" i="11"/>
  <c r="Z1046" i="11"/>
  <c r="X1046" i="11"/>
  <c r="P1046" i="11"/>
  <c r="H1046" i="11"/>
  <c r="T1027" i="11"/>
  <c r="T1036" i="11" s="1"/>
  <c r="T1037" i="11" s="1"/>
  <c r="L1027" i="11"/>
  <c r="L1036" i="11" s="1"/>
  <c r="L1037" i="11" s="1"/>
  <c r="G1025" i="11"/>
  <c r="W1046" i="11"/>
  <c r="O1046" i="11"/>
  <c r="AA1027" i="11"/>
  <c r="S1027" i="11"/>
  <c r="K1027" i="11"/>
  <c r="K1036" i="11" s="1"/>
  <c r="K1037" i="11" s="1"/>
  <c r="V1046" i="11"/>
  <c r="N1046" i="11"/>
  <c r="Z1027" i="11"/>
  <c r="Z1036" i="11" s="1"/>
  <c r="Z1037" i="11" s="1"/>
  <c r="R1027" i="11"/>
  <c r="J1027" i="11"/>
  <c r="J1036" i="11" s="1"/>
  <c r="J1037" i="11" s="1"/>
  <c r="R1046" i="11"/>
  <c r="R1055" i="11" s="1"/>
  <c r="R1056" i="11" s="1"/>
  <c r="U1046" i="11"/>
  <c r="U1055" i="11" s="1"/>
  <c r="U1056" i="11" s="1"/>
  <c r="M1046" i="11"/>
  <c r="Y1027" i="11"/>
  <c r="Q1027" i="11"/>
  <c r="Q1036" i="11" s="1"/>
  <c r="Q1037" i="11" s="1"/>
  <c r="I1027" i="11"/>
  <c r="J1046" i="11"/>
  <c r="J1055" i="11" s="1"/>
  <c r="J1056" i="11" s="1"/>
  <c r="T1046" i="11"/>
  <c r="L1046" i="11"/>
  <c r="G1044" i="11"/>
  <c r="X1027" i="11"/>
  <c r="P1027" i="11"/>
  <c r="H1027" i="11"/>
  <c r="V1027" i="11"/>
  <c r="AA1046" i="11"/>
  <c r="S1046" i="11"/>
  <c r="S1055" i="11" s="1"/>
  <c r="S1056" i="11" s="1"/>
  <c r="K1046" i="11"/>
  <c r="K1055" i="11" s="1"/>
  <c r="K1056" i="11" s="1"/>
  <c r="W1027" i="11"/>
  <c r="O1027" i="11"/>
  <c r="N1027" i="11"/>
  <c r="N1036" i="11" s="1"/>
  <c r="N1037" i="11" s="1"/>
  <c r="G1050" i="11"/>
  <c r="H1053" i="11"/>
  <c r="G1028" i="11"/>
  <c r="G1001" i="11"/>
  <c r="H988" i="11"/>
  <c r="G985" i="11"/>
  <c r="Y1000" i="11"/>
  <c r="Q1000" i="11"/>
  <c r="I1000" i="11"/>
  <c r="U981" i="11"/>
  <c r="M981" i="11"/>
  <c r="X1000" i="11"/>
  <c r="P1000" i="11"/>
  <c r="H1000" i="11"/>
  <c r="T981" i="11"/>
  <c r="L981" i="11"/>
  <c r="G979" i="11"/>
  <c r="N981" i="11"/>
  <c r="W1000" i="11"/>
  <c r="O1000" i="11"/>
  <c r="AA981" i="11"/>
  <c r="S981" i="11"/>
  <c r="S990" i="11" s="1"/>
  <c r="S991" i="11" s="1"/>
  <c r="K981" i="11"/>
  <c r="V1000" i="11"/>
  <c r="N1000" i="11"/>
  <c r="Z981" i="11"/>
  <c r="R981" i="11"/>
  <c r="R990" i="11" s="1"/>
  <c r="R991" i="11" s="1"/>
  <c r="J981" i="11"/>
  <c r="J990" i="11" s="1"/>
  <c r="J991" i="11" s="1"/>
  <c r="V981" i="11"/>
  <c r="U1000" i="11"/>
  <c r="M1000" i="11"/>
  <c r="Y981" i="11"/>
  <c r="Q981" i="11"/>
  <c r="I981" i="11"/>
  <c r="I990" i="11" s="1"/>
  <c r="I991" i="11" s="1"/>
  <c r="T1000" i="11"/>
  <c r="L1000" i="11"/>
  <c r="G998" i="11"/>
  <c r="X981" i="11"/>
  <c r="P981" i="11"/>
  <c r="H981" i="11"/>
  <c r="AA1000" i="11"/>
  <c r="S1000" i="11"/>
  <c r="K1000" i="11"/>
  <c r="W981" i="11"/>
  <c r="O981" i="11"/>
  <c r="Z1000" i="11"/>
  <c r="R1000" i="11"/>
  <c r="J1000" i="11"/>
  <c r="G1004" i="11"/>
  <c r="H1007" i="11"/>
  <c r="G982" i="11"/>
  <c r="G958" i="11"/>
  <c r="H961" i="11"/>
  <c r="G955" i="11"/>
  <c r="G936" i="11"/>
  <c r="G939" i="11"/>
  <c r="H942" i="11"/>
  <c r="Y954" i="11"/>
  <c r="Q954" i="11"/>
  <c r="Q963" i="11" s="1"/>
  <c r="Q964" i="11" s="1"/>
  <c r="I954" i="11"/>
  <c r="U935" i="11"/>
  <c r="M935" i="11"/>
  <c r="X954" i="11"/>
  <c r="X963" i="11" s="1"/>
  <c r="X964" i="11" s="1"/>
  <c r="P954" i="11"/>
  <c r="H954" i="11"/>
  <c r="T935" i="11"/>
  <c r="L935" i="11"/>
  <c r="L944" i="11" s="1"/>
  <c r="L945" i="11" s="1"/>
  <c r="G933" i="11"/>
  <c r="W954" i="11"/>
  <c r="O954" i="11"/>
  <c r="O963" i="11" s="1"/>
  <c r="O964" i="11" s="1"/>
  <c r="AA935" i="11"/>
  <c r="S935" i="11"/>
  <c r="K935" i="11"/>
  <c r="G952" i="11"/>
  <c r="X935" i="11"/>
  <c r="V954" i="11"/>
  <c r="V963" i="11" s="1"/>
  <c r="V964" i="11" s="1"/>
  <c r="N954" i="11"/>
  <c r="Z935" i="11"/>
  <c r="R935" i="11"/>
  <c r="R944" i="11" s="1"/>
  <c r="R945" i="11" s="1"/>
  <c r="J935" i="11"/>
  <c r="J944" i="11" s="1"/>
  <c r="J945" i="11" s="1"/>
  <c r="L954" i="11"/>
  <c r="L963" i="11" s="1"/>
  <c r="L964" i="11" s="1"/>
  <c r="P935" i="11"/>
  <c r="P944" i="11" s="1"/>
  <c r="P945" i="11" s="1"/>
  <c r="U954" i="11"/>
  <c r="M954" i="11"/>
  <c r="Y935" i="11"/>
  <c r="Q935" i="11"/>
  <c r="I935" i="11"/>
  <c r="I944" i="11" s="1"/>
  <c r="I945" i="11" s="1"/>
  <c r="T954" i="11"/>
  <c r="H935" i="11"/>
  <c r="AA954" i="11"/>
  <c r="S954" i="11"/>
  <c r="S963" i="11" s="1"/>
  <c r="S964" i="11" s="1"/>
  <c r="K954" i="11"/>
  <c r="K963" i="11" s="1"/>
  <c r="K964" i="11" s="1"/>
  <c r="W935" i="11"/>
  <c r="W944" i="11" s="1"/>
  <c r="W945" i="11" s="1"/>
  <c r="O935" i="11"/>
  <c r="Z954" i="11"/>
  <c r="R954" i="11"/>
  <c r="J954" i="11"/>
  <c r="J963" i="11" s="1"/>
  <c r="J964" i="11" s="1"/>
  <c r="V935" i="11"/>
  <c r="N935" i="11"/>
  <c r="N944" i="11" s="1"/>
  <c r="N945" i="11" s="1"/>
  <c r="G890" i="11"/>
  <c r="G909" i="11"/>
  <c r="G912" i="11"/>
  <c r="H915" i="11"/>
  <c r="H896" i="11"/>
  <c r="G893" i="11"/>
  <c r="Y908" i="11"/>
  <c r="Y917" i="11" s="1"/>
  <c r="Y918" i="11" s="1"/>
  <c r="Q908" i="11"/>
  <c r="I908" i="11"/>
  <c r="I917" i="11" s="1"/>
  <c r="I918" i="11" s="1"/>
  <c r="U889" i="11"/>
  <c r="M889" i="11"/>
  <c r="M898" i="11" s="1"/>
  <c r="M899" i="11" s="1"/>
  <c r="X908" i="11"/>
  <c r="X917" i="11" s="1"/>
  <c r="X918" i="11" s="1"/>
  <c r="P908" i="11"/>
  <c r="H908" i="11"/>
  <c r="AA892" i="11"/>
  <c r="T889" i="11"/>
  <c r="L889" i="11"/>
  <c r="L898" i="11" s="1"/>
  <c r="L899" i="11" s="1"/>
  <c r="G887" i="11"/>
  <c r="L908" i="11"/>
  <c r="X889" i="11"/>
  <c r="W908" i="11"/>
  <c r="O908" i="11"/>
  <c r="AA889" i="11"/>
  <c r="S889" i="11"/>
  <c r="K889" i="11"/>
  <c r="H889" i="11"/>
  <c r="V908" i="11"/>
  <c r="N908" i="11"/>
  <c r="Z889" i="11"/>
  <c r="R889" i="11"/>
  <c r="J889" i="11"/>
  <c r="U908" i="11"/>
  <c r="M908" i="11"/>
  <c r="M917" i="11" s="1"/>
  <c r="M918" i="11" s="1"/>
  <c r="Y889" i="11"/>
  <c r="Q889" i="11"/>
  <c r="I889" i="11"/>
  <c r="T908" i="11"/>
  <c r="AA908" i="11"/>
  <c r="S908" i="11"/>
  <c r="K908" i="11"/>
  <c r="K917" i="11" s="1"/>
  <c r="K918" i="11" s="1"/>
  <c r="W889" i="11"/>
  <c r="W898" i="11" s="1"/>
  <c r="W899" i="11" s="1"/>
  <c r="O889" i="11"/>
  <c r="Z908" i="11"/>
  <c r="R908" i="11"/>
  <c r="J908" i="11"/>
  <c r="V889" i="11"/>
  <c r="N889" i="11"/>
  <c r="G906" i="11"/>
  <c r="P889" i="11"/>
  <c r="Y862" i="11"/>
  <c r="Y871" i="11" s="1"/>
  <c r="Y872" i="11" s="1"/>
  <c r="Q862" i="11"/>
  <c r="I862" i="11"/>
  <c r="U843" i="11"/>
  <c r="U852" i="11" s="1"/>
  <c r="U853" i="11" s="1"/>
  <c r="M843" i="11"/>
  <c r="M852" i="11" s="1"/>
  <c r="M853" i="11" s="1"/>
  <c r="Z843" i="11"/>
  <c r="G860" i="11"/>
  <c r="X862" i="11"/>
  <c r="X871" i="11" s="1"/>
  <c r="X872" i="11" s="1"/>
  <c r="P862" i="11"/>
  <c r="P871" i="11" s="1"/>
  <c r="P872" i="11" s="1"/>
  <c r="H862" i="11"/>
  <c r="AA846" i="11"/>
  <c r="T843" i="11"/>
  <c r="L843" i="11"/>
  <c r="G841" i="11"/>
  <c r="T862" i="11"/>
  <c r="P843" i="11"/>
  <c r="P852" i="11" s="1"/>
  <c r="P853" i="11" s="1"/>
  <c r="W862" i="11"/>
  <c r="W871" i="11" s="1"/>
  <c r="W872" i="11" s="1"/>
  <c r="O862" i="11"/>
  <c r="O871" i="11" s="1"/>
  <c r="O872" i="11" s="1"/>
  <c r="AA843" i="11"/>
  <c r="S843" i="11"/>
  <c r="S852" i="11" s="1"/>
  <c r="S853" i="11" s="1"/>
  <c r="K843" i="11"/>
  <c r="K852" i="11" s="1"/>
  <c r="K853" i="11" s="1"/>
  <c r="V862" i="11"/>
  <c r="V871" i="11" s="1"/>
  <c r="V872" i="11" s="1"/>
  <c r="J843" i="11"/>
  <c r="J852" i="11" s="1"/>
  <c r="J853" i="11" s="1"/>
  <c r="X843" i="11"/>
  <c r="U862" i="11"/>
  <c r="U871" i="11" s="1"/>
  <c r="U872" i="11" s="1"/>
  <c r="M862" i="11"/>
  <c r="M871" i="11" s="1"/>
  <c r="M872" i="11" s="1"/>
  <c r="Y843" i="11"/>
  <c r="Q843" i="11"/>
  <c r="I843" i="11"/>
  <c r="I852" i="11" s="1"/>
  <c r="I853" i="11" s="1"/>
  <c r="L862" i="11"/>
  <c r="AA865" i="11"/>
  <c r="AA862" i="11"/>
  <c r="S862" i="11"/>
  <c r="K862" i="11"/>
  <c r="K871" i="11" s="1"/>
  <c r="K872" i="11" s="1"/>
  <c r="W843" i="11"/>
  <c r="W852" i="11" s="1"/>
  <c r="W853" i="11" s="1"/>
  <c r="O843" i="11"/>
  <c r="O852" i="11" s="1"/>
  <c r="O853" i="11" s="1"/>
  <c r="Z862" i="11"/>
  <c r="Z871" i="11" s="1"/>
  <c r="Z872" i="11" s="1"/>
  <c r="R862" i="11"/>
  <c r="J862" i="11"/>
  <c r="J871" i="11" s="1"/>
  <c r="J872" i="11" s="1"/>
  <c r="V843" i="11"/>
  <c r="N843" i="11"/>
  <c r="N862" i="11"/>
  <c r="N871" i="11" s="1"/>
  <c r="N872" i="11" s="1"/>
  <c r="R843" i="11"/>
  <c r="R852" i="11" s="1"/>
  <c r="R853" i="11" s="1"/>
  <c r="H843" i="11"/>
  <c r="H850" i="11"/>
  <c r="G847" i="11"/>
  <c r="G844" i="11"/>
  <c r="G866" i="11"/>
  <c r="H869" i="11"/>
  <c r="G863" i="11"/>
  <c r="H804" i="11"/>
  <c r="G801" i="11"/>
  <c r="G817" i="11"/>
  <c r="Y816" i="11"/>
  <c r="Q816" i="11"/>
  <c r="Q825" i="11" s="1"/>
  <c r="Q826" i="11" s="1"/>
  <c r="I816" i="11"/>
  <c r="I825" i="11" s="1"/>
  <c r="I826" i="11" s="1"/>
  <c r="U797" i="11"/>
  <c r="M797" i="11"/>
  <c r="M806" i="11" s="1"/>
  <c r="M807" i="11" s="1"/>
  <c r="Z816" i="11"/>
  <c r="X816" i="11"/>
  <c r="P816" i="11"/>
  <c r="P825" i="11" s="1"/>
  <c r="P826" i="11" s="1"/>
  <c r="H816" i="11"/>
  <c r="T797" i="11"/>
  <c r="T806" i="11" s="1"/>
  <c r="T807" i="11" s="1"/>
  <c r="L797" i="11"/>
  <c r="L806" i="11" s="1"/>
  <c r="L807" i="11" s="1"/>
  <c r="G795" i="11"/>
  <c r="W816" i="11"/>
  <c r="O816" i="11"/>
  <c r="O825" i="11" s="1"/>
  <c r="O826" i="11" s="1"/>
  <c r="AA797" i="11"/>
  <c r="S797" i="11"/>
  <c r="S806" i="11" s="1"/>
  <c r="S807" i="11" s="1"/>
  <c r="K797" i="11"/>
  <c r="V816" i="11"/>
  <c r="V825" i="11" s="1"/>
  <c r="V826" i="11" s="1"/>
  <c r="N816" i="11"/>
  <c r="N825" i="11" s="1"/>
  <c r="N826" i="11" s="1"/>
  <c r="Z797" i="11"/>
  <c r="Z806" i="11" s="1"/>
  <c r="Z807" i="11" s="1"/>
  <c r="R797" i="11"/>
  <c r="J797" i="11"/>
  <c r="J816" i="11"/>
  <c r="U816" i="11"/>
  <c r="M816" i="11"/>
  <c r="Y797" i="11"/>
  <c r="Q797" i="11"/>
  <c r="Q806" i="11" s="1"/>
  <c r="Q807" i="11" s="1"/>
  <c r="I797" i="11"/>
  <c r="R816" i="11"/>
  <c r="T816" i="11"/>
  <c r="L816" i="11"/>
  <c r="G814" i="11"/>
  <c r="X797" i="11"/>
  <c r="P797" i="11"/>
  <c r="H797" i="11"/>
  <c r="AA816" i="11"/>
  <c r="S816" i="11"/>
  <c r="K816" i="11"/>
  <c r="W797" i="11"/>
  <c r="O797" i="11"/>
  <c r="V797" i="11"/>
  <c r="N797" i="11"/>
  <c r="N806" i="11" s="1"/>
  <c r="N807" i="11" s="1"/>
  <c r="G798" i="11"/>
  <c r="G820" i="11"/>
  <c r="H823" i="11"/>
  <c r="AA819" i="11"/>
  <c r="G774" i="11"/>
  <c r="H777" i="11"/>
  <c r="G752" i="11"/>
  <c r="Y770" i="11"/>
  <c r="Y779" i="11" s="1"/>
  <c r="Y780" i="11" s="1"/>
  <c r="Q770" i="11"/>
  <c r="I770" i="11"/>
  <c r="U751" i="11"/>
  <c r="U760" i="11" s="1"/>
  <c r="U761" i="11" s="1"/>
  <c r="M751" i="11"/>
  <c r="M760" i="11" s="1"/>
  <c r="M761" i="11" s="1"/>
  <c r="G768" i="11"/>
  <c r="H751" i="11"/>
  <c r="X770" i="11"/>
  <c r="P770" i="11"/>
  <c r="P779" i="11" s="1"/>
  <c r="P780" i="11" s="1"/>
  <c r="H770" i="11"/>
  <c r="T751" i="11"/>
  <c r="T760" i="11" s="1"/>
  <c r="T761" i="11" s="1"/>
  <c r="L751" i="11"/>
  <c r="L760" i="11" s="1"/>
  <c r="L761" i="11" s="1"/>
  <c r="G749" i="11"/>
  <c r="T770" i="11"/>
  <c r="T779" i="11" s="1"/>
  <c r="T780" i="11" s="1"/>
  <c r="X751" i="11"/>
  <c r="W770" i="11"/>
  <c r="O770" i="11"/>
  <c r="AA751" i="11"/>
  <c r="AA760" i="11" s="1"/>
  <c r="AA761" i="11" s="1"/>
  <c r="S751" i="11"/>
  <c r="K751" i="11"/>
  <c r="K760" i="11" s="1"/>
  <c r="K761" i="11" s="1"/>
  <c r="V770" i="11"/>
  <c r="N770" i="11"/>
  <c r="N779" i="11" s="1"/>
  <c r="N780" i="11" s="1"/>
  <c r="Z751" i="11"/>
  <c r="R751" i="11"/>
  <c r="J751" i="11"/>
  <c r="L770" i="11"/>
  <c r="L779" i="11" s="1"/>
  <c r="L780" i="11" s="1"/>
  <c r="U770" i="11"/>
  <c r="U779" i="11" s="1"/>
  <c r="U780" i="11" s="1"/>
  <c r="M770" i="11"/>
  <c r="Y751" i="11"/>
  <c r="Q751" i="11"/>
  <c r="I751" i="11"/>
  <c r="AA770" i="11"/>
  <c r="S770" i="11"/>
  <c r="S779" i="11" s="1"/>
  <c r="S780" i="11" s="1"/>
  <c r="K770" i="11"/>
  <c r="K779" i="11" s="1"/>
  <c r="K780" i="11" s="1"/>
  <c r="W751" i="11"/>
  <c r="O751" i="11"/>
  <c r="O760" i="11" s="1"/>
  <c r="O761" i="11" s="1"/>
  <c r="Z770" i="11"/>
  <c r="Z779" i="11" s="1"/>
  <c r="Z780" i="11" s="1"/>
  <c r="R770" i="11"/>
  <c r="J770" i="11"/>
  <c r="J779" i="11" s="1"/>
  <c r="J780" i="11" s="1"/>
  <c r="V751" i="11"/>
  <c r="N751" i="11"/>
  <c r="P751" i="11"/>
  <c r="P760" i="11" s="1"/>
  <c r="P761" i="11" s="1"/>
  <c r="H758" i="11"/>
  <c r="G755" i="11"/>
  <c r="G771" i="11"/>
  <c r="AA754" i="11"/>
  <c r="H731" i="11"/>
  <c r="G728" i="11"/>
  <c r="H712" i="11"/>
  <c r="G709" i="11"/>
  <c r="G706" i="11"/>
  <c r="Y724" i="11"/>
  <c r="Q724" i="11"/>
  <c r="I724" i="11"/>
  <c r="U705" i="11"/>
  <c r="M705" i="11"/>
  <c r="S705" i="11"/>
  <c r="H705" i="11"/>
  <c r="X724" i="11"/>
  <c r="X733" i="11" s="1"/>
  <c r="X734" i="11" s="1"/>
  <c r="P724" i="11"/>
  <c r="H724" i="11"/>
  <c r="AA708" i="11"/>
  <c r="T705" i="11"/>
  <c r="L705" i="11"/>
  <c r="L714" i="11" s="1"/>
  <c r="L715" i="11" s="1"/>
  <c r="G703" i="11"/>
  <c r="AA705" i="11"/>
  <c r="AA714" i="11" s="1"/>
  <c r="AA715" i="11" s="1"/>
  <c r="K705" i="11"/>
  <c r="Y705" i="11"/>
  <c r="Y714" i="11" s="1"/>
  <c r="Y715" i="11" s="1"/>
  <c r="T724" i="11"/>
  <c r="X705" i="11"/>
  <c r="W724" i="11"/>
  <c r="O724" i="11"/>
  <c r="V724" i="11"/>
  <c r="V733" i="11" s="1"/>
  <c r="V734" i="11" s="1"/>
  <c r="N724" i="11"/>
  <c r="Z705" i="11"/>
  <c r="Z714" i="11" s="1"/>
  <c r="Z715" i="11" s="1"/>
  <c r="R705" i="11"/>
  <c r="J705" i="11"/>
  <c r="J714" i="11" s="1"/>
  <c r="J715" i="11" s="1"/>
  <c r="I705" i="11"/>
  <c r="I714" i="11" s="1"/>
  <c r="I715" i="11" s="1"/>
  <c r="L724" i="11"/>
  <c r="L733" i="11" s="1"/>
  <c r="L734" i="11" s="1"/>
  <c r="P705" i="11"/>
  <c r="AA724" i="11"/>
  <c r="AA733" i="11" s="1"/>
  <c r="AA734" i="11" s="1"/>
  <c r="S724" i="11"/>
  <c r="K724" i="11"/>
  <c r="W705" i="11"/>
  <c r="W714" i="11" s="1"/>
  <c r="W715" i="11" s="1"/>
  <c r="O705" i="11"/>
  <c r="O714" i="11" s="1"/>
  <c r="O715" i="11" s="1"/>
  <c r="G722" i="11"/>
  <c r="Z724" i="11"/>
  <c r="Z733" i="11" s="1"/>
  <c r="Z734" i="11" s="1"/>
  <c r="R724" i="11"/>
  <c r="J724" i="11"/>
  <c r="V705" i="11"/>
  <c r="N705" i="11"/>
  <c r="N714" i="11" s="1"/>
  <c r="N715" i="11" s="1"/>
  <c r="U724" i="11"/>
  <c r="M724" i="11"/>
  <c r="Q705" i="11"/>
  <c r="G725" i="11"/>
  <c r="H666" i="11"/>
  <c r="G663" i="11"/>
  <c r="G679" i="11"/>
  <c r="G660" i="11"/>
  <c r="G682" i="11"/>
  <c r="H685" i="11"/>
  <c r="Y678" i="11"/>
  <c r="Y687" i="11" s="1"/>
  <c r="Y688" i="11" s="1"/>
  <c r="Q678" i="11"/>
  <c r="I678" i="11"/>
  <c r="U659" i="11"/>
  <c r="M659" i="11"/>
  <c r="M668" i="11" s="1"/>
  <c r="M669" i="11" s="1"/>
  <c r="X678" i="11"/>
  <c r="P678" i="11"/>
  <c r="H678" i="11"/>
  <c r="AA662" i="11"/>
  <c r="T659" i="11"/>
  <c r="L659" i="11"/>
  <c r="G657" i="11"/>
  <c r="W678" i="11"/>
  <c r="O678" i="11"/>
  <c r="AA659" i="11"/>
  <c r="AA668" i="11" s="1"/>
  <c r="AA669" i="11" s="1"/>
  <c r="S659" i="11"/>
  <c r="K659" i="11"/>
  <c r="H659" i="11"/>
  <c r="V678" i="11"/>
  <c r="V687" i="11" s="1"/>
  <c r="V688" i="11" s="1"/>
  <c r="N678" i="11"/>
  <c r="Z659" i="11"/>
  <c r="R659" i="11"/>
  <c r="J659" i="11"/>
  <c r="U678" i="11"/>
  <c r="M678" i="11"/>
  <c r="Y659" i="11"/>
  <c r="Y668" i="11" s="1"/>
  <c r="Y669" i="11" s="1"/>
  <c r="Q659" i="11"/>
  <c r="I659" i="11"/>
  <c r="T678" i="11"/>
  <c r="G676" i="11"/>
  <c r="AA678" i="11"/>
  <c r="S678" i="11"/>
  <c r="K678" i="11"/>
  <c r="W659" i="11"/>
  <c r="O659" i="11"/>
  <c r="P659" i="11"/>
  <c r="P668" i="11" s="1"/>
  <c r="P669" i="11" s="1"/>
  <c r="Z678" i="11"/>
  <c r="R678" i="11"/>
  <c r="J678" i="11"/>
  <c r="V659" i="11"/>
  <c r="V668" i="11" s="1"/>
  <c r="V669" i="11" s="1"/>
  <c r="N659" i="11"/>
  <c r="L678" i="11"/>
  <c r="X659" i="11"/>
  <c r="X668" i="11" s="1"/>
  <c r="X669" i="11" s="1"/>
  <c r="Y632" i="11"/>
  <c r="Q632" i="11"/>
  <c r="I632" i="11"/>
  <c r="I641" i="11" s="1"/>
  <c r="I642" i="11" s="1"/>
  <c r="U613" i="11"/>
  <c r="M613" i="11"/>
  <c r="T632" i="11"/>
  <c r="G630" i="11"/>
  <c r="X613" i="11"/>
  <c r="X622" i="11" s="1"/>
  <c r="X623" i="11" s="1"/>
  <c r="X632" i="11"/>
  <c r="X641" i="11" s="1"/>
  <c r="X642" i="11" s="1"/>
  <c r="P632" i="11"/>
  <c r="H632" i="11"/>
  <c r="T613" i="11"/>
  <c r="L613" i="11"/>
  <c r="G611" i="11"/>
  <c r="W632" i="11"/>
  <c r="O632" i="11"/>
  <c r="AA613" i="11"/>
  <c r="AA622" i="11" s="1"/>
  <c r="AA623" i="11" s="1"/>
  <c r="S613" i="11"/>
  <c r="K613" i="11"/>
  <c r="V632" i="11"/>
  <c r="N632" i="11"/>
  <c r="Z613" i="11"/>
  <c r="R613" i="11"/>
  <c r="J613" i="11"/>
  <c r="P613" i="11"/>
  <c r="V613" i="11"/>
  <c r="N613" i="11"/>
  <c r="N622" i="11" s="1"/>
  <c r="N623" i="11" s="1"/>
  <c r="U632" i="11"/>
  <c r="U641" i="11" s="1"/>
  <c r="U642" i="11" s="1"/>
  <c r="M632" i="11"/>
  <c r="M641" i="11" s="1"/>
  <c r="M642" i="11" s="1"/>
  <c r="Y613" i="11"/>
  <c r="Y622" i="11" s="1"/>
  <c r="Y623" i="11" s="1"/>
  <c r="Q613" i="11"/>
  <c r="I613" i="11"/>
  <c r="L632" i="11"/>
  <c r="H613" i="11"/>
  <c r="AA632" i="11"/>
  <c r="S632" i="11"/>
  <c r="K632" i="11"/>
  <c r="W613" i="11"/>
  <c r="O613" i="11"/>
  <c r="O622" i="11" s="1"/>
  <c r="O623" i="11" s="1"/>
  <c r="Z632" i="11"/>
  <c r="R632" i="11"/>
  <c r="J632" i="11"/>
  <c r="J641" i="11" s="1"/>
  <c r="J642" i="11" s="1"/>
  <c r="G636" i="11"/>
  <c r="H639" i="11"/>
  <c r="G633" i="11"/>
  <c r="G617" i="11"/>
  <c r="H620" i="11"/>
  <c r="G614" i="11"/>
  <c r="AA616" i="11"/>
  <c r="AA635" i="11"/>
  <c r="G568" i="11"/>
  <c r="G571" i="11"/>
  <c r="H574" i="11"/>
  <c r="Y586" i="11"/>
  <c r="Q586" i="11"/>
  <c r="I586" i="11"/>
  <c r="U567" i="11"/>
  <c r="M567" i="11"/>
  <c r="Z586" i="11"/>
  <c r="J586" i="11"/>
  <c r="X586" i="11"/>
  <c r="P586" i="11"/>
  <c r="H586" i="11"/>
  <c r="T567" i="11"/>
  <c r="L567" i="11"/>
  <c r="L576" i="11" s="1"/>
  <c r="L577" i="11" s="1"/>
  <c r="G565" i="11"/>
  <c r="V567" i="11"/>
  <c r="V576" i="11" s="1"/>
  <c r="V577" i="11" s="1"/>
  <c r="W586" i="11"/>
  <c r="W595" i="11" s="1"/>
  <c r="W596" i="11" s="1"/>
  <c r="O586" i="11"/>
  <c r="AA567" i="11"/>
  <c r="S567" i="11"/>
  <c r="S576" i="11" s="1"/>
  <c r="S577" i="11" s="1"/>
  <c r="K567" i="11"/>
  <c r="K576" i="11" s="1"/>
  <c r="K577" i="11" s="1"/>
  <c r="W567" i="11"/>
  <c r="V586" i="11"/>
  <c r="V595" i="11" s="1"/>
  <c r="V596" i="11" s="1"/>
  <c r="N586" i="11"/>
  <c r="N595" i="11" s="1"/>
  <c r="N596" i="11" s="1"/>
  <c r="Z567" i="11"/>
  <c r="Z576" i="11" s="1"/>
  <c r="Z577" i="11" s="1"/>
  <c r="R567" i="11"/>
  <c r="R576" i="11" s="1"/>
  <c r="R577" i="11" s="1"/>
  <c r="J567" i="11"/>
  <c r="J576" i="11" s="1"/>
  <c r="J577" i="11" s="1"/>
  <c r="N567" i="11"/>
  <c r="N576" i="11" s="1"/>
  <c r="N577" i="11" s="1"/>
  <c r="U586" i="11"/>
  <c r="U595" i="11" s="1"/>
  <c r="U596" i="11" s="1"/>
  <c r="M586" i="11"/>
  <c r="Y567" i="11"/>
  <c r="Q567" i="11"/>
  <c r="I567" i="11"/>
  <c r="I576" i="11" s="1"/>
  <c r="I577" i="11" s="1"/>
  <c r="R586" i="11"/>
  <c r="T586" i="11"/>
  <c r="L586" i="11"/>
  <c r="G584" i="11"/>
  <c r="X567" i="11"/>
  <c r="X576" i="11" s="1"/>
  <c r="X577" i="11" s="1"/>
  <c r="P567" i="11"/>
  <c r="P576" i="11" s="1"/>
  <c r="P577" i="11" s="1"/>
  <c r="H567" i="11"/>
  <c r="O567" i="11"/>
  <c r="AA586" i="11"/>
  <c r="S586" i="11"/>
  <c r="S595" i="11" s="1"/>
  <c r="S596" i="11" s="1"/>
  <c r="K586" i="11"/>
  <c r="K595" i="11" s="1"/>
  <c r="K596" i="11" s="1"/>
  <c r="G590" i="11"/>
  <c r="H593" i="11"/>
  <c r="G522" i="11"/>
  <c r="G541" i="11"/>
  <c r="AA543" i="11"/>
  <c r="G525" i="11"/>
  <c r="H528" i="11"/>
  <c r="Y540" i="11"/>
  <c r="Y549" i="11" s="1"/>
  <c r="Y550" i="11" s="1"/>
  <c r="Q540" i="11"/>
  <c r="Q549" i="11" s="1"/>
  <c r="Q550" i="11" s="1"/>
  <c r="I540" i="11"/>
  <c r="I549" i="11" s="1"/>
  <c r="I550" i="11" s="1"/>
  <c r="U521" i="11"/>
  <c r="U530" i="11" s="1"/>
  <c r="U531" i="11" s="1"/>
  <c r="M521" i="11"/>
  <c r="M530" i="11" s="1"/>
  <c r="M531" i="11" s="1"/>
  <c r="J540" i="11"/>
  <c r="J549" i="11" s="1"/>
  <c r="J550" i="11" s="1"/>
  <c r="N521" i="11"/>
  <c r="X540" i="11"/>
  <c r="X549" i="11" s="1"/>
  <c r="X550" i="11" s="1"/>
  <c r="P540" i="11"/>
  <c r="H540" i="11"/>
  <c r="T521" i="11"/>
  <c r="L521" i="11"/>
  <c r="G519" i="11"/>
  <c r="V521" i="11"/>
  <c r="V530" i="11" s="1"/>
  <c r="V531" i="11" s="1"/>
  <c r="W540" i="11"/>
  <c r="W549" i="11" s="1"/>
  <c r="W550" i="11" s="1"/>
  <c r="O540" i="11"/>
  <c r="O549" i="11" s="1"/>
  <c r="O550" i="11" s="1"/>
  <c r="AA521" i="11"/>
  <c r="S521" i="11"/>
  <c r="K521" i="11"/>
  <c r="K530" i="11" s="1"/>
  <c r="K531" i="11" s="1"/>
  <c r="S540" i="11"/>
  <c r="K540" i="11"/>
  <c r="V540" i="11"/>
  <c r="N540" i="11"/>
  <c r="N549" i="11" s="1"/>
  <c r="N550" i="11" s="1"/>
  <c r="Z521" i="11"/>
  <c r="Z530" i="11" s="1"/>
  <c r="Z531" i="11" s="1"/>
  <c r="R521" i="11"/>
  <c r="R530" i="11" s="1"/>
  <c r="R531" i="11" s="1"/>
  <c r="J521" i="11"/>
  <c r="AA540" i="11"/>
  <c r="O521" i="11"/>
  <c r="O530" i="11" s="1"/>
  <c r="O531" i="11" s="1"/>
  <c r="U540" i="11"/>
  <c r="M540" i="11"/>
  <c r="M549" i="11" s="1"/>
  <c r="M550" i="11" s="1"/>
  <c r="Y521" i="11"/>
  <c r="Q521" i="11"/>
  <c r="I521" i="11"/>
  <c r="Z540" i="11"/>
  <c r="T540" i="11"/>
  <c r="L540" i="11"/>
  <c r="G538" i="11"/>
  <c r="X521" i="11"/>
  <c r="X530" i="11" s="1"/>
  <c r="X531" i="11" s="1"/>
  <c r="P521" i="11"/>
  <c r="P530" i="11" s="1"/>
  <c r="P531" i="11" s="1"/>
  <c r="H521" i="11"/>
  <c r="W521" i="11"/>
  <c r="W530" i="11" s="1"/>
  <c r="W531" i="11" s="1"/>
  <c r="R540" i="11"/>
  <c r="H547" i="11"/>
  <c r="G544" i="11"/>
  <c r="K344" i="11"/>
  <c r="V363" i="11"/>
  <c r="R363" i="11"/>
  <c r="O317" i="11"/>
  <c r="X298" i="11"/>
  <c r="U298" i="11"/>
  <c r="S317" i="11"/>
  <c r="P344" i="11"/>
  <c r="Y363" i="11"/>
  <c r="L344" i="11"/>
  <c r="Q390" i="11"/>
  <c r="I390" i="11"/>
  <c r="K390" i="11"/>
  <c r="V390" i="11"/>
  <c r="Y409" i="11"/>
  <c r="V409" i="11"/>
  <c r="X271" i="11"/>
  <c r="W390" i="11"/>
  <c r="N409" i="11"/>
  <c r="P390" i="11"/>
  <c r="J409" i="11"/>
  <c r="P409" i="11"/>
  <c r="T390" i="11"/>
  <c r="W409" i="11"/>
  <c r="U271" i="11"/>
  <c r="Q409" i="11"/>
  <c r="AA390" i="11"/>
  <c r="L390" i="11"/>
  <c r="O409" i="11"/>
  <c r="L271" i="11"/>
  <c r="O363" i="11"/>
  <c r="Y344" i="11"/>
  <c r="S363" i="11"/>
  <c r="W363" i="11"/>
  <c r="M409" i="11"/>
  <c r="O390" i="11"/>
  <c r="AA409" i="11"/>
  <c r="U390" i="11"/>
  <c r="I409" i="11"/>
  <c r="X409" i="11"/>
  <c r="Z390" i="11"/>
  <c r="U409" i="11"/>
  <c r="U252" i="11"/>
  <c r="N390" i="11"/>
  <c r="S390" i="11"/>
  <c r="S409" i="11"/>
  <c r="M390" i="11"/>
  <c r="R390" i="11"/>
  <c r="Y390" i="11"/>
  <c r="V344" i="11"/>
  <c r="T409" i="11"/>
  <c r="K409" i="11"/>
  <c r="Z409" i="11"/>
  <c r="J390" i="11"/>
  <c r="V271" i="11"/>
  <c r="X390" i="11"/>
  <c r="L409" i="11"/>
  <c r="R409" i="11"/>
  <c r="O252" i="11"/>
  <c r="P252" i="11"/>
  <c r="Z252" i="11"/>
  <c r="J271" i="11"/>
  <c r="Y252" i="11"/>
  <c r="Q271" i="11"/>
  <c r="AA344" i="11"/>
  <c r="U363" i="11"/>
  <c r="N344" i="11"/>
  <c r="W344" i="11"/>
  <c r="P271" i="11"/>
  <c r="W252" i="11"/>
  <c r="X252" i="11"/>
  <c r="N271" i="11"/>
  <c r="Z271" i="11"/>
  <c r="M271" i="11"/>
  <c r="S344" i="11"/>
  <c r="T344" i="11"/>
  <c r="M363" i="11"/>
  <c r="X344" i="11"/>
  <c r="O344" i="11"/>
  <c r="P363" i="11"/>
  <c r="T271" i="11"/>
  <c r="Y271" i="11"/>
  <c r="K252" i="11"/>
  <c r="T252" i="11"/>
  <c r="K271" i="11"/>
  <c r="S252" i="11"/>
  <c r="R271" i="11"/>
  <c r="S271" i="11"/>
  <c r="N252" i="11"/>
  <c r="AA252" i="11"/>
  <c r="H271" i="11"/>
  <c r="J363" i="11"/>
  <c r="Z344" i="11"/>
  <c r="Q344" i="11"/>
  <c r="T363" i="11"/>
  <c r="K363" i="11"/>
  <c r="Z363" i="11"/>
  <c r="L252" i="11"/>
  <c r="AA271" i="11"/>
  <c r="J252" i="11"/>
  <c r="V252" i="11"/>
  <c r="I252" i="11"/>
  <c r="O271" i="11"/>
  <c r="I271" i="11"/>
  <c r="R344" i="11"/>
  <c r="I344" i="11"/>
  <c r="L363" i="11"/>
  <c r="U344" i="11"/>
  <c r="R252" i="11"/>
  <c r="Q252" i="11"/>
  <c r="W271" i="11"/>
  <c r="J344" i="11"/>
  <c r="X363" i="11"/>
  <c r="I363" i="11"/>
  <c r="M252" i="11"/>
  <c r="G495" i="11"/>
  <c r="G498" i="11"/>
  <c r="H501" i="11"/>
  <c r="G476" i="11"/>
  <c r="T494" i="11"/>
  <c r="T503" i="11" s="1"/>
  <c r="T504" i="11" s="1"/>
  <c r="L494" i="11"/>
  <c r="G492" i="11"/>
  <c r="X475" i="11"/>
  <c r="P475" i="11"/>
  <c r="H475" i="11"/>
  <c r="U494" i="11"/>
  <c r="AA494" i="11"/>
  <c r="AA503" i="11" s="1"/>
  <c r="AA504" i="11" s="1"/>
  <c r="S494" i="11"/>
  <c r="K494" i="11"/>
  <c r="W475" i="11"/>
  <c r="W484" i="11" s="1"/>
  <c r="W485" i="11" s="1"/>
  <c r="O475" i="11"/>
  <c r="Y475" i="11"/>
  <c r="Z494" i="11"/>
  <c r="R494" i="11"/>
  <c r="J494" i="11"/>
  <c r="V475" i="11"/>
  <c r="V484" i="11" s="1"/>
  <c r="V485" i="11" s="1"/>
  <c r="N475" i="11"/>
  <c r="N484" i="11" s="1"/>
  <c r="N485" i="11" s="1"/>
  <c r="Q475" i="11"/>
  <c r="Y494" i="11"/>
  <c r="Q494" i="11"/>
  <c r="Q503" i="11" s="1"/>
  <c r="Q504" i="11" s="1"/>
  <c r="I494" i="11"/>
  <c r="U475" i="11"/>
  <c r="M475" i="11"/>
  <c r="M484" i="11" s="1"/>
  <c r="M485" i="11" s="1"/>
  <c r="X494" i="11"/>
  <c r="P494" i="11"/>
  <c r="H494" i="11"/>
  <c r="AA478" i="11"/>
  <c r="T475" i="11"/>
  <c r="L475" i="11"/>
  <c r="L484" i="11" s="1"/>
  <c r="L485" i="11" s="1"/>
  <c r="G473" i="11"/>
  <c r="W494" i="11"/>
  <c r="O494" i="11"/>
  <c r="AA475" i="11"/>
  <c r="AA484" i="11" s="1"/>
  <c r="AA485" i="11" s="1"/>
  <c r="S475" i="11"/>
  <c r="K475" i="11"/>
  <c r="M494" i="11"/>
  <c r="I475" i="11"/>
  <c r="V494" i="11"/>
  <c r="V503" i="11" s="1"/>
  <c r="V504" i="11" s="1"/>
  <c r="N494" i="11"/>
  <c r="N503" i="11" s="1"/>
  <c r="N504" i="11" s="1"/>
  <c r="Z475" i="11"/>
  <c r="R475" i="11"/>
  <c r="J475" i="11"/>
  <c r="J484" i="11" s="1"/>
  <c r="J485" i="11" s="1"/>
  <c r="H482" i="11"/>
  <c r="G479" i="11"/>
  <c r="G430" i="11"/>
  <c r="T448" i="11"/>
  <c r="L448" i="11"/>
  <c r="G446" i="11"/>
  <c r="X429" i="11"/>
  <c r="P429" i="11"/>
  <c r="H429" i="11"/>
  <c r="O448" i="11"/>
  <c r="O457" i="11" s="1"/>
  <c r="O458" i="11" s="1"/>
  <c r="V448" i="11"/>
  <c r="N448" i="11"/>
  <c r="I429" i="11"/>
  <c r="AA448" i="11"/>
  <c r="AA457" i="11" s="1"/>
  <c r="AA458" i="11" s="1"/>
  <c r="S448" i="11"/>
  <c r="K448" i="11"/>
  <c r="K457" i="11" s="1"/>
  <c r="K458" i="11" s="1"/>
  <c r="W429" i="11"/>
  <c r="O429" i="11"/>
  <c r="O438" i="11" s="1"/>
  <c r="O439" i="11" s="1"/>
  <c r="K429" i="11"/>
  <c r="K438" i="11" s="1"/>
  <c r="K439" i="11" s="1"/>
  <c r="R429" i="11"/>
  <c r="R438" i="11" s="1"/>
  <c r="R439" i="11" s="1"/>
  <c r="M448" i="11"/>
  <c r="Z448" i="11"/>
  <c r="R448" i="11"/>
  <c r="J448" i="11"/>
  <c r="V429" i="11"/>
  <c r="N429" i="11"/>
  <c r="AA429" i="11"/>
  <c r="Z429" i="11"/>
  <c r="J429" i="11"/>
  <c r="J438" i="11" s="1"/>
  <c r="J439" i="11" s="1"/>
  <c r="U448" i="11"/>
  <c r="Y448" i="11"/>
  <c r="Q448" i="11"/>
  <c r="I448" i="11"/>
  <c r="U429" i="11"/>
  <c r="U438" i="11" s="1"/>
  <c r="U439" i="11" s="1"/>
  <c r="M429" i="11"/>
  <c r="W448" i="11"/>
  <c r="X448" i="11"/>
  <c r="P448" i="11"/>
  <c r="H448" i="11"/>
  <c r="T429" i="11"/>
  <c r="L429" i="11"/>
  <c r="G427" i="11"/>
  <c r="S429" i="11"/>
  <c r="Y429" i="11"/>
  <c r="Q429" i="11"/>
  <c r="G449" i="11"/>
  <c r="H455" i="11"/>
  <c r="G452" i="11"/>
  <c r="H436" i="11"/>
  <c r="G433" i="11"/>
  <c r="AA432" i="11"/>
  <c r="AA451" i="11"/>
  <c r="G403" i="11"/>
  <c r="T402" i="11"/>
  <c r="L402" i="11"/>
  <c r="G400" i="11"/>
  <c r="X383" i="11"/>
  <c r="P383" i="11"/>
  <c r="H383" i="11"/>
  <c r="AA383" i="11"/>
  <c r="AA402" i="11"/>
  <c r="S402" i="11"/>
  <c r="K402" i="11"/>
  <c r="W383" i="11"/>
  <c r="O383" i="11"/>
  <c r="W402" i="11"/>
  <c r="O402" i="11"/>
  <c r="S383" i="11"/>
  <c r="K383" i="11"/>
  <c r="Y383" i="11"/>
  <c r="I383" i="11"/>
  <c r="Z402" i="11"/>
  <c r="R402" i="11"/>
  <c r="J402" i="11"/>
  <c r="V383" i="11"/>
  <c r="N383" i="11"/>
  <c r="Y402" i="11"/>
  <c r="Q402" i="11"/>
  <c r="I402" i="11"/>
  <c r="U383" i="11"/>
  <c r="M383" i="11"/>
  <c r="U402" i="11"/>
  <c r="Q383" i="11"/>
  <c r="X402" i="11"/>
  <c r="P402" i="11"/>
  <c r="H402" i="11"/>
  <c r="T383" i="11"/>
  <c r="L383" i="11"/>
  <c r="G381" i="11"/>
  <c r="M402" i="11"/>
  <c r="V402" i="11"/>
  <c r="N402" i="11"/>
  <c r="Z383" i="11"/>
  <c r="R383" i="11"/>
  <c r="J383" i="11"/>
  <c r="H390" i="11"/>
  <c r="G387" i="11"/>
  <c r="H409" i="11"/>
  <c r="G406" i="11"/>
  <c r="G384" i="11"/>
  <c r="AA386" i="11"/>
  <c r="AA405" i="11"/>
  <c r="N298" i="11"/>
  <c r="M298" i="11"/>
  <c r="K298" i="11"/>
  <c r="R298" i="11"/>
  <c r="U317" i="11"/>
  <c r="P298" i="11"/>
  <c r="J298" i="11"/>
  <c r="M317" i="11"/>
  <c r="AA317" i="11"/>
  <c r="K317" i="11"/>
  <c r="W317" i="11"/>
  <c r="V317" i="11"/>
  <c r="Y298" i="11"/>
  <c r="Y317" i="11"/>
  <c r="T298" i="11"/>
  <c r="N317" i="11"/>
  <c r="Z317" i="11"/>
  <c r="Q298" i="11"/>
  <c r="Q317" i="11"/>
  <c r="R317" i="11"/>
  <c r="S298" i="11"/>
  <c r="Z298" i="11"/>
  <c r="V298" i="11"/>
  <c r="L317" i="11"/>
  <c r="J317" i="11"/>
  <c r="O298" i="11"/>
  <c r="P317" i="11"/>
  <c r="L298" i="11"/>
  <c r="AA298" i="11"/>
  <c r="I298" i="11"/>
  <c r="T317" i="11"/>
  <c r="W298" i="11"/>
  <c r="I317" i="11"/>
  <c r="X317" i="11"/>
  <c r="G249" i="11"/>
  <c r="G357" i="11"/>
  <c r="H363" i="11"/>
  <c r="G360" i="11"/>
  <c r="W356" i="11"/>
  <c r="O356" i="11"/>
  <c r="AA337" i="11"/>
  <c r="S337" i="11"/>
  <c r="K337" i="11"/>
  <c r="J356" i="11"/>
  <c r="J365" i="11" s="1"/>
  <c r="J366" i="11" s="1"/>
  <c r="G335" i="11"/>
  <c r="AA340" i="11"/>
  <c r="V356" i="11"/>
  <c r="N356" i="11"/>
  <c r="Z337" i="11"/>
  <c r="R337" i="11"/>
  <c r="J337" i="11"/>
  <c r="N337" i="11"/>
  <c r="U356" i="11"/>
  <c r="M356" i="11"/>
  <c r="Y337" i="11"/>
  <c r="Q337" i="11"/>
  <c r="I337" i="11"/>
  <c r="Z356" i="11"/>
  <c r="M337" i="11"/>
  <c r="H356" i="11"/>
  <c r="T356" i="11"/>
  <c r="L356" i="11"/>
  <c r="G354" i="11"/>
  <c r="X337" i="11"/>
  <c r="P337" i="11"/>
  <c r="H337" i="11"/>
  <c r="R356" i="11"/>
  <c r="R365" i="11" s="1"/>
  <c r="R366" i="11" s="1"/>
  <c r="Q356" i="11"/>
  <c r="P356" i="11"/>
  <c r="L337" i="11"/>
  <c r="AA356" i="11"/>
  <c r="S356" i="11"/>
  <c r="K356" i="11"/>
  <c r="W337" i="11"/>
  <c r="O337" i="11"/>
  <c r="V337" i="11"/>
  <c r="Y356" i="11"/>
  <c r="I356" i="11"/>
  <c r="U337" i="11"/>
  <c r="X356" i="11"/>
  <c r="T337" i="11"/>
  <c r="G341" i="11"/>
  <c r="H344" i="11"/>
  <c r="G338" i="11"/>
  <c r="G268" i="11"/>
  <c r="G265" i="11"/>
  <c r="G311" i="11"/>
  <c r="W310" i="11"/>
  <c r="O310" i="11"/>
  <c r="AA291" i="11"/>
  <c r="S291" i="11"/>
  <c r="K291" i="11"/>
  <c r="V310" i="11"/>
  <c r="N310" i="11"/>
  <c r="Z291" i="11"/>
  <c r="R291" i="11"/>
  <c r="J291" i="11"/>
  <c r="Z310" i="11"/>
  <c r="L291" i="11"/>
  <c r="U310" i="11"/>
  <c r="M310" i="11"/>
  <c r="Y291" i="11"/>
  <c r="Q291" i="11"/>
  <c r="I291" i="11"/>
  <c r="V291" i="11"/>
  <c r="T291" i="11"/>
  <c r="T310" i="11"/>
  <c r="L310" i="11"/>
  <c r="G308" i="11"/>
  <c r="X291" i="11"/>
  <c r="P291" i="11"/>
  <c r="H291" i="11"/>
  <c r="R310" i="11"/>
  <c r="N291" i="11"/>
  <c r="AA310" i="11"/>
  <c r="S310" i="11"/>
  <c r="K310" i="11"/>
  <c r="W291" i="11"/>
  <c r="O291" i="11"/>
  <c r="J310" i="11"/>
  <c r="G289" i="11"/>
  <c r="Y310" i="11"/>
  <c r="Q310" i="11"/>
  <c r="I310" i="11"/>
  <c r="U291" i="11"/>
  <c r="M291" i="11"/>
  <c r="X310" i="11"/>
  <c r="P310" i="11"/>
  <c r="H310" i="11"/>
  <c r="AA294" i="11"/>
  <c r="G295" i="11"/>
  <c r="H298" i="11"/>
  <c r="AA313" i="11"/>
  <c r="H317" i="11"/>
  <c r="G314" i="11"/>
  <c r="G292" i="11"/>
  <c r="W264" i="11"/>
  <c r="O264" i="11"/>
  <c r="AA245" i="11"/>
  <c r="S245" i="11"/>
  <c r="K245" i="11"/>
  <c r="U264" i="11"/>
  <c r="M264" i="11"/>
  <c r="Y245" i="11"/>
  <c r="Q245" i="11"/>
  <c r="W245" i="11"/>
  <c r="O245" i="11"/>
  <c r="Z264" i="11"/>
  <c r="J264" i="11"/>
  <c r="N245" i="11"/>
  <c r="G243" i="11"/>
  <c r="V264" i="11"/>
  <c r="N264" i="11"/>
  <c r="Z245" i="11"/>
  <c r="R245" i="11"/>
  <c r="J245" i="11"/>
  <c r="I245" i="11"/>
  <c r="T264" i="11"/>
  <c r="L264" i="11"/>
  <c r="G262" i="11"/>
  <c r="X245" i="11"/>
  <c r="P245" i="11"/>
  <c r="H245" i="11"/>
  <c r="AA264" i="11"/>
  <c r="S264" i="11"/>
  <c r="K264" i="11"/>
  <c r="R264" i="11"/>
  <c r="V245" i="11"/>
  <c r="T245" i="11"/>
  <c r="Y264" i="11"/>
  <c r="P264" i="11"/>
  <c r="U245" i="11"/>
  <c r="X264" i="11"/>
  <c r="AA248" i="11"/>
  <c r="I264" i="11"/>
  <c r="Q264" i="11"/>
  <c r="H264" i="11"/>
  <c r="M245" i="11"/>
  <c r="L245" i="11"/>
  <c r="H252" i="11"/>
  <c r="G246" i="11"/>
  <c r="G14" i="11" l="1"/>
  <c r="G42" i="11"/>
  <c r="G33" i="11"/>
  <c r="T622" i="11"/>
  <c r="T623" i="11" s="1"/>
  <c r="U1469" i="11"/>
  <c r="U1470" i="11" s="1"/>
  <c r="L1450" i="11"/>
  <c r="L1451" i="11" s="1"/>
  <c r="Q1791" i="11"/>
  <c r="Q1792" i="11" s="1"/>
  <c r="L549" i="11"/>
  <c r="L550" i="11" s="1"/>
  <c r="L530" i="11"/>
  <c r="L531" i="11" s="1"/>
  <c r="T1055" i="11"/>
  <c r="T1056" i="11" s="1"/>
  <c r="O1055" i="11"/>
  <c r="O1056" i="11" s="1"/>
  <c r="M595" i="11"/>
  <c r="M596" i="11" s="1"/>
  <c r="N687" i="11"/>
  <c r="N688" i="11" s="1"/>
  <c r="N1266" i="11"/>
  <c r="N1267" i="11" s="1"/>
  <c r="Q595" i="11"/>
  <c r="Q596" i="11" s="1"/>
  <c r="I1009" i="11"/>
  <c r="I1010" i="11" s="1"/>
  <c r="V1147" i="11"/>
  <c r="V1148" i="11" s="1"/>
  <c r="O1469" i="11"/>
  <c r="O1470" i="11" s="1"/>
  <c r="P549" i="11"/>
  <c r="P550" i="11" s="1"/>
  <c r="X457" i="11"/>
  <c r="X458" i="11" s="1"/>
  <c r="M457" i="11"/>
  <c r="M458" i="11" s="1"/>
  <c r="L457" i="11"/>
  <c r="L458" i="11" s="1"/>
  <c r="P595" i="11"/>
  <c r="P596" i="11" s="1"/>
  <c r="Q1147" i="11"/>
  <c r="Q1148" i="11" s="1"/>
  <c r="G69" i="11"/>
  <c r="D50" i="11" s="1"/>
  <c r="H3" i="12" s="1"/>
  <c r="X1036" i="11"/>
  <c r="X1037" i="11" s="1"/>
  <c r="Y1147" i="11"/>
  <c r="Y1148" i="11" s="1"/>
  <c r="P1055" i="11"/>
  <c r="P1056" i="11" s="1"/>
  <c r="V1128" i="11"/>
  <c r="V1129" i="11" s="1"/>
  <c r="X1312" i="11"/>
  <c r="X1313" i="11" s="1"/>
  <c r="M1404" i="11"/>
  <c r="M1405" i="11" s="1"/>
  <c r="R1726" i="11"/>
  <c r="R1727" i="11" s="1"/>
  <c r="Z1772" i="11"/>
  <c r="Z1773" i="11" s="1"/>
  <c r="W1818" i="11"/>
  <c r="W1819" i="11" s="1"/>
  <c r="Y1837" i="11"/>
  <c r="Y1838" i="11" s="1"/>
  <c r="V438" i="11"/>
  <c r="V439" i="11" s="1"/>
  <c r="W760" i="11"/>
  <c r="W761" i="11" s="1"/>
  <c r="AA1036" i="11"/>
  <c r="AA1037" i="11" s="1"/>
  <c r="N1082" i="11"/>
  <c r="N1083" i="11" s="1"/>
  <c r="R1082" i="11"/>
  <c r="R1083" i="11" s="1"/>
  <c r="Z1450" i="11"/>
  <c r="Z1451" i="11" s="1"/>
  <c r="M576" i="11"/>
  <c r="M577" i="11" s="1"/>
  <c r="P641" i="11"/>
  <c r="P642" i="11" s="1"/>
  <c r="U576" i="11"/>
  <c r="U577" i="11" s="1"/>
  <c r="G60" i="11"/>
  <c r="I1450" i="11"/>
  <c r="I1451" i="11" s="1"/>
  <c r="R1128" i="11"/>
  <c r="R1129" i="11" s="1"/>
  <c r="L1082" i="11"/>
  <c r="L1083" i="11" s="1"/>
  <c r="U806" i="11"/>
  <c r="U807" i="11" s="1"/>
  <c r="S503" i="11"/>
  <c r="S504" i="11" s="1"/>
  <c r="Y576" i="11"/>
  <c r="Y577" i="11" s="1"/>
  <c r="W687" i="11"/>
  <c r="W688" i="11" s="1"/>
  <c r="P898" i="11"/>
  <c r="P899" i="11" s="1"/>
  <c r="Z1055" i="11"/>
  <c r="Z1056" i="11" s="1"/>
  <c r="L1312" i="11"/>
  <c r="L1313" i="11" s="1"/>
  <c r="V1542" i="11"/>
  <c r="V1543" i="11" s="1"/>
  <c r="Y1561" i="11"/>
  <c r="Y1562" i="11" s="1"/>
  <c r="M1358" i="11"/>
  <c r="M1359" i="11" s="1"/>
  <c r="T898" i="11"/>
  <c r="T899" i="11" s="1"/>
  <c r="P1193" i="11"/>
  <c r="P1194" i="11" s="1"/>
  <c r="S1377" i="11"/>
  <c r="S1378" i="11" s="1"/>
  <c r="U484" i="11"/>
  <c r="U485" i="11" s="1"/>
  <c r="I595" i="11"/>
  <c r="I596" i="11" s="1"/>
  <c r="R733" i="11"/>
  <c r="R734" i="11" s="1"/>
  <c r="V806" i="11"/>
  <c r="V807" i="11" s="1"/>
  <c r="N898" i="11"/>
  <c r="N899" i="11" s="1"/>
  <c r="AA963" i="11"/>
  <c r="AA964" i="11" s="1"/>
  <c r="S1009" i="11"/>
  <c r="S1010" i="11" s="1"/>
  <c r="N990" i="11"/>
  <c r="N991" i="11" s="1"/>
  <c r="V1036" i="11"/>
  <c r="V1037" i="11" s="1"/>
  <c r="I1128" i="11"/>
  <c r="I1129" i="11" s="1"/>
  <c r="W1147" i="11"/>
  <c r="W1148" i="11" s="1"/>
  <c r="M1128" i="11"/>
  <c r="M1129" i="11" s="1"/>
  <c r="V1266" i="11"/>
  <c r="V1267" i="11" s="1"/>
  <c r="K1331" i="11"/>
  <c r="K1332" i="11" s="1"/>
  <c r="T1377" i="11"/>
  <c r="T1378" i="11" s="1"/>
  <c r="W1358" i="11"/>
  <c r="W1359" i="11" s="1"/>
  <c r="AA1607" i="11"/>
  <c r="AA1608" i="11" s="1"/>
  <c r="U1726" i="11"/>
  <c r="U1727" i="11" s="1"/>
  <c r="K1772" i="11"/>
  <c r="K1773" i="11" s="1"/>
  <c r="M503" i="11"/>
  <c r="M504" i="11" s="1"/>
  <c r="R779" i="11"/>
  <c r="R780" i="11" s="1"/>
  <c r="W806" i="11"/>
  <c r="W807" i="11" s="1"/>
  <c r="W917" i="11"/>
  <c r="W918" i="11" s="1"/>
  <c r="S944" i="11"/>
  <c r="S945" i="11" s="1"/>
  <c r="O1082" i="11"/>
  <c r="O1083" i="11" s="1"/>
  <c r="J1423" i="11"/>
  <c r="J1424" i="11" s="1"/>
  <c r="Z1745" i="11"/>
  <c r="Z1746" i="11" s="1"/>
  <c r="Q1745" i="11"/>
  <c r="Q1746" i="11" s="1"/>
  <c r="X1791" i="11"/>
  <c r="X1792" i="11" s="1"/>
  <c r="Y530" i="11"/>
  <c r="Y531" i="11" s="1"/>
  <c r="O595" i="11"/>
  <c r="O596" i="11" s="1"/>
  <c r="X595" i="11"/>
  <c r="X596" i="11" s="1"/>
  <c r="S1082" i="11"/>
  <c r="S1083" i="11" s="1"/>
  <c r="Y1174" i="11"/>
  <c r="Y1175" i="11" s="1"/>
  <c r="V1285" i="11"/>
  <c r="V1286" i="11" s="1"/>
  <c r="Y1377" i="11"/>
  <c r="Y1378" i="11" s="1"/>
  <c r="O1791" i="11"/>
  <c r="O1792" i="11" s="1"/>
  <c r="T438" i="11"/>
  <c r="T439" i="11" s="1"/>
  <c r="O576" i="11"/>
  <c r="O577" i="11" s="1"/>
  <c r="V641" i="11"/>
  <c r="V642" i="11" s="1"/>
  <c r="P733" i="11"/>
  <c r="P734" i="11" s="1"/>
  <c r="R825" i="11"/>
  <c r="R826" i="11" s="1"/>
  <c r="Q898" i="11"/>
  <c r="Q899" i="11" s="1"/>
  <c r="L917" i="11"/>
  <c r="L918" i="11" s="1"/>
  <c r="M944" i="11"/>
  <c r="M945" i="11" s="1"/>
  <c r="X990" i="11"/>
  <c r="X991" i="11" s="1"/>
  <c r="K1128" i="11"/>
  <c r="K1129" i="11" s="1"/>
  <c r="R1285" i="11"/>
  <c r="R1286" i="11" s="1"/>
  <c r="P1312" i="11"/>
  <c r="P1313" i="11" s="1"/>
  <c r="X1450" i="11"/>
  <c r="X1451" i="11" s="1"/>
  <c r="L1745" i="11"/>
  <c r="L1746" i="11" s="1"/>
  <c r="W1791" i="11"/>
  <c r="W1792" i="11" s="1"/>
  <c r="N963" i="11"/>
  <c r="N964" i="11" s="1"/>
  <c r="S1174" i="11"/>
  <c r="S1175" i="11" s="1"/>
  <c r="Z1331" i="11"/>
  <c r="Z1332" i="11" s="1"/>
  <c r="N1423" i="11"/>
  <c r="N1424" i="11" s="1"/>
  <c r="Z1496" i="11"/>
  <c r="Z1497" i="11" s="1"/>
  <c r="K1634" i="11"/>
  <c r="K1635" i="11" s="1"/>
  <c r="L1837" i="11"/>
  <c r="L1838" i="11" s="1"/>
  <c r="AA1791" i="11"/>
  <c r="AA1792" i="11" s="1"/>
  <c r="R457" i="11"/>
  <c r="R458" i="11" s="1"/>
  <c r="S457" i="11"/>
  <c r="S458" i="11" s="1"/>
  <c r="R484" i="11"/>
  <c r="R485" i="11" s="1"/>
  <c r="Q576" i="11"/>
  <c r="Q577" i="11" s="1"/>
  <c r="Z595" i="11"/>
  <c r="Z596" i="11" s="1"/>
  <c r="X687" i="11"/>
  <c r="X688" i="11" s="1"/>
  <c r="O990" i="11"/>
  <c r="O991" i="11" s="1"/>
  <c r="V990" i="11"/>
  <c r="V991" i="11" s="1"/>
  <c r="P1009" i="11"/>
  <c r="P1010" i="11" s="1"/>
  <c r="T1101" i="11"/>
  <c r="T1102" i="11" s="1"/>
  <c r="J1082" i="11"/>
  <c r="J1083" i="11" s="1"/>
  <c r="N1128" i="11"/>
  <c r="N1129" i="11" s="1"/>
  <c r="Z1285" i="11"/>
  <c r="Z1286" i="11" s="1"/>
  <c r="P1358" i="11"/>
  <c r="P1359" i="11" s="1"/>
  <c r="Q1404" i="11"/>
  <c r="Q1405" i="11" s="1"/>
  <c r="W1450" i="11"/>
  <c r="W1451" i="11" s="1"/>
  <c r="M1561" i="11"/>
  <c r="M1562" i="11" s="1"/>
  <c r="P1588" i="11"/>
  <c r="P1589" i="11" s="1"/>
  <c r="J1726" i="11"/>
  <c r="J1727" i="11" s="1"/>
  <c r="U1772" i="11"/>
  <c r="U1773" i="11" s="1"/>
  <c r="AA549" i="11"/>
  <c r="AA550" i="11" s="1"/>
  <c r="T530" i="11"/>
  <c r="T531" i="11" s="1"/>
  <c r="L1772" i="11"/>
  <c r="L1773" i="11" s="1"/>
  <c r="W457" i="11"/>
  <c r="W458" i="11" s="1"/>
  <c r="R503" i="11"/>
  <c r="R504" i="11" s="1"/>
  <c r="Z549" i="11"/>
  <c r="Z550" i="11" s="1"/>
  <c r="J530" i="11"/>
  <c r="J531" i="11" s="1"/>
  <c r="L668" i="11"/>
  <c r="L669" i="11" s="1"/>
  <c r="P714" i="11"/>
  <c r="P715" i="11" s="1"/>
  <c r="O733" i="11"/>
  <c r="O734" i="11" s="1"/>
  <c r="W779" i="11"/>
  <c r="W780" i="11" s="1"/>
  <c r="M825" i="11"/>
  <c r="M826" i="11" s="1"/>
  <c r="L871" i="11"/>
  <c r="L872" i="11" s="1"/>
  <c r="S917" i="11"/>
  <c r="S918" i="11" s="1"/>
  <c r="T944" i="11"/>
  <c r="T945" i="11" s="1"/>
  <c r="X1147" i="11"/>
  <c r="X1148" i="11" s="1"/>
  <c r="V1331" i="11"/>
  <c r="V1332" i="11" s="1"/>
  <c r="L1377" i="11"/>
  <c r="L1378" i="11" s="1"/>
  <c r="AA1469" i="11"/>
  <c r="AA1470" i="11" s="1"/>
  <c r="K1450" i="11"/>
  <c r="K1451" i="11" s="1"/>
  <c r="U1653" i="11"/>
  <c r="U1654" i="11" s="1"/>
  <c r="P1653" i="11"/>
  <c r="P1654" i="11" s="1"/>
  <c r="Q1726" i="11"/>
  <c r="Q1727" i="11" s="1"/>
  <c r="T1009" i="11"/>
  <c r="T1010" i="11" s="1"/>
  <c r="P1147" i="11"/>
  <c r="P1148" i="11" s="1"/>
  <c r="AA1561" i="11"/>
  <c r="AA1562" i="11" s="1"/>
  <c r="M438" i="11"/>
  <c r="M439" i="11" s="1"/>
  <c r="AA438" i="11"/>
  <c r="AA439" i="11" s="1"/>
  <c r="I484" i="11"/>
  <c r="I485" i="11" s="1"/>
  <c r="Z503" i="11"/>
  <c r="Z504" i="11" s="1"/>
  <c r="AA530" i="11"/>
  <c r="AA531" i="11" s="1"/>
  <c r="L595" i="11"/>
  <c r="L596" i="11" s="1"/>
  <c r="Q622" i="11"/>
  <c r="Q623" i="11" s="1"/>
  <c r="Q687" i="11"/>
  <c r="Q688" i="11" s="1"/>
  <c r="W733" i="11"/>
  <c r="W734" i="11" s="1"/>
  <c r="Z760" i="11"/>
  <c r="Z761" i="11" s="1"/>
  <c r="O806" i="11"/>
  <c r="O807" i="11" s="1"/>
  <c r="O917" i="11"/>
  <c r="O918" i="11" s="1"/>
  <c r="Q1101" i="11"/>
  <c r="Q1102" i="11" s="1"/>
  <c r="Z1128" i="11"/>
  <c r="Z1129" i="11" s="1"/>
  <c r="Y1312" i="11"/>
  <c r="Y1313" i="11" s="1"/>
  <c r="T1404" i="11"/>
  <c r="T1405" i="11" s="1"/>
  <c r="R1561" i="11"/>
  <c r="R1562" i="11" s="1"/>
  <c r="L1653" i="11"/>
  <c r="L1654" i="11" s="1"/>
  <c r="U1699" i="11"/>
  <c r="U1700" i="11" s="1"/>
  <c r="T549" i="11"/>
  <c r="T550" i="11" s="1"/>
  <c r="L641" i="11"/>
  <c r="L642" i="11" s="1"/>
  <c r="J825" i="11"/>
  <c r="J826" i="11" s="1"/>
  <c r="Z898" i="11"/>
  <c r="Z899" i="11" s="1"/>
  <c r="R963" i="11"/>
  <c r="R964" i="11" s="1"/>
  <c r="V1055" i="11"/>
  <c r="V1056" i="11" s="1"/>
  <c r="Q1055" i="11"/>
  <c r="Q1056" i="11" s="1"/>
  <c r="X1082" i="11"/>
  <c r="X1083" i="11" s="1"/>
  <c r="N1147" i="11"/>
  <c r="N1148" i="11" s="1"/>
  <c r="X1174" i="11"/>
  <c r="X1175" i="11" s="1"/>
  <c r="M1331" i="11"/>
  <c r="M1332" i="11" s="1"/>
  <c r="AA1377" i="11"/>
  <c r="AA1378" i="11" s="1"/>
  <c r="AA1450" i="11"/>
  <c r="AA1451" i="11" s="1"/>
  <c r="P1515" i="11"/>
  <c r="P1516" i="11" s="1"/>
  <c r="X1542" i="11"/>
  <c r="X1543" i="11" s="1"/>
  <c r="T1653" i="11"/>
  <c r="T1654" i="11" s="1"/>
  <c r="V1634" i="11"/>
  <c r="V1635" i="11" s="1"/>
  <c r="J1745" i="11"/>
  <c r="J1746" i="11" s="1"/>
  <c r="J1174" i="11"/>
  <c r="J1175" i="11" s="1"/>
  <c r="N438" i="11"/>
  <c r="N439" i="11" s="1"/>
  <c r="T595" i="11"/>
  <c r="T596" i="11" s="1"/>
  <c r="Y595" i="11"/>
  <c r="Y596" i="11" s="1"/>
  <c r="M687" i="11"/>
  <c r="M688" i="11" s="1"/>
  <c r="I733" i="11"/>
  <c r="I734" i="11" s="1"/>
  <c r="Q760" i="11"/>
  <c r="Q761" i="11" s="1"/>
  <c r="O484" i="11"/>
  <c r="O485" i="11" s="1"/>
  <c r="M622" i="11"/>
  <c r="M623" i="11" s="1"/>
  <c r="S687" i="11"/>
  <c r="S688" i="11" s="1"/>
  <c r="Y760" i="11"/>
  <c r="Y761" i="11" s="1"/>
  <c r="V779" i="11"/>
  <c r="V780" i="11" s="1"/>
  <c r="Z825" i="11"/>
  <c r="Z826" i="11" s="1"/>
  <c r="AA852" i="11"/>
  <c r="AA853" i="11" s="1"/>
  <c r="I871" i="11"/>
  <c r="I872" i="11" s="1"/>
  <c r="R917" i="11"/>
  <c r="R918" i="11" s="1"/>
  <c r="R1009" i="11"/>
  <c r="R1010" i="11" s="1"/>
  <c r="M1055" i="11"/>
  <c r="M1056" i="11" s="1"/>
  <c r="U1101" i="11"/>
  <c r="U1102" i="11" s="1"/>
  <c r="U1312" i="11"/>
  <c r="U1313" i="11" s="1"/>
  <c r="K1358" i="11"/>
  <c r="K1359" i="11" s="1"/>
  <c r="S1404" i="11"/>
  <c r="S1405" i="11" s="1"/>
  <c r="J1469" i="11"/>
  <c r="J1470" i="11" s="1"/>
  <c r="Y1469" i="11"/>
  <c r="Y1470" i="11" s="1"/>
  <c r="X1726" i="11"/>
  <c r="X1727" i="11" s="1"/>
  <c r="R1791" i="11"/>
  <c r="R1792" i="11" s="1"/>
  <c r="G125" i="11"/>
  <c r="S825" i="11"/>
  <c r="S826" i="11" s="1"/>
  <c r="Z917" i="11"/>
  <c r="Z918" i="11" s="1"/>
  <c r="O944" i="11"/>
  <c r="O945" i="11" s="1"/>
  <c r="X1101" i="11"/>
  <c r="X1102" i="11" s="1"/>
  <c r="M1147" i="11"/>
  <c r="M1148" i="11" s="1"/>
  <c r="P1128" i="11"/>
  <c r="P1129" i="11" s="1"/>
  <c r="P1266" i="11"/>
  <c r="P1267" i="11" s="1"/>
  <c r="J1312" i="11"/>
  <c r="J1313" i="11" s="1"/>
  <c r="R1423" i="11"/>
  <c r="R1424" i="11" s="1"/>
  <c r="M1772" i="11"/>
  <c r="M1773" i="11" s="1"/>
  <c r="X1818" i="11"/>
  <c r="X1819" i="11" s="1"/>
  <c r="AA1818" i="11"/>
  <c r="AA1819" i="11" s="1"/>
  <c r="Q484" i="11"/>
  <c r="Q485" i="11" s="1"/>
  <c r="P503" i="11"/>
  <c r="P504" i="11" s="1"/>
  <c r="R687" i="11"/>
  <c r="R688" i="11" s="1"/>
  <c r="K733" i="11"/>
  <c r="K734" i="11" s="1"/>
  <c r="I779" i="11"/>
  <c r="I780" i="11" s="1"/>
  <c r="X1055" i="11"/>
  <c r="X1056" i="11" s="1"/>
  <c r="R1101" i="11"/>
  <c r="R1102" i="11" s="1"/>
  <c r="I1358" i="11"/>
  <c r="I1359" i="11" s="1"/>
  <c r="W1726" i="11"/>
  <c r="W1727" i="11" s="1"/>
  <c r="V1772" i="11"/>
  <c r="V1773" i="11" s="1"/>
  <c r="O1818" i="11"/>
  <c r="O1819" i="11" s="1"/>
  <c r="G115" i="11"/>
  <c r="F99" i="11" s="1"/>
  <c r="F98" i="11" s="1"/>
  <c r="O503" i="11"/>
  <c r="O504" i="11" s="1"/>
  <c r="Q779" i="11"/>
  <c r="Q780" i="11" s="1"/>
  <c r="X852" i="11"/>
  <c r="X853" i="11" s="1"/>
  <c r="M963" i="11"/>
  <c r="M964" i="11" s="1"/>
  <c r="Z1312" i="11"/>
  <c r="Z1313" i="11" s="1"/>
  <c r="X1377" i="11"/>
  <c r="X1378" i="11" s="1"/>
  <c r="W1423" i="11"/>
  <c r="W1424" i="11" s="1"/>
  <c r="Z1634" i="11"/>
  <c r="Z1635" i="11" s="1"/>
  <c r="Y641" i="11"/>
  <c r="Y642" i="11" s="1"/>
  <c r="P806" i="11"/>
  <c r="P807" i="11" s="1"/>
  <c r="R1036" i="11"/>
  <c r="R1037" i="11" s="1"/>
  <c r="U1082" i="11"/>
  <c r="U1083" i="11" s="1"/>
  <c r="J1147" i="11"/>
  <c r="J1148" i="11" s="1"/>
  <c r="Y1358" i="11"/>
  <c r="Y1359" i="11" s="1"/>
  <c r="W1377" i="11"/>
  <c r="W1378" i="11" s="1"/>
  <c r="Z1726" i="11"/>
  <c r="Z1727" i="11" s="1"/>
  <c r="N1726" i="11"/>
  <c r="N1727" i="11" s="1"/>
  <c r="N1818" i="11"/>
  <c r="N1819" i="11" s="1"/>
  <c r="G171" i="11"/>
  <c r="Q668" i="11"/>
  <c r="Q669" i="11" s="1"/>
  <c r="R760" i="11"/>
  <c r="R761" i="11" s="1"/>
  <c r="J898" i="11"/>
  <c r="J899" i="11" s="1"/>
  <c r="R1147" i="11"/>
  <c r="R1148" i="11" s="1"/>
  <c r="L1331" i="11"/>
  <c r="L1332" i="11" s="1"/>
  <c r="Q1312" i="11"/>
  <c r="Q1313" i="11" s="1"/>
  <c r="AA1745" i="11"/>
  <c r="AA1746" i="11" s="1"/>
  <c r="V1726" i="11"/>
  <c r="V1727" i="11" s="1"/>
  <c r="R549" i="11"/>
  <c r="R550" i="11" s="1"/>
  <c r="I503" i="11"/>
  <c r="I504" i="11" s="1"/>
  <c r="AA1009" i="11"/>
  <c r="AA1010" i="11" s="1"/>
  <c r="Y1082" i="11"/>
  <c r="Y1083" i="11" s="1"/>
  <c r="S1285" i="11"/>
  <c r="S1286" i="11" s="1"/>
  <c r="U1377" i="11"/>
  <c r="U1378" i="11" s="1"/>
  <c r="V1745" i="11"/>
  <c r="V1746" i="11" s="1"/>
  <c r="W1772" i="11"/>
  <c r="W1773" i="11" s="1"/>
  <c r="G134" i="11"/>
  <c r="D95" i="11" s="1"/>
  <c r="G4" i="12" s="1"/>
  <c r="Z622" i="11"/>
  <c r="Z623" i="11" s="1"/>
  <c r="K1404" i="11"/>
  <c r="K1405" i="11" s="1"/>
  <c r="U1791" i="11"/>
  <c r="U1792" i="11" s="1"/>
  <c r="Y484" i="11"/>
  <c r="Y485" i="11" s="1"/>
  <c r="AA576" i="11"/>
  <c r="AA577" i="11" s="1"/>
  <c r="W622" i="11"/>
  <c r="W623" i="11" s="1"/>
  <c r="K687" i="11"/>
  <c r="K688" i="11" s="1"/>
  <c r="X825" i="11"/>
  <c r="X826" i="11" s="1"/>
  <c r="T917" i="11"/>
  <c r="T918" i="11" s="1"/>
  <c r="K1818" i="11"/>
  <c r="K1819" i="11" s="1"/>
  <c r="R1837" i="11"/>
  <c r="R1838" i="11" s="1"/>
  <c r="N530" i="11"/>
  <c r="N531" i="11" s="1"/>
  <c r="U687" i="11"/>
  <c r="U688" i="11" s="1"/>
  <c r="J806" i="11"/>
  <c r="J807" i="11" s="1"/>
  <c r="Z963" i="11"/>
  <c r="Z964" i="11" s="1"/>
  <c r="W1082" i="11"/>
  <c r="W1083" i="11" s="1"/>
  <c r="V1193" i="11"/>
  <c r="V1194" i="11" s="1"/>
  <c r="AA1312" i="11"/>
  <c r="AA1313" i="11" s="1"/>
  <c r="R1377" i="11"/>
  <c r="R1378" i="11" s="1"/>
  <c r="W963" i="11"/>
  <c r="W964" i="11" s="1"/>
  <c r="N365" i="11"/>
  <c r="N366" i="11" s="1"/>
  <c r="Z457" i="11"/>
  <c r="Z458" i="11" s="1"/>
  <c r="Z484" i="11"/>
  <c r="Z485" i="11" s="1"/>
  <c r="S549" i="11"/>
  <c r="S550" i="11" s="1"/>
  <c r="S622" i="11"/>
  <c r="S623" i="11" s="1"/>
  <c r="I1193" i="11"/>
  <c r="I1194" i="11" s="1"/>
  <c r="N1496" i="11"/>
  <c r="N1497" i="11" s="1"/>
  <c r="N1542" i="11"/>
  <c r="N1543" i="11" s="1"/>
  <c r="S1542" i="11"/>
  <c r="S1543" i="11" s="1"/>
  <c r="G106" i="11"/>
  <c r="G161" i="11"/>
  <c r="D142" i="11" s="1"/>
  <c r="H5" i="12" s="1"/>
  <c r="AA1174" i="11"/>
  <c r="AA1175" i="11" s="1"/>
  <c r="Q1515" i="11"/>
  <c r="Q1516" i="11" s="1"/>
  <c r="G180" i="11"/>
  <c r="D141" i="11" s="1"/>
  <c r="G5" i="12" s="1"/>
  <c r="O1561" i="11"/>
  <c r="O1562" i="11" s="1"/>
  <c r="V1818" i="11"/>
  <c r="V1819" i="11" s="1"/>
  <c r="G152" i="11"/>
  <c r="P438" i="11"/>
  <c r="P439" i="11" s="1"/>
  <c r="J595" i="11"/>
  <c r="J596" i="11" s="1"/>
  <c r="Y733" i="11"/>
  <c r="Y734" i="11" s="1"/>
  <c r="J1101" i="11"/>
  <c r="J1102" i="11" s="1"/>
  <c r="T1128" i="11"/>
  <c r="T1129" i="11" s="1"/>
  <c r="J1193" i="11"/>
  <c r="J1194" i="11" s="1"/>
  <c r="I1285" i="11"/>
  <c r="I1286" i="11" s="1"/>
  <c r="W1542" i="11"/>
  <c r="W1543" i="11" s="1"/>
  <c r="V1561" i="11"/>
  <c r="V1562" i="11" s="1"/>
  <c r="I1634" i="11"/>
  <c r="I1635" i="11" s="1"/>
  <c r="J1634" i="11"/>
  <c r="J1635" i="11" s="1"/>
  <c r="X1699" i="11"/>
  <c r="X1700" i="11" s="1"/>
  <c r="O1726" i="11"/>
  <c r="O1727" i="11" s="1"/>
  <c r="U1147" i="11"/>
  <c r="U1148" i="11" s="1"/>
  <c r="X1266" i="11"/>
  <c r="X1267" i="11" s="1"/>
  <c r="W1331" i="11"/>
  <c r="W1332" i="11" s="1"/>
  <c r="Q1331" i="11"/>
  <c r="Q1332" i="11" s="1"/>
  <c r="S733" i="11"/>
  <c r="S734" i="11" s="1"/>
  <c r="V852" i="11"/>
  <c r="V853" i="11" s="1"/>
  <c r="K898" i="11"/>
  <c r="K899" i="11" s="1"/>
  <c r="O1009" i="11"/>
  <c r="O1010" i="11" s="1"/>
  <c r="Z1193" i="11"/>
  <c r="Z1194" i="11" s="1"/>
  <c r="W1837" i="11"/>
  <c r="W1838" i="11" s="1"/>
  <c r="I668" i="11"/>
  <c r="I669" i="11" s="1"/>
  <c r="O779" i="11"/>
  <c r="O780" i="11" s="1"/>
  <c r="W1009" i="11"/>
  <c r="W1010" i="11" s="1"/>
  <c r="W1055" i="11"/>
  <c r="W1056" i="11" s="1"/>
  <c r="I1082" i="11"/>
  <c r="I1083" i="11" s="1"/>
  <c r="Z1082" i="11"/>
  <c r="Z1083" i="11" s="1"/>
  <c r="X1128" i="11"/>
  <c r="X1129" i="11" s="1"/>
  <c r="X1634" i="11"/>
  <c r="X1635" i="11" s="1"/>
  <c r="S1634" i="11"/>
  <c r="S1635" i="11" s="1"/>
  <c r="Z1818" i="11"/>
  <c r="Z1819" i="11" s="1"/>
  <c r="U917" i="11"/>
  <c r="U918" i="11" s="1"/>
  <c r="Q917" i="11"/>
  <c r="Q918" i="11" s="1"/>
  <c r="U963" i="11"/>
  <c r="U964" i="11" s="1"/>
  <c r="X944" i="11"/>
  <c r="X945" i="11" s="1"/>
  <c r="T576" i="11"/>
  <c r="T577" i="11" s="1"/>
  <c r="Z641" i="11"/>
  <c r="Z642" i="11" s="1"/>
  <c r="I622" i="11"/>
  <c r="I623" i="11" s="1"/>
  <c r="O641" i="11"/>
  <c r="O642" i="11" s="1"/>
  <c r="X806" i="11"/>
  <c r="X807" i="11" s="1"/>
  <c r="Y825" i="11"/>
  <c r="Y826" i="11" s="1"/>
  <c r="AA898" i="11"/>
  <c r="AA899" i="11" s="1"/>
  <c r="Y963" i="11"/>
  <c r="Y964" i="11" s="1"/>
  <c r="U990" i="11"/>
  <c r="U991" i="11" s="1"/>
  <c r="I1036" i="11"/>
  <c r="I1037" i="11" s="1"/>
  <c r="U1036" i="11"/>
  <c r="U1037" i="11" s="1"/>
  <c r="T1285" i="11"/>
  <c r="T1286" i="11" s="1"/>
  <c r="J1266" i="11"/>
  <c r="J1267" i="11" s="1"/>
  <c r="T1312" i="11"/>
  <c r="T1313" i="11" s="1"/>
  <c r="V1377" i="11"/>
  <c r="V1378" i="11" s="1"/>
  <c r="M1726" i="11"/>
  <c r="M1727" i="11" s="1"/>
  <c r="I530" i="11"/>
  <c r="I531" i="11" s="1"/>
  <c r="T714" i="11"/>
  <c r="T715" i="11" s="1"/>
  <c r="I760" i="11"/>
  <c r="I761" i="11" s="1"/>
  <c r="X760" i="11"/>
  <c r="X761" i="11" s="1"/>
  <c r="L852" i="11"/>
  <c r="L853" i="11" s="1"/>
  <c r="AA917" i="11"/>
  <c r="AA918" i="11" s="1"/>
  <c r="Q990" i="11"/>
  <c r="Q991" i="11" s="1"/>
  <c r="N1009" i="11"/>
  <c r="N1010" i="11" s="1"/>
  <c r="V1082" i="11"/>
  <c r="V1083" i="11" s="1"/>
  <c r="T1331" i="11"/>
  <c r="T1332" i="11" s="1"/>
  <c r="X1772" i="11"/>
  <c r="X1773" i="11" s="1"/>
  <c r="Q1818" i="11"/>
  <c r="Q1819" i="11" s="1"/>
  <c r="P917" i="11"/>
  <c r="P918" i="11" s="1"/>
  <c r="P963" i="11"/>
  <c r="P964" i="11" s="1"/>
  <c r="O1128" i="11"/>
  <c r="O1129" i="11" s="1"/>
  <c r="U1128" i="11"/>
  <c r="U1129" i="11" s="1"/>
  <c r="V1358" i="11"/>
  <c r="V1359" i="11" s="1"/>
  <c r="AA687" i="11"/>
  <c r="AA688" i="11" s="1"/>
  <c r="Z687" i="11"/>
  <c r="Z688" i="11" s="1"/>
  <c r="T668" i="11"/>
  <c r="T669" i="11" s="1"/>
  <c r="AA365" i="11"/>
  <c r="AA366" i="11" s="1"/>
  <c r="M990" i="11"/>
  <c r="M991" i="11" s="1"/>
  <c r="I1312" i="11"/>
  <c r="I1313" i="11" s="1"/>
  <c r="S1745" i="11"/>
  <c r="S1746" i="11" s="1"/>
  <c r="I1726" i="11"/>
  <c r="I1727" i="11" s="1"/>
  <c r="N1791" i="11"/>
  <c r="N1792" i="11" s="1"/>
  <c r="K1837" i="11"/>
  <c r="K1838" i="11" s="1"/>
  <c r="P622" i="11"/>
  <c r="P623" i="11" s="1"/>
  <c r="N760" i="11"/>
  <c r="N761" i="11" s="1"/>
  <c r="S530" i="11"/>
  <c r="S531" i="11" s="1"/>
  <c r="W1174" i="11"/>
  <c r="W1175" i="11" s="1"/>
  <c r="L687" i="11"/>
  <c r="L688" i="11" s="1"/>
  <c r="U825" i="11"/>
  <c r="U826" i="11" s="1"/>
  <c r="R1266" i="11"/>
  <c r="R1267" i="11" s="1"/>
  <c r="X1653" i="11"/>
  <c r="X1654" i="11" s="1"/>
  <c r="L825" i="11"/>
  <c r="L826" i="11" s="1"/>
  <c r="T963" i="11"/>
  <c r="T964" i="11" s="1"/>
  <c r="J1009" i="11"/>
  <c r="J1010" i="11" s="1"/>
  <c r="V1009" i="11"/>
  <c r="V1010" i="11" s="1"/>
  <c r="Q1009" i="11"/>
  <c r="Q1010" i="11" s="1"/>
  <c r="P1036" i="11"/>
  <c r="P1037" i="11" s="1"/>
  <c r="Y1036" i="11"/>
  <c r="Y1037" i="11" s="1"/>
  <c r="Y1101" i="11"/>
  <c r="Y1102" i="11" s="1"/>
  <c r="J1377" i="11"/>
  <c r="J1378" i="11" s="1"/>
  <c r="X1496" i="11"/>
  <c r="X1497" i="11" s="1"/>
  <c r="J1607" i="11"/>
  <c r="J1608" i="11" s="1"/>
  <c r="W1634" i="11"/>
  <c r="W1635" i="11" s="1"/>
  <c r="S1772" i="11"/>
  <c r="S1773" i="11" s="1"/>
  <c r="S714" i="11"/>
  <c r="S715" i="11" s="1"/>
  <c r="T871" i="11"/>
  <c r="T872" i="11" s="1"/>
  <c r="S898" i="11"/>
  <c r="S899" i="11" s="1"/>
  <c r="J622" i="11"/>
  <c r="J623" i="11" s="1"/>
  <c r="V1653" i="11"/>
  <c r="V1654" i="11" s="1"/>
  <c r="P1772" i="11"/>
  <c r="P1773" i="11" s="1"/>
  <c r="T1772" i="11"/>
  <c r="T1773" i="11" s="1"/>
  <c r="W668" i="11"/>
  <c r="W669" i="11" s="1"/>
  <c r="V898" i="11"/>
  <c r="V899" i="11" s="1"/>
  <c r="R898" i="11"/>
  <c r="R899" i="11" s="1"/>
  <c r="K944" i="11"/>
  <c r="K945" i="11" s="1"/>
  <c r="K1193" i="11"/>
  <c r="K1194" i="11" s="1"/>
  <c r="N1634" i="11"/>
  <c r="N1635" i="11" s="1"/>
  <c r="V1837" i="11"/>
  <c r="V1838" i="11" s="1"/>
  <c r="N668" i="11"/>
  <c r="N669" i="11" s="1"/>
  <c r="M733" i="11"/>
  <c r="M734" i="11" s="1"/>
  <c r="K825" i="11"/>
  <c r="K826" i="11" s="1"/>
  <c r="X898" i="11"/>
  <c r="X899" i="11" s="1"/>
  <c r="P990" i="11"/>
  <c r="P991" i="11" s="1"/>
  <c r="O1036" i="11"/>
  <c r="O1037" i="11" s="1"/>
  <c r="Y1055" i="11"/>
  <c r="Y1056" i="11" s="1"/>
  <c r="V1174" i="11"/>
  <c r="V1175" i="11" s="1"/>
  <c r="N1285" i="11"/>
  <c r="N1286" i="11" s="1"/>
  <c r="O1634" i="11"/>
  <c r="O1635" i="11" s="1"/>
  <c r="R1653" i="11"/>
  <c r="R1654" i="11" s="1"/>
  <c r="K1653" i="11"/>
  <c r="K1654" i="11" s="1"/>
  <c r="Z1653" i="11"/>
  <c r="Z1654" i="11" s="1"/>
  <c r="U1745" i="11"/>
  <c r="U1746" i="11" s="1"/>
  <c r="K1726" i="11"/>
  <c r="K1727" i="11" s="1"/>
  <c r="S1791" i="11"/>
  <c r="S1792" i="11" s="1"/>
  <c r="L1791" i="11"/>
  <c r="L1792" i="11" s="1"/>
  <c r="AA1772" i="11"/>
  <c r="AA1773" i="11" s="1"/>
  <c r="M1837" i="11"/>
  <c r="M1838" i="11" s="1"/>
  <c r="S1818" i="11"/>
  <c r="S1819" i="11" s="1"/>
  <c r="U1818" i="11"/>
  <c r="U1819" i="11" s="1"/>
  <c r="K668" i="11"/>
  <c r="K669" i="11" s="1"/>
  <c r="W438" i="11"/>
  <c r="W439" i="11" s="1"/>
  <c r="R595" i="11"/>
  <c r="R596" i="11" s="1"/>
  <c r="T825" i="11"/>
  <c r="T826" i="11" s="1"/>
  <c r="Y852" i="11"/>
  <c r="Y853" i="11" s="1"/>
  <c r="I898" i="11"/>
  <c r="I899" i="11" s="1"/>
  <c r="Q457" i="11"/>
  <c r="Q458" i="11" s="1"/>
  <c r="U622" i="11"/>
  <c r="U623" i="11" s="1"/>
  <c r="J687" i="11"/>
  <c r="J688" i="11" s="1"/>
  <c r="P687" i="11"/>
  <c r="P688" i="11" s="1"/>
  <c r="M779" i="11"/>
  <c r="M780" i="11" s="1"/>
  <c r="R806" i="11"/>
  <c r="R807" i="11" s="1"/>
  <c r="W825" i="11"/>
  <c r="W826" i="11" s="1"/>
  <c r="Q871" i="11"/>
  <c r="Q872" i="11" s="1"/>
  <c r="V917" i="11"/>
  <c r="V918" i="11" s="1"/>
  <c r="Q944" i="11"/>
  <c r="Q945" i="11" s="1"/>
  <c r="U1009" i="11"/>
  <c r="U1010" i="11" s="1"/>
  <c r="S1036" i="11"/>
  <c r="S1037" i="11" s="1"/>
  <c r="AA1082" i="11"/>
  <c r="AA1083" i="11" s="1"/>
  <c r="L1174" i="11"/>
  <c r="L1175" i="11" s="1"/>
  <c r="J1331" i="11"/>
  <c r="J1332" i="11" s="1"/>
  <c r="O1331" i="11"/>
  <c r="O1332" i="11" s="1"/>
  <c r="R1404" i="11"/>
  <c r="R1405" i="11" s="1"/>
  <c r="S1515" i="11"/>
  <c r="S1516" i="11" s="1"/>
  <c r="O1515" i="11"/>
  <c r="O1516" i="11" s="1"/>
  <c r="Y1542" i="11"/>
  <c r="Y1543" i="11" s="1"/>
  <c r="U1542" i="11"/>
  <c r="U1543" i="11" s="1"/>
  <c r="Z1607" i="11"/>
  <c r="Z1608" i="11" s="1"/>
  <c r="X1607" i="11"/>
  <c r="X1608" i="11" s="1"/>
  <c r="R1745" i="11"/>
  <c r="R1746" i="11" s="1"/>
  <c r="S1726" i="11"/>
  <c r="S1727" i="11" s="1"/>
  <c r="Y806" i="11"/>
  <c r="Y807" i="11" s="1"/>
  <c r="T457" i="11"/>
  <c r="T458" i="11" s="1"/>
  <c r="O668" i="11"/>
  <c r="O669" i="11" s="1"/>
  <c r="K806" i="11"/>
  <c r="K807" i="11" s="1"/>
  <c r="K1285" i="11"/>
  <c r="K1286" i="11" s="1"/>
  <c r="Y1791" i="11"/>
  <c r="Y1792" i="11" s="1"/>
  <c r="S438" i="11"/>
  <c r="S439" i="11" s="1"/>
  <c r="W641" i="11"/>
  <c r="W642" i="11" s="1"/>
  <c r="U714" i="11"/>
  <c r="U715" i="11" s="1"/>
  <c r="N1055" i="11"/>
  <c r="N1056" i="11" s="1"/>
  <c r="M1791" i="11"/>
  <c r="M1792" i="11" s="1"/>
  <c r="T484" i="11"/>
  <c r="T485" i="11" s="1"/>
  <c r="T641" i="11"/>
  <c r="T642" i="11" s="1"/>
  <c r="X714" i="11"/>
  <c r="X715" i="11" s="1"/>
  <c r="AA806" i="11"/>
  <c r="AA807" i="11" s="1"/>
  <c r="J917" i="11"/>
  <c r="J918" i="11" s="1"/>
  <c r="X484" i="11"/>
  <c r="X485" i="11" s="1"/>
  <c r="S668" i="11"/>
  <c r="S669" i="11" s="1"/>
  <c r="N917" i="11"/>
  <c r="N918" i="11" s="1"/>
  <c r="AA944" i="11"/>
  <c r="AA945" i="11" s="1"/>
  <c r="X438" i="11"/>
  <c r="X439" i="11" s="1"/>
  <c r="L503" i="11"/>
  <c r="L504" i="11" s="1"/>
  <c r="U549" i="11"/>
  <c r="U550" i="11" s="1"/>
  <c r="AA641" i="11"/>
  <c r="AA642" i="11" s="1"/>
  <c r="O687" i="11"/>
  <c r="O688" i="11" s="1"/>
  <c r="S760" i="11"/>
  <c r="S761" i="11" s="1"/>
  <c r="AA825" i="11"/>
  <c r="AA826" i="11" s="1"/>
  <c r="I806" i="11"/>
  <c r="I807" i="11" s="1"/>
  <c r="S871" i="11"/>
  <c r="S872" i="11" s="1"/>
  <c r="O898" i="11"/>
  <c r="O899" i="11" s="1"/>
  <c r="Y898" i="11"/>
  <c r="Y899" i="11" s="1"/>
  <c r="U898" i="11"/>
  <c r="U899" i="11" s="1"/>
  <c r="Y944" i="11"/>
  <c r="Y945" i="11" s="1"/>
  <c r="AA990" i="11"/>
  <c r="AA991" i="11" s="1"/>
  <c r="S1101" i="11"/>
  <c r="S1102" i="11" s="1"/>
  <c r="O1101" i="11"/>
  <c r="O1102" i="11" s="1"/>
  <c r="T1174" i="11"/>
  <c r="T1175" i="11" s="1"/>
  <c r="R1312" i="11"/>
  <c r="R1313" i="11" s="1"/>
  <c r="P1377" i="11"/>
  <c r="P1378" i="11" s="1"/>
  <c r="O1423" i="11"/>
  <c r="O1424" i="11" s="1"/>
  <c r="R1496" i="11"/>
  <c r="R1497" i="11" s="1"/>
  <c r="W1515" i="11"/>
  <c r="W1516" i="11" s="1"/>
  <c r="K1561" i="11"/>
  <c r="K1562" i="11" s="1"/>
  <c r="I1561" i="11"/>
  <c r="I1562" i="11" s="1"/>
  <c r="R1634" i="11"/>
  <c r="R1635" i="11" s="1"/>
  <c r="Q1653" i="11"/>
  <c r="Q1654" i="11" s="1"/>
  <c r="AA1699" i="11"/>
  <c r="AA1700" i="11" s="1"/>
  <c r="I1680" i="11"/>
  <c r="I1681" i="11" s="1"/>
  <c r="J1791" i="11"/>
  <c r="J1792" i="11" s="1"/>
  <c r="R1772" i="11"/>
  <c r="R1773" i="11" s="1"/>
  <c r="O1837" i="11"/>
  <c r="O1838" i="11" s="1"/>
  <c r="AA1358" i="11"/>
  <c r="AA1359" i="11" s="1"/>
  <c r="Y457" i="11"/>
  <c r="Y458" i="11" s="1"/>
  <c r="K503" i="11"/>
  <c r="K504" i="11" s="1"/>
  <c r="K549" i="11"/>
  <c r="K550" i="11" s="1"/>
  <c r="N852" i="11"/>
  <c r="N853" i="11" s="1"/>
  <c r="T687" i="11"/>
  <c r="T688" i="11" s="1"/>
  <c r="N733" i="11"/>
  <c r="N734" i="11" s="1"/>
  <c r="W990" i="11"/>
  <c r="W991" i="11" s="1"/>
  <c r="X1009" i="11"/>
  <c r="X1010" i="11" s="1"/>
  <c r="W1101" i="11"/>
  <c r="W1102" i="11" s="1"/>
  <c r="AA1147" i="11"/>
  <c r="AA1148" i="11" s="1"/>
  <c r="Q1837" i="11"/>
  <c r="Q1838" i="11" s="1"/>
  <c r="K622" i="11"/>
  <c r="K623" i="11" s="1"/>
  <c r="R668" i="11"/>
  <c r="R669" i="11" s="1"/>
  <c r="U944" i="11"/>
  <c r="U945" i="11" s="1"/>
  <c r="K1174" i="11"/>
  <c r="K1175" i="11" s="1"/>
  <c r="R1331" i="11"/>
  <c r="R1332" i="11" s="1"/>
  <c r="I438" i="11"/>
  <c r="I439" i="11" s="1"/>
  <c r="W576" i="11"/>
  <c r="W577" i="11" s="1"/>
  <c r="R641" i="11"/>
  <c r="R642" i="11" s="1"/>
  <c r="U668" i="11"/>
  <c r="U669" i="11" s="1"/>
  <c r="J733" i="11"/>
  <c r="J734" i="11" s="1"/>
  <c r="J760" i="11"/>
  <c r="J761" i="11" s="1"/>
  <c r="K1009" i="11"/>
  <c r="K1010" i="11" s="1"/>
  <c r="AA1055" i="11"/>
  <c r="AA1056" i="11" s="1"/>
  <c r="L1193" i="11"/>
  <c r="L1194" i="11" s="1"/>
  <c r="N1358" i="11"/>
  <c r="N1359" i="11" s="1"/>
  <c r="Z1791" i="11"/>
  <c r="Z1792" i="11" s="1"/>
  <c r="I1791" i="11"/>
  <c r="I1792" i="11" s="1"/>
  <c r="Y438" i="11"/>
  <c r="Y439" i="11" s="1"/>
  <c r="Z438" i="11"/>
  <c r="Z439" i="11" s="1"/>
  <c r="AA779" i="11"/>
  <c r="AA780" i="11" s="1"/>
  <c r="Z852" i="11"/>
  <c r="Z853" i="11" s="1"/>
  <c r="V944" i="11"/>
  <c r="V945" i="11" s="1"/>
  <c r="I1101" i="11"/>
  <c r="I1102" i="11" s="1"/>
  <c r="R1174" i="11"/>
  <c r="R1175" i="11" s="1"/>
  <c r="X1285" i="11"/>
  <c r="X1286" i="11" s="1"/>
  <c r="Q1772" i="11"/>
  <c r="Q1773" i="11" s="1"/>
  <c r="I1055" i="11"/>
  <c r="I1056" i="11" s="1"/>
  <c r="K1312" i="11"/>
  <c r="K1313" i="11" s="1"/>
  <c r="X1404" i="11"/>
  <c r="X1405" i="11" s="1"/>
  <c r="J1653" i="11"/>
  <c r="J1654" i="11" s="1"/>
  <c r="P1837" i="11"/>
  <c r="P1838" i="11" s="1"/>
  <c r="I1266" i="11"/>
  <c r="I1267" i="11" s="1"/>
  <c r="S1331" i="11"/>
  <c r="S1332" i="11" s="1"/>
  <c r="W1653" i="11"/>
  <c r="W1654" i="11" s="1"/>
  <c r="L438" i="11"/>
  <c r="L439" i="11" s="1"/>
  <c r="I457" i="11"/>
  <c r="I458" i="11" s="1"/>
  <c r="K484" i="11"/>
  <c r="K485" i="11" s="1"/>
  <c r="Y503" i="11"/>
  <c r="Y504" i="11" s="1"/>
  <c r="K641" i="11"/>
  <c r="K642" i="11" s="1"/>
  <c r="N641" i="11"/>
  <c r="N642" i="11" s="1"/>
  <c r="L622" i="11"/>
  <c r="L623" i="11" s="1"/>
  <c r="Q733" i="11"/>
  <c r="Q734" i="11" s="1"/>
  <c r="K990" i="11"/>
  <c r="K991" i="11" s="1"/>
  <c r="U1266" i="11"/>
  <c r="U1267" i="11" s="1"/>
  <c r="K1377" i="11"/>
  <c r="K1378" i="11" s="1"/>
  <c r="M1542" i="11"/>
  <c r="M1543" i="11" s="1"/>
  <c r="U1634" i="11"/>
  <c r="U1635" i="11" s="1"/>
  <c r="K1699" i="11"/>
  <c r="K1700" i="11" s="1"/>
  <c r="Y1404" i="11"/>
  <c r="Y1405" i="11" s="1"/>
  <c r="X503" i="11"/>
  <c r="X504" i="11" s="1"/>
  <c r="Q641" i="11"/>
  <c r="Q642" i="11" s="1"/>
  <c r="I963" i="11"/>
  <c r="I964" i="11" s="1"/>
  <c r="M1082" i="11"/>
  <c r="M1083" i="11" s="1"/>
  <c r="W503" i="11"/>
  <c r="W504" i="11" s="1"/>
  <c r="J503" i="11"/>
  <c r="J504" i="11" s="1"/>
  <c r="M1036" i="11"/>
  <c r="M1037" i="11" s="1"/>
  <c r="Q1193" i="11"/>
  <c r="Q1194" i="11" s="1"/>
  <c r="M1653" i="11"/>
  <c r="M1654" i="11" s="1"/>
  <c r="V622" i="11"/>
  <c r="V623" i="11" s="1"/>
  <c r="Z668" i="11"/>
  <c r="Z669" i="11" s="1"/>
  <c r="V714" i="11"/>
  <c r="V715" i="11" s="1"/>
  <c r="AA871" i="11"/>
  <c r="AA872" i="11" s="1"/>
  <c r="N457" i="11"/>
  <c r="N458" i="11" s="1"/>
  <c r="U503" i="11"/>
  <c r="U504" i="11" s="1"/>
  <c r="I687" i="11"/>
  <c r="I688" i="11" s="1"/>
  <c r="M714" i="11"/>
  <c r="M715" i="11" s="1"/>
  <c r="V760" i="11"/>
  <c r="V761" i="11" s="1"/>
  <c r="X779" i="11"/>
  <c r="X780" i="11" s="1"/>
  <c r="R871" i="11"/>
  <c r="R872" i="11" s="1"/>
  <c r="N1101" i="11"/>
  <c r="N1102" i="11" s="1"/>
  <c r="O1193" i="11"/>
  <c r="O1194" i="11" s="1"/>
  <c r="AA1266" i="11"/>
  <c r="AA1267" i="11" s="1"/>
  <c r="P1404" i="11"/>
  <c r="P1405" i="11" s="1"/>
  <c r="Z1174" i="11"/>
  <c r="Z1175" i="11" s="1"/>
  <c r="S1837" i="11"/>
  <c r="S1838" i="11" s="1"/>
  <c r="R622" i="11"/>
  <c r="R623" i="11" s="1"/>
  <c r="K1082" i="11"/>
  <c r="K1083" i="11" s="1"/>
  <c r="M1266" i="11"/>
  <c r="M1267" i="11" s="1"/>
  <c r="AA1837" i="11"/>
  <c r="AA1838" i="11" s="1"/>
  <c r="Q852" i="11"/>
  <c r="Q853" i="11" s="1"/>
  <c r="T852" i="11"/>
  <c r="T853" i="11" s="1"/>
  <c r="AA595" i="11"/>
  <c r="AA596" i="11" s="1"/>
  <c r="T733" i="11"/>
  <c r="T734" i="11" s="1"/>
  <c r="Q1542" i="11"/>
  <c r="Q1543" i="11" s="1"/>
  <c r="W1699" i="11"/>
  <c r="W1700" i="11" s="1"/>
  <c r="M1818" i="11"/>
  <c r="M1819" i="11" s="1"/>
  <c r="P484" i="11"/>
  <c r="P485" i="11" s="1"/>
  <c r="S484" i="11"/>
  <c r="S485" i="11" s="1"/>
  <c r="V549" i="11"/>
  <c r="V550" i="11" s="1"/>
  <c r="S641" i="11"/>
  <c r="S642" i="11" s="1"/>
  <c r="U733" i="11"/>
  <c r="U734" i="11" s="1"/>
  <c r="R714" i="11"/>
  <c r="R715" i="11" s="1"/>
  <c r="Z944" i="11"/>
  <c r="Z945" i="11" s="1"/>
  <c r="W1036" i="11"/>
  <c r="W1037" i="11" s="1"/>
  <c r="I1653" i="11"/>
  <c r="I1654" i="11" s="1"/>
  <c r="P1818" i="11"/>
  <c r="P1819" i="11" s="1"/>
  <c r="Z1837" i="11"/>
  <c r="Z1838" i="11" s="1"/>
  <c r="H163" i="11"/>
  <c r="D144" i="11" s="1"/>
  <c r="I5" i="12" s="1"/>
  <c r="H90" i="11"/>
  <c r="G91" i="11" s="1"/>
  <c r="D53" i="11" s="1"/>
  <c r="F3" i="12" s="1"/>
  <c r="H182" i="11"/>
  <c r="G183" i="11" s="1"/>
  <c r="D145" i="11" s="1"/>
  <c r="F5" i="12" s="1"/>
  <c r="P1561" i="11"/>
  <c r="P1562" i="11" s="1"/>
  <c r="L1588" i="11"/>
  <c r="L1589" i="11" s="1"/>
  <c r="S1680" i="11"/>
  <c r="S1681" i="11" s="1"/>
  <c r="O1653" i="11"/>
  <c r="O1654" i="11" s="1"/>
  <c r="Y990" i="11"/>
  <c r="Y991" i="11" s="1"/>
  <c r="N1174" i="11"/>
  <c r="N1175" i="11" s="1"/>
  <c r="AA1193" i="11"/>
  <c r="AA1194" i="11" s="1"/>
  <c r="L1055" i="11"/>
  <c r="L1056" i="11" s="1"/>
  <c r="U1174" i="11"/>
  <c r="U1175" i="11" s="1"/>
  <c r="Z1515" i="11"/>
  <c r="Z1516" i="11" s="1"/>
  <c r="Q1561" i="11"/>
  <c r="Q1562" i="11" s="1"/>
  <c r="T1634" i="11"/>
  <c r="T1635" i="11" s="1"/>
  <c r="H117" i="11"/>
  <c r="G118" i="11" s="1"/>
  <c r="D97" i="11" s="1"/>
  <c r="Q1174" i="11"/>
  <c r="Q1175" i="11" s="1"/>
  <c r="Y1193" i="11"/>
  <c r="Y1194" i="11" s="1"/>
  <c r="J1542" i="11"/>
  <c r="J1543" i="11" s="1"/>
  <c r="P1680" i="11"/>
  <c r="P1681" i="11" s="1"/>
  <c r="Q530" i="11"/>
  <c r="Q531" i="11" s="1"/>
  <c r="Q714" i="11"/>
  <c r="Q715" i="11" s="1"/>
  <c r="L990" i="11"/>
  <c r="L991" i="11" s="1"/>
  <c r="I1174" i="11"/>
  <c r="I1175" i="11" s="1"/>
  <c r="I1542" i="11"/>
  <c r="I1543" i="11" s="1"/>
  <c r="J1588" i="11"/>
  <c r="J1589" i="11" s="1"/>
  <c r="O1699" i="11"/>
  <c r="O1700" i="11" s="1"/>
  <c r="Y1699" i="11"/>
  <c r="Y1700" i="11" s="1"/>
  <c r="Q365" i="11"/>
  <c r="Q366" i="11" s="1"/>
  <c r="M1009" i="11"/>
  <c r="M1010" i="11" s="1"/>
  <c r="Y1009" i="11"/>
  <c r="Y1010" i="11" s="1"/>
  <c r="AA1423" i="11"/>
  <c r="AA1424" i="11" s="1"/>
  <c r="O1542" i="11"/>
  <c r="O1543" i="11" s="1"/>
  <c r="N1561" i="11"/>
  <c r="N1562" i="11" s="1"/>
  <c r="P1174" i="11"/>
  <c r="P1175" i="11" s="1"/>
  <c r="J668" i="11"/>
  <c r="J669" i="11" s="1"/>
  <c r="K714" i="11"/>
  <c r="K715" i="11" s="1"/>
  <c r="H136" i="11"/>
  <c r="G137" i="11" s="1"/>
  <c r="D99" i="11" s="1"/>
  <c r="F4" i="12" s="1"/>
  <c r="L1009" i="11"/>
  <c r="L1010" i="11" s="1"/>
  <c r="O1174" i="11"/>
  <c r="O1175" i="11" s="1"/>
  <c r="U1588" i="11"/>
  <c r="U1589" i="11" s="1"/>
  <c r="J457" i="11"/>
  <c r="J458" i="11" s="1"/>
  <c r="Z990" i="11"/>
  <c r="Z991" i="11" s="1"/>
  <c r="R1515" i="11"/>
  <c r="R1516" i="11" s="1"/>
  <c r="M1607" i="11"/>
  <c r="M1608" i="11" s="1"/>
  <c r="K1588" i="11"/>
  <c r="K1589" i="11" s="1"/>
  <c r="M1193" i="11"/>
  <c r="M1194" i="11" s="1"/>
  <c r="W1193" i="11"/>
  <c r="W1194" i="11" s="1"/>
  <c r="W1561" i="11"/>
  <c r="W1562" i="11" s="1"/>
  <c r="T1588" i="11"/>
  <c r="T1589" i="11" s="1"/>
  <c r="U457" i="11"/>
  <c r="U458" i="11" s="1"/>
  <c r="N1193" i="11"/>
  <c r="N1194" i="11" s="1"/>
  <c r="Z1542" i="11"/>
  <c r="Z1543" i="11" s="1"/>
  <c r="T990" i="11"/>
  <c r="T991" i="11" s="1"/>
  <c r="U1193" i="11"/>
  <c r="U1194" i="11" s="1"/>
  <c r="H71" i="11"/>
  <c r="G72" i="11" s="1"/>
  <c r="D51" i="11" s="1"/>
  <c r="Z1009" i="11"/>
  <c r="Z1010" i="11" s="1"/>
  <c r="S1699" i="11"/>
  <c r="S1700" i="11" s="1"/>
  <c r="Z1680" i="11"/>
  <c r="Z1681" i="11" s="1"/>
  <c r="H44" i="11"/>
  <c r="G45" i="11" s="1"/>
  <c r="D7" i="11" s="1"/>
  <c r="F2" i="12" s="1"/>
  <c r="H25" i="11"/>
  <c r="D6" i="11" s="1"/>
  <c r="I2" i="12" s="1"/>
  <c r="M1680" i="11"/>
  <c r="M1681" i="11" s="1"/>
  <c r="U1680" i="11"/>
  <c r="U1681" i="11" s="1"/>
  <c r="J1680" i="11"/>
  <c r="J1681" i="11" s="1"/>
  <c r="J254" i="11"/>
  <c r="J255" i="11" s="1"/>
  <c r="T1515" i="11"/>
  <c r="T1516" i="11" s="1"/>
  <c r="T1561" i="11"/>
  <c r="T1562" i="11" s="1"/>
  <c r="R1193" i="11"/>
  <c r="R1194" i="11" s="1"/>
  <c r="K1542" i="11"/>
  <c r="K1543" i="11" s="1"/>
  <c r="T1542" i="11"/>
  <c r="T1543" i="11" s="1"/>
  <c r="V1607" i="11"/>
  <c r="V1608" i="11" s="1"/>
  <c r="P1542" i="11"/>
  <c r="P1543" i="11" s="1"/>
  <c r="M346" i="11"/>
  <c r="M347" i="11" s="1"/>
  <c r="X1680" i="11"/>
  <c r="X1681" i="11" s="1"/>
  <c r="Q1699" i="11"/>
  <c r="Q1700" i="11" s="1"/>
  <c r="AA1515" i="11"/>
  <c r="AA1516" i="11" s="1"/>
  <c r="N1607" i="11"/>
  <c r="N1608" i="11" s="1"/>
  <c r="J1496" i="11"/>
  <c r="J1497" i="11" s="1"/>
  <c r="L1496" i="11"/>
  <c r="L1497" i="11" s="1"/>
  <c r="V365" i="11"/>
  <c r="V366" i="11" s="1"/>
  <c r="J1561" i="11"/>
  <c r="J1562" i="11" s="1"/>
  <c r="K1607" i="11"/>
  <c r="K1608" i="11" s="1"/>
  <c r="O1496" i="11"/>
  <c r="O1497" i="11" s="1"/>
  <c r="K1496" i="11"/>
  <c r="K1497" i="11" s="1"/>
  <c r="L1561" i="11"/>
  <c r="L1562" i="11" s="1"/>
  <c r="J1699" i="11"/>
  <c r="J1700" i="11" s="1"/>
  <c r="N392" i="11"/>
  <c r="N393" i="11" s="1"/>
  <c r="V457" i="11"/>
  <c r="V458" i="11" s="1"/>
  <c r="Y1680" i="11"/>
  <c r="Y1681" i="11" s="1"/>
  <c r="R1680" i="11"/>
  <c r="R1681" i="11" s="1"/>
  <c r="X1515" i="11"/>
  <c r="X1516" i="11" s="1"/>
  <c r="M1496" i="11"/>
  <c r="M1497" i="11" s="1"/>
  <c r="I1607" i="11"/>
  <c r="I1608" i="11" s="1"/>
  <c r="T1680" i="11"/>
  <c r="T1681" i="11" s="1"/>
  <c r="AA1496" i="11"/>
  <c r="AA1497" i="11" s="1"/>
  <c r="V1496" i="11"/>
  <c r="V1497" i="11" s="1"/>
  <c r="I1515" i="11"/>
  <c r="I1516" i="11" s="1"/>
  <c r="R1542" i="11"/>
  <c r="R1543" i="11" s="1"/>
  <c r="N1515" i="11"/>
  <c r="N1516" i="11" s="1"/>
  <c r="I1496" i="11"/>
  <c r="I1497" i="11" s="1"/>
  <c r="S1607" i="11"/>
  <c r="S1608" i="11" s="1"/>
  <c r="N1588" i="11"/>
  <c r="N1589" i="11" s="1"/>
  <c r="S1588" i="11"/>
  <c r="S1589" i="11" s="1"/>
  <c r="P254" i="11"/>
  <c r="P255" i="11" s="1"/>
  <c r="W346" i="11"/>
  <c r="W347" i="11" s="1"/>
  <c r="L392" i="11"/>
  <c r="L393" i="11" s="1"/>
  <c r="P1496" i="11"/>
  <c r="P1497" i="11" s="1"/>
  <c r="L1542" i="11"/>
  <c r="L1543" i="11" s="1"/>
  <c r="L1515" i="11"/>
  <c r="L1516" i="11" s="1"/>
  <c r="Y1607" i="11"/>
  <c r="Y1608" i="11" s="1"/>
  <c r="N1699" i="11"/>
  <c r="N1700" i="11" s="1"/>
  <c r="R1699" i="11"/>
  <c r="R1700" i="11" s="1"/>
  <c r="I1699" i="11"/>
  <c r="I1700" i="11" s="1"/>
  <c r="U1515" i="11"/>
  <c r="U1516" i="11" s="1"/>
  <c r="T346" i="11"/>
  <c r="T347" i="11" s="1"/>
  <c r="I392" i="11"/>
  <c r="I393" i="11" s="1"/>
  <c r="W1496" i="11"/>
  <c r="W1497" i="11" s="1"/>
  <c r="P1607" i="11"/>
  <c r="P1608" i="11" s="1"/>
  <c r="Z1699" i="11"/>
  <c r="Z1700" i="11" s="1"/>
  <c r="V1699" i="11"/>
  <c r="V1700" i="11" s="1"/>
  <c r="L1607" i="11"/>
  <c r="L1608" i="11" s="1"/>
  <c r="M1699" i="11"/>
  <c r="M1700" i="11" s="1"/>
  <c r="T254" i="11"/>
  <c r="T255" i="11" s="1"/>
  <c r="P457" i="11"/>
  <c r="P458" i="11" s="1"/>
  <c r="U1561" i="11"/>
  <c r="U1562" i="11" s="1"/>
  <c r="T1607" i="11"/>
  <c r="T1608" i="11" s="1"/>
  <c r="K411" i="11"/>
  <c r="K412" i="11" s="1"/>
  <c r="U346" i="11"/>
  <c r="U347" i="11" s="1"/>
  <c r="U1496" i="11"/>
  <c r="U1497" i="11" s="1"/>
  <c r="V1588" i="11"/>
  <c r="V1589" i="11" s="1"/>
  <c r="Q1588" i="11"/>
  <c r="Q1589" i="11" s="1"/>
  <c r="L1699" i="11"/>
  <c r="L1700" i="11" s="1"/>
  <c r="P273" i="11"/>
  <c r="P274" i="11" s="1"/>
  <c r="R254" i="11"/>
  <c r="R255" i="11" s="1"/>
  <c r="K346" i="11"/>
  <c r="K347" i="11" s="1"/>
  <c r="O392" i="11"/>
  <c r="O393" i="11" s="1"/>
  <c r="V1515" i="11"/>
  <c r="V1516" i="11" s="1"/>
  <c r="T1496" i="11"/>
  <c r="T1497" i="11" s="1"/>
  <c r="Y1515" i="11"/>
  <c r="Y1516" i="11" s="1"/>
  <c r="T1699" i="11"/>
  <c r="T1700" i="11" s="1"/>
  <c r="N1680" i="11"/>
  <c r="N1681" i="11" s="1"/>
  <c r="W1680" i="11"/>
  <c r="W1681" i="11" s="1"/>
  <c r="Y1496" i="11"/>
  <c r="Y1497" i="11" s="1"/>
  <c r="Z1588" i="11"/>
  <c r="Z1589" i="11" s="1"/>
  <c r="S1496" i="11"/>
  <c r="S1497" i="11" s="1"/>
  <c r="I1588" i="11"/>
  <c r="I1589" i="11" s="1"/>
  <c r="M1588" i="11"/>
  <c r="M1589" i="11" s="1"/>
  <c r="Q438" i="11"/>
  <c r="Q439" i="11" s="1"/>
  <c r="Q1607" i="11"/>
  <c r="Q1608" i="11" s="1"/>
  <c r="V1680" i="11"/>
  <c r="V1681" i="11" s="1"/>
  <c r="R1607" i="11"/>
  <c r="R1608" i="11" s="1"/>
  <c r="O1607" i="11"/>
  <c r="O1608" i="11" s="1"/>
  <c r="X1588" i="11"/>
  <c r="X1589" i="11" s="1"/>
  <c r="O1680" i="11"/>
  <c r="O1681" i="11" s="1"/>
  <c r="Y365" i="11"/>
  <c r="Y366" i="11" s="1"/>
  <c r="W1588" i="11"/>
  <c r="W1589" i="11" s="1"/>
  <c r="J411" i="11"/>
  <c r="J412" i="11" s="1"/>
  <c r="P392" i="11"/>
  <c r="P393" i="11" s="1"/>
  <c r="Y1588" i="11"/>
  <c r="Y1589" i="11" s="1"/>
  <c r="G1827" i="11"/>
  <c r="G1815" i="11"/>
  <c r="H1818" i="11"/>
  <c r="H1837" i="11"/>
  <c r="G1834" i="11"/>
  <c r="G1808" i="11"/>
  <c r="G1838" i="11"/>
  <c r="G1819" i="11"/>
  <c r="G1773" i="11"/>
  <c r="G1762" i="11"/>
  <c r="H1791" i="11"/>
  <c r="G1788" i="11"/>
  <c r="G1769" i="11"/>
  <c r="H1772" i="11"/>
  <c r="G1781" i="11"/>
  <c r="G1792" i="11"/>
  <c r="G1723" i="11"/>
  <c r="H1726" i="11"/>
  <c r="G1716" i="11"/>
  <c r="G1727" i="11"/>
  <c r="G1742" i="11"/>
  <c r="H1745" i="11"/>
  <c r="G1746" i="11"/>
  <c r="G1735" i="11"/>
  <c r="G1696" i="11"/>
  <c r="H1699" i="11"/>
  <c r="G1681" i="11"/>
  <c r="G1677" i="11"/>
  <c r="H1680" i="11"/>
  <c r="G1700" i="11"/>
  <c r="G1689" i="11"/>
  <c r="G1670" i="11"/>
  <c r="U1607" i="11"/>
  <c r="U1608" i="11" s="1"/>
  <c r="H1653" i="11"/>
  <c r="G1650" i="11"/>
  <c r="G1635" i="11"/>
  <c r="G1624" i="11"/>
  <c r="G1631" i="11"/>
  <c r="H1634" i="11"/>
  <c r="G1654" i="11"/>
  <c r="G1643" i="11"/>
  <c r="G1597" i="11"/>
  <c r="G1608" i="11"/>
  <c r="G1585" i="11"/>
  <c r="H1588" i="11"/>
  <c r="G1578" i="11"/>
  <c r="G1589" i="11"/>
  <c r="H1607" i="11"/>
  <c r="G1604" i="11"/>
  <c r="G1505" i="11"/>
  <c r="H1561" i="11"/>
  <c r="G1558" i="11"/>
  <c r="G1551" i="11"/>
  <c r="G1532" i="11"/>
  <c r="G1539" i="11"/>
  <c r="H1542" i="11"/>
  <c r="G1543" i="11"/>
  <c r="G1562" i="11"/>
  <c r="G1440" i="11"/>
  <c r="G1493" i="11"/>
  <c r="H1496" i="11"/>
  <c r="G1516" i="11"/>
  <c r="H1515" i="11"/>
  <c r="G1512" i="11"/>
  <c r="G1497" i="11"/>
  <c r="G1486" i="11"/>
  <c r="G1447" i="11"/>
  <c r="H1450" i="11"/>
  <c r="G1470" i="11"/>
  <c r="G1451" i="11"/>
  <c r="H1469" i="11"/>
  <c r="G1466" i="11"/>
  <c r="G1459" i="11"/>
  <c r="G1401" i="11"/>
  <c r="H1404" i="11"/>
  <c r="G1405" i="11"/>
  <c r="G1394" i="11"/>
  <c r="H1423" i="11"/>
  <c r="G1420" i="11"/>
  <c r="G1424" i="11"/>
  <c r="G1413" i="11"/>
  <c r="G1378" i="11"/>
  <c r="G1374" i="11"/>
  <c r="H1377" i="11"/>
  <c r="G1359" i="11"/>
  <c r="G1355" i="11"/>
  <c r="H1358" i="11"/>
  <c r="G1348" i="11"/>
  <c r="G1367" i="11"/>
  <c r="H1331" i="11"/>
  <c r="G1328" i="11"/>
  <c r="G1321" i="11"/>
  <c r="H1312" i="11"/>
  <c r="G1309" i="11"/>
  <c r="G1302" i="11"/>
  <c r="G1332" i="11"/>
  <c r="G1313" i="11"/>
  <c r="G1286" i="11"/>
  <c r="G1275" i="11"/>
  <c r="G1263" i="11"/>
  <c r="H1266" i="11"/>
  <c r="H1285" i="11"/>
  <c r="G1282" i="11"/>
  <c r="G1256" i="11"/>
  <c r="G1267" i="11"/>
  <c r="G1229" i="11"/>
  <c r="G1210" i="11"/>
  <c r="H1239" i="11"/>
  <c r="G1238" i="11" s="1"/>
  <c r="D1199" i="11" s="1"/>
  <c r="G28" i="12" s="1"/>
  <c r="G1236" i="11"/>
  <c r="G1240" i="11"/>
  <c r="G1221" i="11"/>
  <c r="H1220" i="11"/>
  <c r="G1219" i="11" s="1"/>
  <c r="D1200" i="11" s="1"/>
  <c r="H28" i="12" s="1"/>
  <c r="G1217" i="11"/>
  <c r="G1045" i="11"/>
  <c r="G1026" i="11"/>
  <c r="G1175" i="11"/>
  <c r="H1193" i="11"/>
  <c r="G1190" i="11"/>
  <c r="G1194" i="11"/>
  <c r="G1164" i="11"/>
  <c r="G1171" i="11"/>
  <c r="H1174" i="11"/>
  <c r="G1183" i="11"/>
  <c r="G1118" i="11"/>
  <c r="G1137" i="11"/>
  <c r="G1125" i="11"/>
  <c r="H1128" i="11"/>
  <c r="G1129" i="11"/>
  <c r="H1147" i="11"/>
  <c r="G1144" i="11"/>
  <c r="G1148" i="11"/>
  <c r="H1101" i="11"/>
  <c r="G1098" i="11"/>
  <c r="G1083" i="11"/>
  <c r="G1072" i="11"/>
  <c r="G1079" i="11"/>
  <c r="H1082" i="11"/>
  <c r="G1091" i="11"/>
  <c r="G1102" i="11"/>
  <c r="G1033" i="11"/>
  <c r="H1036" i="11"/>
  <c r="G1056" i="11"/>
  <c r="H1055" i="11"/>
  <c r="G1052" i="11"/>
  <c r="G1037" i="11"/>
  <c r="G987" i="11"/>
  <c r="H990" i="11"/>
  <c r="H1009" i="11"/>
  <c r="G1006" i="11"/>
  <c r="G991" i="11"/>
  <c r="G980" i="11"/>
  <c r="G1010" i="11"/>
  <c r="G999" i="11"/>
  <c r="G964" i="11"/>
  <c r="G934" i="11"/>
  <c r="G953" i="11"/>
  <c r="G941" i="11"/>
  <c r="H944" i="11"/>
  <c r="H963" i="11"/>
  <c r="G960" i="11"/>
  <c r="G945" i="11"/>
  <c r="G888" i="11"/>
  <c r="G899" i="11"/>
  <c r="G918" i="11"/>
  <c r="H917" i="11"/>
  <c r="G914" i="11"/>
  <c r="G907" i="11"/>
  <c r="G895" i="11"/>
  <c r="H898" i="11"/>
  <c r="H871" i="11"/>
  <c r="G868" i="11"/>
  <c r="G849" i="11"/>
  <c r="H852" i="11"/>
  <c r="G872" i="11"/>
  <c r="G861" i="11"/>
  <c r="G853" i="11"/>
  <c r="G842" i="11"/>
  <c r="G807" i="11"/>
  <c r="G796" i="11"/>
  <c r="G815" i="11"/>
  <c r="G826" i="11"/>
  <c r="G803" i="11"/>
  <c r="H806" i="11"/>
  <c r="H825" i="11"/>
  <c r="G822" i="11"/>
  <c r="G757" i="11"/>
  <c r="H760" i="11"/>
  <c r="G761" i="11"/>
  <c r="H779" i="11"/>
  <c r="G776" i="11"/>
  <c r="G769" i="11"/>
  <c r="G750" i="11"/>
  <c r="G780" i="11"/>
  <c r="G711" i="11"/>
  <c r="H714" i="11"/>
  <c r="G734" i="11"/>
  <c r="G723" i="11"/>
  <c r="G704" i="11"/>
  <c r="G715" i="11"/>
  <c r="H733" i="11"/>
  <c r="G730" i="11"/>
  <c r="G658" i="11"/>
  <c r="G677" i="11"/>
  <c r="G665" i="11"/>
  <c r="H668" i="11"/>
  <c r="G688" i="11"/>
  <c r="H687" i="11"/>
  <c r="G684" i="11"/>
  <c r="G669" i="11"/>
  <c r="G623" i="11"/>
  <c r="G619" i="11"/>
  <c r="H622" i="11"/>
  <c r="G631" i="11"/>
  <c r="G612" i="11"/>
  <c r="H641" i="11"/>
  <c r="G638" i="11"/>
  <c r="G642" i="11"/>
  <c r="G585" i="11"/>
  <c r="G596" i="11"/>
  <c r="G573" i="11"/>
  <c r="H576" i="11"/>
  <c r="G566" i="11"/>
  <c r="G577" i="11"/>
  <c r="H595" i="11"/>
  <c r="G592" i="11"/>
  <c r="G550" i="11"/>
  <c r="G531" i="11"/>
  <c r="G527" i="11"/>
  <c r="H530" i="11"/>
  <c r="G520" i="11"/>
  <c r="H549" i="11"/>
  <c r="G546" i="11"/>
  <c r="G539" i="11"/>
  <c r="S319" i="11"/>
  <c r="S320" i="11" s="1"/>
  <c r="K273" i="11"/>
  <c r="K274" i="11" s="1"/>
  <c r="X300" i="11"/>
  <c r="X301" i="11" s="1"/>
  <c r="M365" i="11"/>
  <c r="M366" i="11" s="1"/>
  <c r="S392" i="11"/>
  <c r="S393" i="11" s="1"/>
  <c r="O411" i="11"/>
  <c r="O412" i="11" s="1"/>
  <c r="U319" i="11"/>
  <c r="U320" i="11" s="1"/>
  <c r="Z254" i="11"/>
  <c r="Z255" i="11" s="1"/>
  <c r="Z411" i="11"/>
  <c r="Z412" i="11" s="1"/>
  <c r="Z346" i="11"/>
  <c r="Z347" i="11" s="1"/>
  <c r="V254" i="11"/>
  <c r="V255" i="11" s="1"/>
  <c r="O365" i="11"/>
  <c r="O366" i="11" s="1"/>
  <c r="K392" i="11"/>
  <c r="K393" i="11" s="1"/>
  <c r="AA411" i="11"/>
  <c r="AA412" i="11" s="1"/>
  <c r="U300" i="11"/>
  <c r="U301" i="11" s="1"/>
  <c r="W254" i="11"/>
  <c r="W255" i="11" s="1"/>
  <c r="L273" i="11"/>
  <c r="L274" i="11" s="1"/>
  <c r="O319" i="11"/>
  <c r="O320" i="11" s="1"/>
  <c r="L300" i="11"/>
  <c r="L301" i="11" s="1"/>
  <c r="J319" i="11"/>
  <c r="J320" i="11" s="1"/>
  <c r="L346" i="11"/>
  <c r="L347" i="11" s="1"/>
  <c r="T411" i="11"/>
  <c r="T412" i="11" s="1"/>
  <c r="Z365" i="11"/>
  <c r="Z366" i="11" s="1"/>
  <c r="R346" i="11"/>
  <c r="R347" i="11" s="1"/>
  <c r="P346" i="11"/>
  <c r="P347" i="11" s="1"/>
  <c r="X365" i="11"/>
  <c r="X366" i="11" s="1"/>
  <c r="S365" i="11"/>
  <c r="S366" i="11" s="1"/>
  <c r="S254" i="11"/>
  <c r="S255" i="11" s="1"/>
  <c r="V273" i="11"/>
  <c r="V274" i="11" s="1"/>
  <c r="Y254" i="11"/>
  <c r="Y255" i="11" s="1"/>
  <c r="R273" i="11"/>
  <c r="R274" i="11" s="1"/>
  <c r="Y411" i="11"/>
  <c r="Y412" i="11" s="1"/>
  <c r="V319" i="11"/>
  <c r="V320" i="11" s="1"/>
  <c r="N411" i="11"/>
  <c r="N412" i="11" s="1"/>
  <c r="AA392" i="11"/>
  <c r="AA393" i="11" s="1"/>
  <c r="K300" i="11"/>
  <c r="K301" i="11" s="1"/>
  <c r="T365" i="11"/>
  <c r="T366" i="11" s="1"/>
  <c r="Q392" i="11"/>
  <c r="Q393" i="11" s="1"/>
  <c r="V392" i="11"/>
  <c r="V393" i="11" s="1"/>
  <c r="O346" i="11"/>
  <c r="O347" i="11" s="1"/>
  <c r="M392" i="11"/>
  <c r="M393" i="11" s="1"/>
  <c r="R411" i="11"/>
  <c r="R412" i="11" s="1"/>
  <c r="O273" i="11"/>
  <c r="O274" i="11" s="1"/>
  <c r="X254" i="11"/>
  <c r="X255" i="11" s="1"/>
  <c r="W273" i="11"/>
  <c r="W274" i="11" s="1"/>
  <c r="R319" i="11"/>
  <c r="R320" i="11" s="1"/>
  <c r="S346" i="11"/>
  <c r="S347" i="11" s="1"/>
  <c r="U392" i="11"/>
  <c r="U393" i="11" s="1"/>
  <c r="T392" i="11"/>
  <c r="T393" i="11" s="1"/>
  <c r="I411" i="11"/>
  <c r="I412" i="11" s="1"/>
  <c r="W411" i="11"/>
  <c r="W412" i="11" s="1"/>
  <c r="V411" i="11"/>
  <c r="V412" i="11" s="1"/>
  <c r="U365" i="11"/>
  <c r="U366" i="11" s="1"/>
  <c r="Y273" i="11"/>
  <c r="Y274" i="11" s="1"/>
  <c r="L254" i="11"/>
  <c r="L255" i="11" s="1"/>
  <c r="AA254" i="11"/>
  <c r="AA255" i="11" s="1"/>
  <c r="V346" i="11"/>
  <c r="V347" i="11" s="1"/>
  <c r="Q411" i="11"/>
  <c r="Q412" i="11" s="1"/>
  <c r="I346" i="11"/>
  <c r="I347" i="11" s="1"/>
  <c r="M273" i="11"/>
  <c r="M274" i="11" s="1"/>
  <c r="U411" i="11"/>
  <c r="U412" i="11" s="1"/>
  <c r="W365" i="11"/>
  <c r="W366" i="11" s="1"/>
  <c r="I365" i="11"/>
  <c r="I366" i="11" s="1"/>
  <c r="W392" i="11"/>
  <c r="W393" i="11" s="1"/>
  <c r="H273" i="11"/>
  <c r="H274" i="11" s="1"/>
  <c r="Y392" i="11"/>
  <c r="Y393" i="11" s="1"/>
  <c r="R300" i="11"/>
  <c r="R301" i="11" s="1"/>
  <c r="AA346" i="11"/>
  <c r="AA347" i="11" s="1"/>
  <c r="Z392" i="11"/>
  <c r="Z393" i="11" s="1"/>
  <c r="M300" i="11"/>
  <c r="M301" i="11" s="1"/>
  <c r="X273" i="11"/>
  <c r="X274" i="11" s="1"/>
  <c r="K254" i="11"/>
  <c r="K255" i="11" s="1"/>
  <c r="K319" i="11"/>
  <c r="K320" i="11" s="1"/>
  <c r="L365" i="11"/>
  <c r="L366" i="11" s="1"/>
  <c r="M411" i="11"/>
  <c r="M412" i="11" s="1"/>
  <c r="T273" i="11"/>
  <c r="T274" i="11" s="1"/>
  <c r="U273" i="11"/>
  <c r="U274" i="11" s="1"/>
  <c r="G270" i="11"/>
  <c r="U254" i="11"/>
  <c r="U255" i="11" s="1"/>
  <c r="AA273" i="11"/>
  <c r="AA274" i="11" s="1"/>
  <c r="Z273" i="11"/>
  <c r="Z274" i="11" s="1"/>
  <c r="N254" i="11"/>
  <c r="N255" i="11" s="1"/>
  <c r="O254" i="11"/>
  <c r="O255" i="11" s="1"/>
  <c r="N346" i="11"/>
  <c r="N347" i="11" s="1"/>
  <c r="M254" i="11"/>
  <c r="M255" i="11" s="1"/>
  <c r="L411" i="11"/>
  <c r="L412" i="11" s="1"/>
  <c r="Q319" i="11"/>
  <c r="Q320" i="11" s="1"/>
  <c r="X392" i="11"/>
  <c r="X393" i="11" s="1"/>
  <c r="Q254" i="11"/>
  <c r="Q255" i="11" s="1"/>
  <c r="J392" i="11"/>
  <c r="J393" i="11" s="1"/>
  <c r="P319" i="11"/>
  <c r="P320" i="11" s="1"/>
  <c r="W319" i="11"/>
  <c r="W320" i="11" s="1"/>
  <c r="R392" i="11"/>
  <c r="R393" i="11" s="1"/>
  <c r="S411" i="11"/>
  <c r="S412" i="11" s="1"/>
  <c r="X346" i="11"/>
  <c r="X347" i="11" s="1"/>
  <c r="Q346" i="11"/>
  <c r="Q347" i="11" s="1"/>
  <c r="P411" i="11"/>
  <c r="P412" i="11" s="1"/>
  <c r="Y346" i="11"/>
  <c r="Y347" i="11" s="1"/>
  <c r="X411" i="11"/>
  <c r="X412" i="11" s="1"/>
  <c r="I254" i="11"/>
  <c r="I255" i="11" s="1"/>
  <c r="J273" i="11"/>
  <c r="J274" i="11" s="1"/>
  <c r="Q273" i="11"/>
  <c r="Q274" i="11" s="1"/>
  <c r="K365" i="11"/>
  <c r="K366" i="11" s="1"/>
  <c r="I273" i="11"/>
  <c r="I274" i="11" s="1"/>
  <c r="S273" i="11"/>
  <c r="S274" i="11" s="1"/>
  <c r="P365" i="11"/>
  <c r="P366" i="11" s="1"/>
  <c r="J346" i="11"/>
  <c r="J347" i="11" s="1"/>
  <c r="N273" i="11"/>
  <c r="N274" i="11" s="1"/>
  <c r="G401" i="11"/>
  <c r="G474" i="11"/>
  <c r="G500" i="11"/>
  <c r="H503" i="11"/>
  <c r="G493" i="11"/>
  <c r="G504" i="11"/>
  <c r="H484" i="11"/>
  <c r="G481" i="11"/>
  <c r="G485" i="11"/>
  <c r="G454" i="11"/>
  <c r="H457" i="11"/>
  <c r="G439" i="11"/>
  <c r="G428" i="11"/>
  <c r="G447" i="11"/>
  <c r="G458" i="11"/>
  <c r="H438" i="11"/>
  <c r="G435" i="11"/>
  <c r="G408" i="11"/>
  <c r="H411" i="11"/>
  <c r="G382" i="11"/>
  <c r="G393" i="11"/>
  <c r="H392" i="11"/>
  <c r="G389" i="11"/>
  <c r="G412" i="11"/>
  <c r="AA319" i="11"/>
  <c r="AA320" i="11" s="1"/>
  <c r="N300" i="11"/>
  <c r="N301" i="11" s="1"/>
  <c r="Z319" i="11"/>
  <c r="Z320" i="11" s="1"/>
  <c r="N319" i="11"/>
  <c r="N320" i="11" s="1"/>
  <c r="W300" i="11"/>
  <c r="W301" i="11" s="1"/>
  <c r="O300" i="11"/>
  <c r="O301" i="11" s="1"/>
  <c r="Q300" i="11"/>
  <c r="Q301" i="11" s="1"/>
  <c r="T319" i="11"/>
  <c r="T320" i="11" s="1"/>
  <c r="S300" i="11"/>
  <c r="S301" i="11" s="1"/>
  <c r="M319" i="11"/>
  <c r="M320" i="11" s="1"/>
  <c r="L319" i="11"/>
  <c r="L320" i="11" s="1"/>
  <c r="T300" i="11"/>
  <c r="T301" i="11" s="1"/>
  <c r="V300" i="11"/>
  <c r="V301" i="11" s="1"/>
  <c r="J300" i="11"/>
  <c r="J301" i="11" s="1"/>
  <c r="Y300" i="11"/>
  <c r="Y301" i="11" s="1"/>
  <c r="Y319" i="11"/>
  <c r="Y320" i="11" s="1"/>
  <c r="AA300" i="11"/>
  <c r="AA301" i="11" s="1"/>
  <c r="I300" i="11"/>
  <c r="I301" i="11" s="1"/>
  <c r="P300" i="11"/>
  <c r="P301" i="11" s="1"/>
  <c r="Z300" i="11"/>
  <c r="Z301" i="11" s="1"/>
  <c r="I319" i="11"/>
  <c r="I320" i="11" s="1"/>
  <c r="X319" i="11"/>
  <c r="X320" i="11" s="1"/>
  <c r="G347" i="11"/>
  <c r="G355" i="11"/>
  <c r="G366" i="11"/>
  <c r="H365" i="11"/>
  <c r="G362" i="11"/>
  <c r="G343" i="11"/>
  <c r="H346" i="11"/>
  <c r="G336" i="11"/>
  <c r="H300" i="11"/>
  <c r="G297" i="11"/>
  <c r="H319" i="11"/>
  <c r="G316" i="11"/>
  <c r="G320" i="11"/>
  <c r="G309" i="11"/>
  <c r="G301" i="11"/>
  <c r="G290" i="11"/>
  <c r="G244" i="11"/>
  <c r="H254" i="11"/>
  <c r="G251" i="11"/>
  <c r="G263" i="11"/>
  <c r="G274" i="11"/>
  <c r="G255" i="11"/>
  <c r="G1449" i="11" l="1"/>
  <c r="D1430" i="11" s="1"/>
  <c r="H33" i="12" s="1"/>
  <c r="G575" i="11"/>
  <c r="D556" i="11" s="1"/>
  <c r="H14" i="12" s="1"/>
  <c r="G1284" i="11"/>
  <c r="D1245" i="11" s="1"/>
  <c r="G29" i="12" s="1"/>
  <c r="G1422" i="11"/>
  <c r="D1383" i="11" s="1"/>
  <c r="G32" i="12" s="1"/>
  <c r="G1468" i="11"/>
  <c r="D1429" i="11" s="1"/>
  <c r="G33" i="12" s="1"/>
  <c r="G1146" i="11"/>
  <c r="D1107" i="11" s="1"/>
  <c r="G26" i="12" s="1"/>
  <c r="G1357" i="11"/>
  <c r="D1338" i="11" s="1"/>
  <c r="H31" i="12" s="1"/>
  <c r="G548" i="11"/>
  <c r="D509" i="11" s="1"/>
  <c r="G13" i="12" s="1"/>
  <c r="G1127" i="11"/>
  <c r="D1108" i="11" s="1"/>
  <c r="H26" i="12" s="1"/>
  <c r="D96" i="11"/>
  <c r="H4" i="12" s="1"/>
  <c r="G1376" i="11"/>
  <c r="D1337" i="11" s="1"/>
  <c r="G31" i="12" s="1"/>
  <c r="G1081" i="11"/>
  <c r="D1062" i="11" s="1"/>
  <c r="H25" i="12" s="1"/>
  <c r="G1330" i="11"/>
  <c r="D1291" i="11" s="1"/>
  <c r="G30" i="12" s="1"/>
  <c r="G529" i="11"/>
  <c r="D510" i="11" s="1"/>
  <c r="H13" i="12" s="1"/>
  <c r="G805" i="11"/>
  <c r="D786" i="11" s="1"/>
  <c r="H19" i="12" s="1"/>
  <c r="G732" i="11"/>
  <c r="D693" i="11" s="1"/>
  <c r="G17" i="12" s="1"/>
  <c r="G686" i="11"/>
  <c r="D647" i="11" s="1"/>
  <c r="G16" i="12" s="1"/>
  <c r="G1771" i="11"/>
  <c r="D1752" i="11" s="1"/>
  <c r="H40" i="12" s="1"/>
  <c r="G621" i="11"/>
  <c r="D602" i="11" s="1"/>
  <c r="H15" i="12" s="1"/>
  <c r="G594" i="11"/>
  <c r="D555" i="11" s="1"/>
  <c r="G14" i="12" s="1"/>
  <c r="G667" i="11"/>
  <c r="D648" i="11" s="1"/>
  <c r="H16" i="12" s="1"/>
  <c r="G916" i="11"/>
  <c r="D877" i="11" s="1"/>
  <c r="G21" i="12" s="1"/>
  <c r="G1725" i="11"/>
  <c r="D1706" i="11" s="1"/>
  <c r="H39" i="12" s="1"/>
  <c r="G1790" i="11"/>
  <c r="D1751" i="11" s="1"/>
  <c r="G40" i="12" s="1"/>
  <c r="G1035" i="11"/>
  <c r="D1016" i="11" s="1"/>
  <c r="H24" i="12" s="1"/>
  <c r="G759" i="11"/>
  <c r="D740" i="11" s="1"/>
  <c r="H18" i="12" s="1"/>
  <c r="G1100" i="11"/>
  <c r="D1061" i="11" s="1"/>
  <c r="G25" i="12" s="1"/>
  <c r="G640" i="11"/>
  <c r="D601" i="11" s="1"/>
  <c r="G15" i="12" s="1"/>
  <c r="G870" i="11"/>
  <c r="D831" i="11" s="1"/>
  <c r="G20" i="12" s="1"/>
  <c r="G1744" i="11"/>
  <c r="D1705" i="11" s="1"/>
  <c r="G39" i="12" s="1"/>
  <c r="G989" i="11"/>
  <c r="D970" i="11" s="1"/>
  <c r="H23" i="12" s="1"/>
  <c r="G824" i="11"/>
  <c r="D785" i="11" s="1"/>
  <c r="G19" i="12" s="1"/>
  <c r="G943" i="11"/>
  <c r="D924" i="11" s="1"/>
  <c r="H22" i="12" s="1"/>
  <c r="G1403" i="11"/>
  <c r="D1384" i="11" s="1"/>
  <c r="H32" i="12" s="1"/>
  <c r="G1836" i="11"/>
  <c r="D1797" i="11" s="1"/>
  <c r="G41" i="12" s="1"/>
  <c r="G437" i="11"/>
  <c r="D418" i="11" s="1"/>
  <c r="H11" i="12" s="1"/>
  <c r="G897" i="11"/>
  <c r="D878" i="11" s="1"/>
  <c r="H21" i="12" s="1"/>
  <c r="G962" i="11"/>
  <c r="D923" i="11" s="1"/>
  <c r="G22" i="12" s="1"/>
  <c r="G1265" i="11"/>
  <c r="D1246" i="11" s="1"/>
  <c r="H29" i="12" s="1"/>
  <c r="G778" i="11"/>
  <c r="D739" i="11" s="1"/>
  <c r="G18" i="12" s="1"/>
  <c r="G1311" i="11"/>
  <c r="D1292" i="11" s="1"/>
  <c r="H30" i="12" s="1"/>
  <c r="G713" i="11"/>
  <c r="D694" i="11" s="1"/>
  <c r="H17" i="12" s="1"/>
  <c r="G502" i="11"/>
  <c r="D463" i="11" s="1"/>
  <c r="G12" i="12" s="1"/>
  <c r="G1652" i="11"/>
  <c r="D1613" i="11" s="1"/>
  <c r="G37" i="12" s="1"/>
  <c r="G1817" i="11"/>
  <c r="D1798" i="11" s="1"/>
  <c r="H41" i="12" s="1"/>
  <c r="G1633" i="11"/>
  <c r="D1614" i="11" s="1"/>
  <c r="H37" i="12" s="1"/>
  <c r="G851" i="11"/>
  <c r="D832" i="11" s="1"/>
  <c r="H20" i="12" s="1"/>
  <c r="G483" i="11"/>
  <c r="D464" i="11" s="1"/>
  <c r="H12" i="12" s="1"/>
  <c r="G164" i="11"/>
  <c r="D143" i="11" s="1"/>
  <c r="G26" i="11"/>
  <c r="D5" i="11" s="1"/>
  <c r="G1054" i="11"/>
  <c r="D1015" i="11" s="1"/>
  <c r="G24" i="12" s="1"/>
  <c r="G1192" i="11"/>
  <c r="D1153" i="11" s="1"/>
  <c r="G27" i="12" s="1"/>
  <c r="G1008" i="11"/>
  <c r="D969" i="11" s="1"/>
  <c r="G23" i="12" s="1"/>
  <c r="G1173" i="11"/>
  <c r="D1154" i="11" s="1"/>
  <c r="H27" i="12" s="1"/>
  <c r="D98" i="11"/>
  <c r="I4" i="12" s="1"/>
  <c r="D52" i="11"/>
  <c r="I3" i="12" s="1"/>
  <c r="H1470" i="11"/>
  <c r="G1471" i="11" s="1"/>
  <c r="D1433" i="11" s="1"/>
  <c r="F33" i="12" s="1"/>
  <c r="G1560" i="11"/>
  <c r="D1521" i="11" s="1"/>
  <c r="G35" i="12" s="1"/>
  <c r="G456" i="11"/>
  <c r="D417" i="11" s="1"/>
  <c r="G11" i="12" s="1"/>
  <c r="G1541" i="11"/>
  <c r="D1522" i="11" s="1"/>
  <c r="H35" i="12" s="1"/>
  <c r="H1240" i="11"/>
  <c r="G1241" i="11" s="1"/>
  <c r="D1203" i="11" s="1"/>
  <c r="F28" i="12" s="1"/>
  <c r="G1587" i="11"/>
  <c r="D1568" i="11" s="1"/>
  <c r="H36" i="12" s="1"/>
  <c r="G1698" i="11"/>
  <c r="D1659" i="11" s="1"/>
  <c r="G38" i="12" s="1"/>
  <c r="H872" i="11"/>
  <c r="G873" i="11" s="1"/>
  <c r="D835" i="11" s="1"/>
  <c r="F20" i="12" s="1"/>
  <c r="G1514" i="11"/>
  <c r="D1475" i="11" s="1"/>
  <c r="G34" i="12" s="1"/>
  <c r="G1606" i="11"/>
  <c r="D1567" i="11" s="1"/>
  <c r="G36" i="12" s="1"/>
  <c r="H826" i="11"/>
  <c r="H1148" i="11"/>
  <c r="G1149" i="11" s="1"/>
  <c r="D1111" i="11" s="1"/>
  <c r="F26" i="12" s="1"/>
  <c r="G1495" i="11"/>
  <c r="D1476" i="11" s="1"/>
  <c r="H34" i="12" s="1"/>
  <c r="G1679" i="11"/>
  <c r="D1660" i="11" s="1"/>
  <c r="H38" i="12" s="1"/>
  <c r="H1194" i="11"/>
  <c r="G1195" i="11" s="1"/>
  <c r="D1157" i="11" s="1"/>
  <c r="F27" i="12" s="1"/>
  <c r="H1838" i="11"/>
  <c r="G1839" i="11" s="1"/>
  <c r="D1801" i="11" s="1"/>
  <c r="F41" i="12" s="1"/>
  <c r="H1819" i="11"/>
  <c r="G1820" i="11" s="1"/>
  <c r="D1799" i="11" s="1"/>
  <c r="H1792" i="11"/>
  <c r="G1793" i="11" s="1"/>
  <c r="D1755" i="11" s="1"/>
  <c r="F40" i="12" s="1"/>
  <c r="H1773" i="11"/>
  <c r="G1774" i="11" s="1"/>
  <c r="D1753" i="11" s="1"/>
  <c r="H1700" i="11"/>
  <c r="G1701" i="11" s="1"/>
  <c r="D1663" i="11" s="1"/>
  <c r="F38" i="12" s="1"/>
  <c r="H1746" i="11"/>
  <c r="G1747" i="11" s="1"/>
  <c r="D1709" i="11" s="1"/>
  <c r="F39" i="12" s="1"/>
  <c r="H1727" i="11"/>
  <c r="G1728" i="11" s="1"/>
  <c r="D1707" i="11" s="1"/>
  <c r="H1654" i="11"/>
  <c r="G1655" i="11" s="1"/>
  <c r="D1617" i="11" s="1"/>
  <c r="F37" i="12" s="1"/>
  <c r="H1681" i="11"/>
  <c r="G1682" i="11" s="1"/>
  <c r="D1661" i="11" s="1"/>
  <c r="H1635" i="11"/>
  <c r="G1636" i="11" s="1"/>
  <c r="D1615" i="11" s="1"/>
  <c r="H1589" i="11"/>
  <c r="G1590" i="11" s="1"/>
  <c r="D1569" i="11" s="1"/>
  <c r="H1608" i="11"/>
  <c r="G1609" i="11"/>
  <c r="D1571" i="11" s="1"/>
  <c r="F36" i="12" s="1"/>
  <c r="H1562" i="11"/>
  <c r="G1563" i="11" s="1"/>
  <c r="D1525" i="11" s="1"/>
  <c r="F35" i="12" s="1"/>
  <c r="H1543" i="11"/>
  <c r="G1544" i="11" s="1"/>
  <c r="D1523" i="11" s="1"/>
  <c r="H1497" i="11"/>
  <c r="D1478" i="11" s="1"/>
  <c r="I34" i="12" s="1"/>
  <c r="H1516" i="11"/>
  <c r="G1517" i="11" s="1"/>
  <c r="D1479" i="11" s="1"/>
  <c r="F34" i="12" s="1"/>
  <c r="H1451" i="11"/>
  <c r="G1452" i="11" s="1"/>
  <c r="D1431" i="11" s="1"/>
  <c r="H1405" i="11"/>
  <c r="G1406" i="11" s="1"/>
  <c r="D1385" i="11" s="1"/>
  <c r="H1424" i="11"/>
  <c r="G1425" i="11" s="1"/>
  <c r="D1387" i="11" s="1"/>
  <c r="F32" i="12" s="1"/>
  <c r="H1378" i="11"/>
  <c r="G1379" i="11" s="1"/>
  <c r="D1341" i="11" s="1"/>
  <c r="F31" i="12" s="1"/>
  <c r="H1359" i="11"/>
  <c r="G1360" i="11" s="1"/>
  <c r="D1339" i="11" s="1"/>
  <c r="H1332" i="11"/>
  <c r="G1333" i="11" s="1"/>
  <c r="D1295" i="11" s="1"/>
  <c r="F30" i="12" s="1"/>
  <c r="H1286" i="11"/>
  <c r="G1287" i="11" s="1"/>
  <c r="D1249" i="11" s="1"/>
  <c r="F29" i="12" s="1"/>
  <c r="H1313" i="11"/>
  <c r="G1314" i="11" s="1"/>
  <c r="D1293" i="11" s="1"/>
  <c r="H1267" i="11"/>
  <c r="G1268" i="11" s="1"/>
  <c r="D1247" i="11" s="1"/>
  <c r="H1221" i="11"/>
  <c r="G1222" i="11" s="1"/>
  <c r="D1201" i="11" s="1"/>
  <c r="H1102" i="11"/>
  <c r="G1103" i="11" s="1"/>
  <c r="D1065" i="11" s="1"/>
  <c r="F25" i="12" s="1"/>
  <c r="H1083" i="11"/>
  <c r="G1084" i="11" s="1"/>
  <c r="D1063" i="11" s="1"/>
  <c r="H1056" i="11"/>
  <c r="G1057" i="11" s="1"/>
  <c r="D1019" i="11" s="1"/>
  <c r="F24" i="12" s="1"/>
  <c r="H918" i="11"/>
  <c r="G919" i="11" s="1"/>
  <c r="D881" i="11" s="1"/>
  <c r="F21" i="12" s="1"/>
  <c r="G827" i="11"/>
  <c r="D789" i="11" s="1"/>
  <c r="F19" i="12" s="1"/>
  <c r="H780" i="11"/>
  <c r="G781" i="11" s="1"/>
  <c r="D743" i="11" s="1"/>
  <c r="F18" i="12" s="1"/>
  <c r="H1175" i="11"/>
  <c r="G1176" i="11" s="1"/>
  <c r="D1155" i="11" s="1"/>
  <c r="H1129" i="11"/>
  <c r="G1130" i="11" s="1"/>
  <c r="D1109" i="11" s="1"/>
  <c r="H1037" i="11"/>
  <c r="G1038" i="11" s="1"/>
  <c r="D1017" i="11" s="1"/>
  <c r="H1010" i="11"/>
  <c r="G1011" i="11" s="1"/>
  <c r="D973" i="11" s="1"/>
  <c r="F23" i="12" s="1"/>
  <c r="H991" i="11"/>
  <c r="D972" i="11" s="1"/>
  <c r="I23" i="12" s="1"/>
  <c r="H945" i="11"/>
  <c r="G946" i="11" s="1"/>
  <c r="D925" i="11" s="1"/>
  <c r="H964" i="11"/>
  <c r="G965" i="11" s="1"/>
  <c r="D927" i="11" s="1"/>
  <c r="F22" i="12" s="1"/>
  <c r="H899" i="11"/>
  <c r="G900" i="11" s="1"/>
  <c r="D879" i="11" s="1"/>
  <c r="H853" i="11"/>
  <c r="G854" i="11" s="1"/>
  <c r="D833" i="11" s="1"/>
  <c r="H807" i="11"/>
  <c r="G808" i="11" s="1"/>
  <c r="D787" i="11" s="1"/>
  <c r="H761" i="11"/>
  <c r="G762" i="11" s="1"/>
  <c r="D741" i="11" s="1"/>
  <c r="H734" i="11"/>
  <c r="G735" i="11" s="1"/>
  <c r="D697" i="11" s="1"/>
  <c r="F17" i="12" s="1"/>
  <c r="H715" i="11"/>
  <c r="G716" i="11" s="1"/>
  <c r="D695" i="11" s="1"/>
  <c r="H669" i="11"/>
  <c r="G670" i="11" s="1"/>
  <c r="D649" i="11" s="1"/>
  <c r="H688" i="11"/>
  <c r="G689" i="11" s="1"/>
  <c r="D651" i="11" s="1"/>
  <c r="F16" i="12" s="1"/>
  <c r="H623" i="11"/>
  <c r="G624" i="11" s="1"/>
  <c r="D603" i="11" s="1"/>
  <c r="H642" i="11"/>
  <c r="G643" i="11" s="1"/>
  <c r="D605" i="11" s="1"/>
  <c r="F15" i="12" s="1"/>
  <c r="H596" i="11"/>
  <c r="G597" i="11" s="1"/>
  <c r="D559" i="11" s="1"/>
  <c r="H577" i="11"/>
  <c r="G578" i="11" s="1"/>
  <c r="D557" i="11" s="1"/>
  <c r="H531" i="11"/>
  <c r="G532" i="11" s="1"/>
  <c r="D511" i="11" s="1"/>
  <c r="H550" i="11"/>
  <c r="G551" i="11" s="1"/>
  <c r="D513" i="11" s="1"/>
  <c r="F13" i="12" s="1"/>
  <c r="G391" i="11"/>
  <c r="D372" i="11" s="1"/>
  <c r="H10" i="12" s="1"/>
  <c r="G364" i="11"/>
  <c r="D325" i="11" s="1"/>
  <c r="G9" i="12" s="1"/>
  <c r="G253" i="11"/>
  <c r="D234" i="11" s="1"/>
  <c r="H7" i="12" s="1"/>
  <c r="G275" i="11"/>
  <c r="D237" i="11" s="1"/>
  <c r="F7" i="12" s="1"/>
  <c r="G410" i="11"/>
  <c r="D371" i="11" s="1"/>
  <c r="G10" i="12" s="1"/>
  <c r="G272" i="11"/>
  <c r="D233" i="11" s="1"/>
  <c r="G7" i="12" s="1"/>
  <c r="G345" i="11"/>
  <c r="D326" i="11" s="1"/>
  <c r="H9" i="12" s="1"/>
  <c r="H504" i="11"/>
  <c r="G505" i="11" s="1"/>
  <c r="D467" i="11" s="1"/>
  <c r="F12" i="12" s="1"/>
  <c r="H412" i="11"/>
  <c r="G413" i="11" s="1"/>
  <c r="D375" i="11" s="1"/>
  <c r="F10" i="12" s="1"/>
  <c r="H485" i="11"/>
  <c r="G486" i="11" s="1"/>
  <c r="D465" i="11" s="1"/>
  <c r="H439" i="11"/>
  <c r="G440" i="11" s="1"/>
  <c r="D419" i="11" s="1"/>
  <c r="H458" i="11"/>
  <c r="G459" i="11" s="1"/>
  <c r="D421" i="11" s="1"/>
  <c r="F11" i="12" s="1"/>
  <c r="H393" i="11"/>
  <c r="G394" i="11" s="1"/>
  <c r="D373" i="11" s="1"/>
  <c r="G318" i="11"/>
  <c r="D279" i="11" s="1"/>
  <c r="G8" i="12" s="1"/>
  <c r="G299" i="11"/>
  <c r="D280" i="11" s="1"/>
  <c r="H8" i="12" s="1"/>
  <c r="H301" i="11"/>
  <c r="G302" i="11" s="1"/>
  <c r="D281" i="11" s="1"/>
  <c r="H320" i="11"/>
  <c r="G321" i="11" s="1"/>
  <c r="D283" i="11" s="1"/>
  <c r="F8" i="12" s="1"/>
  <c r="H255" i="11"/>
  <c r="G256" i="11" s="1"/>
  <c r="D235" i="11" s="1"/>
  <c r="H347" i="11"/>
  <c r="G348" i="11" s="1"/>
  <c r="D327" i="11" s="1"/>
  <c r="H366" i="11"/>
  <c r="G367" i="11" s="1"/>
  <c r="D329" i="11" s="1"/>
  <c r="F9" i="12" s="1"/>
  <c r="D926" i="11" l="1"/>
  <c r="I22" i="12" s="1"/>
  <c r="D1570" i="11"/>
  <c r="I36" i="12" s="1"/>
  <c r="D604" i="11"/>
  <c r="I15" i="12" s="1"/>
  <c r="D512" i="11"/>
  <c r="I13" i="12" s="1"/>
  <c r="D880" i="11"/>
  <c r="I21" i="12" s="1"/>
  <c r="D1248" i="11"/>
  <c r="I29" i="12" s="1"/>
  <c r="D1340" i="11"/>
  <c r="I31" i="12" s="1"/>
  <c r="G1498" i="11"/>
  <c r="D1477" i="11" s="1"/>
  <c r="D1800" i="11"/>
  <c r="I41" i="12" s="1"/>
  <c r="D1754" i="11"/>
  <c r="I40" i="12" s="1"/>
  <c r="D1708" i="11"/>
  <c r="I39" i="12" s="1"/>
  <c r="D1662" i="11"/>
  <c r="I38" i="12" s="1"/>
  <c r="D1616" i="11"/>
  <c r="I37" i="12" s="1"/>
  <c r="D1524" i="11"/>
  <c r="I35" i="12" s="1"/>
  <c r="D1432" i="11"/>
  <c r="I33" i="12" s="1"/>
  <c r="D1386" i="11"/>
  <c r="I32" i="12" s="1"/>
  <c r="D1294" i="11"/>
  <c r="I30" i="12" s="1"/>
  <c r="D1202" i="11"/>
  <c r="I28" i="12" s="1"/>
  <c r="D1156" i="11"/>
  <c r="I27" i="12" s="1"/>
  <c r="D1064" i="11"/>
  <c r="I25" i="12" s="1"/>
  <c r="G992" i="11"/>
  <c r="D971" i="11" s="1"/>
  <c r="D1018" i="11"/>
  <c r="I24" i="12" s="1"/>
  <c r="D834" i="11"/>
  <c r="I20" i="12" s="1"/>
  <c r="D558" i="11"/>
  <c r="I14" i="12" s="1"/>
  <c r="D1110" i="11"/>
  <c r="I26" i="12" s="1"/>
  <c r="D788" i="11"/>
  <c r="I19" i="12" s="1"/>
  <c r="D742" i="11"/>
  <c r="I18" i="12" s="1"/>
  <c r="D696" i="11"/>
  <c r="I17" i="12" s="1"/>
  <c r="D650" i="11"/>
  <c r="I16" i="12" s="1"/>
  <c r="D420" i="11"/>
  <c r="I11" i="12" s="1"/>
  <c r="D466" i="11"/>
  <c r="I12" i="12" s="1"/>
  <c r="D374" i="11"/>
  <c r="I10" i="12" s="1"/>
  <c r="D328" i="11"/>
  <c r="I9" i="12" s="1"/>
  <c r="D282" i="11"/>
  <c r="I8" i="12" s="1"/>
  <c r="D236" i="11"/>
  <c r="I7" i="12" s="1"/>
  <c r="AA223" i="11" l="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O225" i="11" s="1"/>
  <c r="N223" i="11"/>
  <c r="M223" i="11"/>
  <c r="L223" i="11"/>
  <c r="K223" i="11"/>
  <c r="J223" i="11"/>
  <c r="I223" i="11"/>
  <c r="H223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Y218" i="11"/>
  <c r="Z199" i="11" l="1"/>
  <c r="J218" i="11"/>
  <c r="R218" i="11"/>
  <c r="Z218" i="11"/>
  <c r="J199" i="11"/>
  <c r="R199" i="11"/>
  <c r="G200" i="11"/>
  <c r="K199" i="11"/>
  <c r="S199" i="11"/>
  <c r="AA199" i="11"/>
  <c r="K218" i="11"/>
  <c r="S218" i="11"/>
  <c r="AA218" i="11"/>
  <c r="L199" i="11"/>
  <c r="T199" i="11"/>
  <c r="L218" i="11"/>
  <c r="T218" i="11"/>
  <c r="M199" i="11"/>
  <c r="U199" i="11"/>
  <c r="M218" i="11"/>
  <c r="U218" i="11"/>
  <c r="N199" i="11"/>
  <c r="N218" i="11"/>
  <c r="V218" i="11"/>
  <c r="O199" i="11"/>
  <c r="W199" i="11"/>
  <c r="AA202" i="11"/>
  <c r="G216" i="11"/>
  <c r="G228" i="11" s="1"/>
  <c r="O218" i="11"/>
  <c r="O227" i="11" s="1"/>
  <c r="W218" i="11"/>
  <c r="V199" i="11"/>
  <c r="H199" i="11"/>
  <c r="P199" i="11"/>
  <c r="X199" i="11"/>
  <c r="H218" i="11"/>
  <c r="P218" i="11"/>
  <c r="X218" i="11"/>
  <c r="AA221" i="11"/>
  <c r="I199" i="11"/>
  <c r="Q199" i="11"/>
  <c r="Y199" i="11"/>
  <c r="I218" i="11"/>
  <c r="Q218" i="11"/>
  <c r="H225" i="11"/>
  <c r="J206" i="11"/>
  <c r="R206" i="11"/>
  <c r="Z206" i="11"/>
  <c r="Z208" i="11" s="1"/>
  <c r="N225" i="11"/>
  <c r="V225" i="11"/>
  <c r="P225" i="11"/>
  <c r="K206" i="11"/>
  <c r="S206" i="11"/>
  <c r="S208" i="11" s="1"/>
  <c r="AA206" i="11"/>
  <c r="W225" i="11"/>
  <c r="L206" i="11"/>
  <c r="T206" i="11"/>
  <c r="X225" i="11"/>
  <c r="M206" i="11"/>
  <c r="U206" i="11"/>
  <c r="I225" i="11"/>
  <c r="Q225" i="11"/>
  <c r="Y225" i="11"/>
  <c r="Y227" i="11" s="1"/>
  <c r="N206" i="11"/>
  <c r="J225" i="11"/>
  <c r="R225" i="11"/>
  <c r="Z225" i="11"/>
  <c r="O206" i="11"/>
  <c r="K225" i="11"/>
  <c r="S225" i="11"/>
  <c r="AA225" i="11"/>
  <c r="H206" i="11"/>
  <c r="P206" i="11"/>
  <c r="X206" i="11"/>
  <c r="V206" i="11"/>
  <c r="L225" i="11"/>
  <c r="T225" i="11"/>
  <c r="T227" i="11" s="1"/>
  <c r="I206" i="11"/>
  <c r="Q206" i="11"/>
  <c r="Y206" i="11"/>
  <c r="W206" i="11"/>
  <c r="M225" i="11"/>
  <c r="U225" i="11"/>
  <c r="G203" i="11"/>
  <c r="G222" i="11"/>
  <c r="G219" i="11"/>
  <c r="G197" i="11"/>
  <c r="R227" i="11" l="1"/>
  <c r="M227" i="11"/>
  <c r="I208" i="11"/>
  <c r="I209" i="11" s="1"/>
  <c r="J227" i="11"/>
  <c r="AA208" i="11"/>
  <c r="V208" i="11"/>
  <c r="V209" i="11" s="1"/>
  <c r="H227" i="11"/>
  <c r="J208" i="11"/>
  <c r="J209" i="11" s="1"/>
  <c r="Z209" i="11"/>
  <c r="S227" i="11"/>
  <c r="S228" i="11" s="1"/>
  <c r="AA227" i="11"/>
  <c r="AA228" i="11" s="1"/>
  <c r="Z227" i="11"/>
  <c r="Z228" i="11" s="1"/>
  <c r="R208" i="11"/>
  <c r="R209" i="11" s="1"/>
  <c r="V227" i="11"/>
  <c r="V228" i="11" s="1"/>
  <c r="L227" i="11"/>
  <c r="L228" i="11" s="1"/>
  <c r="K208" i="11"/>
  <c r="K209" i="11" s="1"/>
  <c r="O208" i="11"/>
  <c r="O209" i="11" s="1"/>
  <c r="M208" i="11"/>
  <c r="M209" i="11" s="1"/>
  <c r="K227" i="11"/>
  <c r="G217" i="11"/>
  <c r="S209" i="11"/>
  <c r="W208" i="11"/>
  <c r="W209" i="11" s="1"/>
  <c r="P208" i="11"/>
  <c r="P209" i="11" s="1"/>
  <c r="H208" i="11"/>
  <c r="H209" i="11" s="1"/>
  <c r="Q208" i="11"/>
  <c r="Q209" i="11" s="1"/>
  <c r="Y208" i="11"/>
  <c r="Y209" i="11" s="1"/>
  <c r="N208" i="11"/>
  <c r="N209" i="11" s="1"/>
  <c r="L208" i="11"/>
  <c r="L209" i="11" s="1"/>
  <c r="AA209" i="11"/>
  <c r="U208" i="11"/>
  <c r="U209" i="11" s="1"/>
  <c r="X208" i="11"/>
  <c r="X209" i="11" s="1"/>
  <c r="N227" i="11"/>
  <c r="N228" i="11" s="1"/>
  <c r="W227" i="11"/>
  <c r="W228" i="11" s="1"/>
  <c r="Q227" i="11"/>
  <c r="Q228" i="11" s="1"/>
  <c r="I227" i="11"/>
  <c r="I228" i="11" s="1"/>
  <c r="X227" i="11"/>
  <c r="X228" i="11" s="1"/>
  <c r="U227" i="11"/>
  <c r="U228" i="11" s="1"/>
  <c r="G198" i="11"/>
  <c r="T208" i="11"/>
  <c r="T209" i="11" s="1"/>
  <c r="P227" i="11"/>
  <c r="P228" i="11" s="1"/>
  <c r="G205" i="11"/>
  <c r="M228" i="11"/>
  <c r="T228" i="11"/>
  <c r="R228" i="11"/>
  <c r="J228" i="11"/>
  <c r="Y228" i="11"/>
  <c r="O228" i="11"/>
  <c r="G209" i="11"/>
  <c r="G226" i="11" l="1"/>
  <c r="D187" i="11" s="1"/>
  <c r="G6" i="12" s="1"/>
  <c r="G210" i="11"/>
  <c r="D189" i="11" s="1"/>
  <c r="G224" i="11"/>
  <c r="K228" i="11"/>
  <c r="G207" i="11"/>
  <c r="D188" i="11" s="1"/>
  <c r="H6" i="12" s="1"/>
  <c r="D190" i="11"/>
  <c r="I6" i="12" s="1"/>
  <c r="H228" i="11" l="1"/>
  <c r="G229" i="11" s="1"/>
  <c r="D191" i="11" l="1"/>
  <c r="F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tc={F92F44F5-9ACE-4E38-A2E7-A884CAAC8847}</author>
  </authors>
  <commentList>
    <comment ref="B13" authorId="0" shapeId="0" xr:uid="{F92F44F5-9ACE-4E38-A2E7-A884CAAC8847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tc={3A480013-2CCB-4DFD-804E-CE0D89851A7C}</author>
  </authors>
  <commentList>
    <comment ref="D21" authorId="0" shapeId="0" xr:uid="{3A480013-2CCB-4DFD-804E-CE0D89851A7C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tc={AEF0A43D-C610-4DC0-9B12-35F36FD3B813}</author>
  </authors>
  <commentList>
    <comment ref="D21" authorId="0" shapeId="0" xr:uid="{AEF0A43D-C610-4DC0-9B12-35F36FD3B813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tc={B79ABECD-806E-4717-8672-B50201868532}</author>
  </authors>
  <commentList>
    <comment ref="D21" authorId="0" shapeId="0" xr:uid="{B79ABECD-806E-4717-8672-B50201868532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tc={537D3848-26A8-477D-986F-4C7015F04169}</author>
    <author>tc={52D70C3A-46F1-455C-A18E-A0C149558CF2}</author>
    <author>tc={0868ADB7-4FA5-4406-996A-84E2BB7E16A6}</author>
    <author>tc={28562B8B-C1DE-4121-8EEF-4965DDC13E1A}</author>
    <author>tc={032B3CA3-B8E7-43F7-B70F-EF3D1AABFFCD}</author>
    <author>tc={7C61FF11-1407-407E-8EF3-479264ADC666}</author>
    <author>tc={1D361376-16B2-4456-B63E-F55863BE7153}</author>
    <author>tc={3BAB7A05-7631-4441-86E0-F6D02BC902E8}</author>
    <author>tc={05ADF163-D28A-4BB4-820F-649B0ACDE843}</author>
    <author>tc={183B33C2-7322-4964-8799-33EDE3E8545F}</author>
    <author>tc={EC2EEFB1-80F1-48FD-9754-B8FAC6BB0FCF}</author>
    <author>tc={A77A218F-2DBE-4764-B4F1-8F978EB7E4A6}</author>
    <author>tc={97779107-1385-46BB-99EE-F6B2E9FEF359}</author>
    <author>tc={2C3442E5-735F-4BD6-B7DD-7CBAB0ED6540}</author>
    <author>tc={6DE94185-4A29-4ACC-B8CC-E9FCA3554E0D}</author>
    <author>tc={6EF5FBB3-2852-4428-A5E1-99C7F06E6DDE}</author>
    <author>tc={042D07F1-FAF9-4F7B-AFF6-C796FE22A3B9}</author>
    <author>tc={0D20D444-FE70-4DF9-AD91-699B546C50C5}</author>
    <author>tc={F008EADA-E3E2-4CD5-8DD5-9897480B9A3E}</author>
    <author>tc={2F4932E8-C681-4B0B-ABBD-427D51CC2550}</author>
    <author>tc={8A7409B9-50E8-4580-A511-B21BD174A774}</author>
    <author>tc={E0EF3C11-CF59-4405-BAC2-411D0027ACEA}</author>
    <author>tc={BF6D0DFA-94A0-4BAC-BB15-4ECEAB18314A}</author>
    <author>tc={314E4F3A-767F-42C4-A1AF-4921E17B036D}</author>
    <author>tc={5E645845-0AB1-466E-9B62-44667A00D88D}</author>
    <author>tc={DA4D406E-105A-4244-A004-F3C63D963AD9}</author>
    <author>tc={7C385557-3133-448D-843F-5B90CB5E6B57}</author>
    <author>tc={366873C8-E7B0-48D9-89B2-A169E549A3AB}</author>
    <author>tc={CD7C3A58-421E-4581-9B2F-26682BFD6280}</author>
    <author>tc={AF6139B2-1318-46C5-863B-0F20FDE4B42C}</author>
    <author>tc={3D7149A5-F538-49FC-A521-FFFDDCAF6EF3}</author>
    <author>tc={97A3CC8B-EDE9-4C0D-BE26-6DF642759306}</author>
    <author>tc={8ECA3E2C-6B53-4883-8A67-BED3349382E8}</author>
    <author>tc={93592954-F9D4-4498-A55F-78515BF617AA}</author>
    <author>tc={6D700FD6-D962-476A-AA37-CC0CF50543C4}</author>
    <author>tc={FDF5D422-AF8E-4B03-8177-DC53273EA3A4}</author>
    <author>tc={F0A0E27C-155E-41CC-B73B-5202E0EA3B9F}</author>
    <author>tc={32CE8D01-C721-4E13-B727-9C1FC6457218}</author>
    <author>tc={ED78EC11-39ED-4764-8580-DFEA1BF30447}</author>
    <author>tc={ECC6C441-E4F1-466D-9B19-2C763B2064EA}</author>
  </authors>
  <commentList>
    <comment ref="D21" authorId="0" shapeId="0" xr:uid="{537D3848-26A8-477D-986F-4C7015F04169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67" authorId="1" shapeId="0" xr:uid="{52D70C3A-46F1-455C-A18E-A0C149558CF2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13" authorId="2" shapeId="0" xr:uid="{0868ADB7-4FA5-4406-996A-84E2BB7E16A6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59" authorId="3" shapeId="0" xr:uid="{28562B8B-C1DE-4121-8EEF-4965DDC13E1A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205" authorId="4" shapeId="0" xr:uid="{032B3CA3-B8E7-43F7-B70F-EF3D1AABFFCD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251" authorId="5" shapeId="0" xr:uid="{7C61FF11-1407-407E-8EF3-479264ADC666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297" authorId="6" shapeId="0" xr:uid="{1D361376-16B2-4456-B63E-F55863BE7153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343" authorId="7" shapeId="0" xr:uid="{3BAB7A05-7631-4441-86E0-F6D02BC902E8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389" authorId="8" shapeId="0" xr:uid="{05ADF163-D28A-4BB4-820F-649B0ACDE843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435" authorId="9" shapeId="0" xr:uid="{183B33C2-7322-4964-8799-33EDE3E8545F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481" authorId="10" shapeId="0" xr:uid="{EC2EEFB1-80F1-48FD-9754-B8FAC6BB0FCF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527" authorId="11" shapeId="0" xr:uid="{A77A218F-2DBE-4764-B4F1-8F978EB7E4A6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573" authorId="12" shapeId="0" xr:uid="{97779107-1385-46BB-99EE-F6B2E9FEF359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619" authorId="13" shapeId="0" xr:uid="{2C3442E5-735F-4BD6-B7DD-7CBAB0ED6540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665" authorId="14" shapeId="0" xr:uid="{6DE94185-4A29-4ACC-B8CC-E9FCA3554E0D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711" authorId="15" shapeId="0" xr:uid="{6EF5FBB3-2852-4428-A5E1-99C7F06E6DDE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757" authorId="16" shapeId="0" xr:uid="{042D07F1-FAF9-4F7B-AFF6-C796FE22A3B9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803" authorId="17" shapeId="0" xr:uid="{0D20D444-FE70-4DF9-AD91-699B546C50C5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849" authorId="18" shapeId="0" xr:uid="{F008EADA-E3E2-4CD5-8DD5-9897480B9A3E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895" authorId="19" shapeId="0" xr:uid="{2F4932E8-C681-4B0B-ABBD-427D51CC2550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941" authorId="20" shapeId="0" xr:uid="{8A7409B9-50E8-4580-A511-B21BD174A774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987" authorId="21" shapeId="0" xr:uid="{E0EF3C11-CF59-4405-BAC2-411D0027ACEA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033" authorId="22" shapeId="0" xr:uid="{BF6D0DFA-94A0-4BAC-BB15-4ECEAB18314A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079" authorId="23" shapeId="0" xr:uid="{314E4F3A-767F-42C4-A1AF-4921E17B036D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125" authorId="24" shapeId="0" xr:uid="{5E645845-0AB1-466E-9B62-44667A00D88D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171" authorId="25" shapeId="0" xr:uid="{DA4D406E-105A-4244-A004-F3C63D963AD9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217" authorId="26" shapeId="0" xr:uid="{7C385557-3133-448D-843F-5B90CB5E6B57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263" authorId="27" shapeId="0" xr:uid="{366873C8-E7B0-48D9-89B2-A169E549A3AB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309" authorId="28" shapeId="0" xr:uid="{CD7C3A58-421E-4581-9B2F-26682BFD6280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355" authorId="29" shapeId="0" xr:uid="{AF6139B2-1318-46C5-863B-0F20FDE4B42C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401" authorId="30" shapeId="0" xr:uid="{3D7149A5-F538-49FC-A521-FFFDDCAF6EF3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447" authorId="31" shapeId="0" xr:uid="{97A3CC8B-EDE9-4C0D-BE26-6DF642759306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493" authorId="32" shapeId="0" xr:uid="{8ECA3E2C-6B53-4883-8A67-BED3349382E8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539" authorId="33" shapeId="0" xr:uid="{93592954-F9D4-4498-A55F-78515BF617AA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585" authorId="34" shapeId="0" xr:uid="{6D700FD6-D962-476A-AA37-CC0CF50543C4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631" authorId="35" shapeId="0" xr:uid="{FDF5D422-AF8E-4B03-8177-DC53273EA3A4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677" authorId="36" shapeId="0" xr:uid="{F0A0E27C-155E-41CC-B73B-5202E0EA3B9F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723" authorId="37" shapeId="0" xr:uid="{32CE8D01-C721-4E13-B727-9C1FC6457218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769" authorId="38" shapeId="0" xr:uid="{ED78EC11-39ED-4764-8580-DFEA1BF30447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  <comment ref="D1815" authorId="39" shapeId="0" xr:uid="{ECC6C441-E4F1-466D-9B19-2C763B2064EA}">
      <text>
        <t>[线程批注]
你的Excel版本可读取此线程批注; 但如果在更新版本的Excel中打开文件，则对批注所作的任何改动都将被删除。了解详细信息: https://go.microsoft.com/fwlink/?linkid=870924
注释:
    0.1-0.2元/W</t>
      </text>
    </comment>
  </commentList>
</comments>
</file>

<file path=xl/sharedStrings.xml><?xml version="1.0" encoding="utf-8"?>
<sst xmlns="http://schemas.openxmlformats.org/spreadsheetml/2006/main" count="5301" uniqueCount="261">
  <si>
    <t>基准年</t>
    <phoneticPr fontId="4" type="noConversion"/>
  </si>
  <si>
    <t>第1年</t>
    <phoneticPr fontId="4" type="noConversion"/>
  </si>
  <si>
    <t>第2年</t>
  </si>
  <si>
    <t>第3年</t>
  </si>
  <si>
    <t>第4年</t>
  </si>
  <si>
    <t>第5年</t>
  </si>
  <si>
    <t>第6年</t>
  </si>
  <si>
    <t>第7年</t>
  </si>
  <si>
    <t>第8年</t>
    <phoneticPr fontId="4" type="noConversion"/>
  </si>
  <si>
    <t>第9年</t>
  </si>
  <si>
    <t>第10年</t>
  </si>
  <si>
    <t>第11年</t>
  </si>
  <si>
    <t>第12年</t>
  </si>
  <si>
    <t>第13年</t>
  </si>
  <si>
    <t>初始投资成本（Mn RMB）</t>
    <phoneticPr fontId="4" type="noConversion"/>
  </si>
  <si>
    <t>折旧现值和（Mn RMB）</t>
    <phoneticPr fontId="4" type="noConversion"/>
  </si>
  <si>
    <t>折旧现值（Mn RMB）</t>
    <phoneticPr fontId="4" type="noConversion"/>
  </si>
  <si>
    <t>运行成本现值和（Mn RMB）</t>
    <phoneticPr fontId="4" type="noConversion"/>
  </si>
  <si>
    <t>运行成本现值（Mn RMB）</t>
    <phoneticPr fontId="4" type="noConversion"/>
  </si>
  <si>
    <t>固定资产残值现值 (Mn RMB)</t>
    <phoneticPr fontId="4" type="noConversion"/>
  </si>
  <si>
    <t>所得税现值和（Mn RMB）</t>
    <phoneticPr fontId="4" type="noConversion"/>
  </si>
  <si>
    <t>所得税现值（Mn RMB）</t>
    <phoneticPr fontId="4" type="noConversion"/>
  </si>
  <si>
    <t>NPV</t>
    <phoneticPr fontId="4" type="noConversion"/>
  </si>
  <si>
    <t>“近年来建筑光伏成本下降70%以上，2021年国内分布式光伏EPC项目报价已经触及4元/瓦以内，2025年将进一步降低到3元/瓦，BIPV的IRR达到16.36%，BAPV的IRR达到15.25%，光照充足地区IRR将超过20%，投资收益显著提高已具备市场化基础。</t>
    <phoneticPr fontId="3" type="noConversion"/>
  </si>
  <si>
    <t>分布式光伏发电是指位于用户附近，所发电能就地利用，以低于35千伏或更低电压等级接入电网，且单个并网点总装机容量不超过6MW的光伏发电项目</t>
    <phoneticPr fontId="3" type="noConversion"/>
  </si>
  <si>
    <t>折现率</t>
  </si>
  <si>
    <t>所得税率</t>
  </si>
  <si>
    <t>无需额外占用土地资源，建设门槛低；装机规模小，一二次设备成本、建安费用低</t>
    <phoneticPr fontId="3" type="noConversion"/>
  </si>
  <si>
    <t>运维成本（元/W)</t>
    <phoneticPr fontId="3" type="noConversion"/>
  </si>
  <si>
    <t>标杆上网电价（元/kWh)</t>
    <phoneticPr fontId="3" type="noConversion"/>
  </si>
  <si>
    <t>工商业电价（元/kWh)</t>
    <phoneticPr fontId="3" type="noConversion"/>
  </si>
  <si>
    <t>补贴</t>
    <phoneticPr fontId="3" type="noConversion"/>
  </si>
  <si>
    <t>组件（元/W)</t>
    <phoneticPr fontId="3" type="noConversion"/>
  </si>
  <si>
    <t>逆变器（元/W)</t>
    <phoneticPr fontId="3" type="noConversion"/>
  </si>
  <si>
    <t>支架（元/W)</t>
    <phoneticPr fontId="3" type="noConversion"/>
  </si>
  <si>
    <t>电缆（元/W)</t>
    <phoneticPr fontId="3" type="noConversion"/>
  </si>
  <si>
    <t>建安费用（元/W)</t>
    <phoneticPr fontId="3" type="noConversion"/>
  </si>
  <si>
    <t>屋顶租赁（元/W)</t>
    <phoneticPr fontId="3" type="noConversion"/>
  </si>
  <si>
    <t>电网接入（元/W)</t>
    <phoneticPr fontId="3" type="noConversion"/>
  </si>
  <si>
    <t>房顶加固（元/W)</t>
    <phoneticPr fontId="3" type="noConversion"/>
  </si>
  <si>
    <t>二次设备（元/W)</t>
    <phoneticPr fontId="3" type="noConversion"/>
  </si>
  <si>
    <t>一次设备（元/W)</t>
    <phoneticPr fontId="3" type="noConversion"/>
  </si>
  <si>
    <t>项目初始投资成本（元/W)</t>
    <phoneticPr fontId="3" type="noConversion"/>
  </si>
  <si>
    <t>系统残值率（元/W)</t>
    <phoneticPr fontId="3" type="noConversion"/>
  </si>
  <si>
    <t>光伏项目经济性测算</t>
    <phoneticPr fontId="4" type="noConversion"/>
  </si>
  <si>
    <t>第14年</t>
  </si>
  <si>
    <t>第15年</t>
  </si>
  <si>
    <t>第16年</t>
  </si>
  <si>
    <t>第17年</t>
  </si>
  <si>
    <t>第18年</t>
  </si>
  <si>
    <t>第19年</t>
  </si>
  <si>
    <t>第20年</t>
  </si>
  <si>
    <t>工商业——分布式光伏</t>
    <phoneticPr fontId="3" type="noConversion"/>
  </si>
  <si>
    <t>总装机规模（MW）</t>
    <phoneticPr fontId="3" type="noConversion"/>
  </si>
  <si>
    <t>光伏板制造面积（万㎡）</t>
    <phoneticPr fontId="3" type="noConversion"/>
  </si>
  <si>
    <t>光伏实际占地面积（万㎡）</t>
    <phoneticPr fontId="3" type="noConversion"/>
  </si>
  <si>
    <t>单位面积光伏板容量（w/㎡)</t>
    <phoneticPr fontId="3" type="noConversion"/>
  </si>
  <si>
    <t>单位面积光伏板占地面积（㎡）</t>
    <phoneticPr fontId="3" type="noConversion"/>
  </si>
  <si>
    <t>系统运行效率（%）</t>
    <phoneticPr fontId="3" type="noConversion"/>
  </si>
  <si>
    <t>组件光衰率（%）-首年）</t>
    <phoneticPr fontId="3" type="noConversion"/>
  </si>
  <si>
    <t>组件光衰率（%）-逐年光衰</t>
    <phoneticPr fontId="3" type="noConversion"/>
  </si>
  <si>
    <t>投资回报率</t>
    <phoneticPr fontId="3" type="noConversion"/>
  </si>
  <si>
    <t>系统寿命（年）</t>
    <phoneticPr fontId="3" type="noConversion"/>
  </si>
  <si>
    <t>https://news.solarbe.com/202203/29/352933.html</t>
    <phoneticPr fontId="3" type="noConversion"/>
  </si>
  <si>
    <t>发电电量现值和(MWh)</t>
    <phoneticPr fontId="4" type="noConversion"/>
  </si>
  <si>
    <t>发电电量现值(MWh)</t>
    <phoneticPr fontId="4" type="noConversion"/>
  </si>
  <si>
    <t>发电收益现值和（Mn RMB）</t>
    <phoneticPr fontId="4" type="noConversion"/>
  </si>
  <si>
    <t>发电收益现值（Mn RMB）</t>
    <phoneticPr fontId="4" type="noConversion"/>
  </si>
  <si>
    <t>IRR</t>
    <phoneticPr fontId="3" type="noConversion"/>
  </si>
  <si>
    <t>工商业电价（元/kWh)：折扣</t>
    <phoneticPr fontId="3" type="noConversion"/>
  </si>
  <si>
    <t>电价优惠比例（%）</t>
    <phoneticPr fontId="3" type="noConversion"/>
  </si>
  <si>
    <t>基本假设</t>
    <phoneticPr fontId="3" type="noConversion"/>
  </si>
  <si>
    <t>NPV-折现率=7%（Mn RMB）</t>
  </si>
  <si>
    <t>NPV-折现率=7%（Mn RMB）</t>
    <phoneticPr fontId="3" type="noConversion"/>
  </si>
  <si>
    <t>其它（元/W)</t>
    <phoneticPr fontId="3" type="noConversion"/>
  </si>
  <si>
    <t>LCOE(LevelizedCost of Electricity,平准发电成本)</t>
    <phoneticPr fontId="3" type="noConversion"/>
  </si>
  <si>
    <t>度电成本（元/kWh)-折现率=7%</t>
  </si>
  <si>
    <t>度电成本（元/kWh)-折现率=7%</t>
    <phoneticPr fontId="3" type="noConversion"/>
  </si>
  <si>
    <t>度电成本（元/kWh)-折现率=0%</t>
    <phoneticPr fontId="3" type="noConversion"/>
  </si>
  <si>
    <t>2020年实际利用小时数</t>
    <phoneticPr fontId="3" type="noConversion"/>
  </si>
  <si>
    <t>内蒙古</t>
    <phoneticPr fontId="3" type="noConversion"/>
  </si>
  <si>
    <t>省（区）</t>
  </si>
  <si>
    <t>资源区</t>
  </si>
  <si>
    <t>地区</t>
  </si>
  <si>
    <t>赤峰市、通辽市、兴安盟、呼伦贝尔市</t>
  </si>
  <si>
    <t>哈密、塔城、阿勒泰、克拉玛依</t>
  </si>
  <si>
    <t>海西</t>
  </si>
  <si>
    <t>宁夏</t>
  </si>
  <si>
    <t>榆林、延安</t>
  </si>
  <si>
    <t>黑龙江</t>
  </si>
  <si>
    <t>吉林</t>
  </si>
  <si>
    <t>辽宁</t>
  </si>
  <si>
    <t>承德、张家口、唐山、秦皇岛</t>
  </si>
  <si>
    <t>忻州、朔州、大同</t>
  </si>
  <si>
    <t>四川</t>
    <phoneticPr fontId="3" type="noConversion"/>
  </si>
  <si>
    <t>河北</t>
    <phoneticPr fontId="3" type="noConversion"/>
  </si>
  <si>
    <t>云南</t>
    <phoneticPr fontId="3" type="noConversion"/>
  </si>
  <si>
    <t>天津</t>
    <phoneticPr fontId="3" type="noConversion"/>
  </si>
  <si>
    <t>北京</t>
    <phoneticPr fontId="3" type="noConversion"/>
  </si>
  <si>
    <t>山东</t>
    <phoneticPr fontId="3" type="noConversion"/>
  </si>
  <si>
    <t>江苏</t>
    <phoneticPr fontId="3" type="noConversion"/>
  </si>
  <si>
    <t>西藏</t>
    <phoneticPr fontId="3" type="noConversion"/>
  </si>
  <si>
    <t>广西</t>
    <phoneticPr fontId="3" type="noConversion"/>
  </si>
  <si>
    <t>安徽</t>
    <phoneticPr fontId="3" type="noConversion"/>
  </si>
  <si>
    <t>海南</t>
    <phoneticPr fontId="3" type="noConversion"/>
  </si>
  <si>
    <t>福建</t>
    <phoneticPr fontId="3" type="noConversion"/>
  </si>
  <si>
    <t>河南</t>
    <phoneticPr fontId="3" type="noConversion"/>
  </si>
  <si>
    <t>贵州</t>
    <phoneticPr fontId="3" type="noConversion"/>
  </si>
  <si>
    <t>湖北</t>
    <phoneticPr fontId="3" type="noConversion"/>
  </si>
  <si>
    <t>浙江</t>
    <phoneticPr fontId="3" type="noConversion"/>
  </si>
  <si>
    <t>广东</t>
    <phoneticPr fontId="3" type="noConversion"/>
  </si>
  <si>
    <t>江西</t>
    <phoneticPr fontId="3" type="noConversion"/>
  </si>
  <si>
    <t>湖南</t>
    <phoneticPr fontId="3" type="noConversion"/>
  </si>
  <si>
    <t>上海</t>
    <phoneticPr fontId="3" type="noConversion"/>
  </si>
  <si>
    <t>重庆</t>
    <phoneticPr fontId="3" type="noConversion"/>
  </si>
  <si>
    <t>除赤峰市、通辽市、兴安盟、呼伦贝尔市以外其他地区</t>
    <phoneticPr fontId="3" type="noConversion"/>
  </si>
  <si>
    <t>保障性收购利用小时数</t>
    <phoneticPr fontId="3" type="noConversion"/>
  </si>
  <si>
    <t>数据来源：部分来自2020年度全国可再生能源电力发展监测评价报告-能源局</t>
    <phoneticPr fontId="3" type="noConversion"/>
  </si>
  <si>
    <t>部分省份引用光伏产业网（https://xw.qq.com/amphtml/20210827A0B8T300；全国新能源消纳监测预警中心）</t>
    <phoneticPr fontId="3" type="noConversion"/>
  </si>
  <si>
    <r>
      <t>I</t>
    </r>
    <r>
      <rPr>
        <sz val="10"/>
        <rFont val="宋体"/>
        <family val="3"/>
        <charset val="134"/>
      </rPr>
      <t>类</t>
    </r>
    <phoneticPr fontId="3" type="noConversion"/>
  </si>
  <si>
    <r>
      <t>II</t>
    </r>
    <r>
      <rPr>
        <sz val="10"/>
        <rFont val="宋体"/>
        <family val="3"/>
        <charset val="134"/>
      </rPr>
      <t>类</t>
    </r>
    <phoneticPr fontId="3" type="noConversion"/>
  </si>
  <si>
    <r>
      <t>I</t>
    </r>
    <r>
      <rPr>
        <sz val="10"/>
        <rFont val="宋体"/>
        <family val="3"/>
        <charset val="134"/>
      </rPr>
      <t>类</t>
    </r>
  </si>
  <si>
    <r>
      <t>II</t>
    </r>
    <r>
      <rPr>
        <sz val="10"/>
        <rFont val="宋体"/>
        <family val="3"/>
        <charset val="134"/>
      </rPr>
      <t>类</t>
    </r>
  </si>
  <si>
    <r>
      <t>除</t>
    </r>
    <r>
      <rPr>
        <sz val="10"/>
        <rFont val="Times New Roman"/>
        <family val="1"/>
      </rPr>
      <t>I</t>
    </r>
    <r>
      <rPr>
        <sz val="10"/>
        <rFont val="宋体"/>
        <family val="3"/>
        <charset val="134"/>
      </rPr>
      <t>类外其他地区</t>
    </r>
  </si>
  <si>
    <r>
      <t>II/III</t>
    </r>
    <r>
      <rPr>
        <sz val="10"/>
        <rFont val="宋体"/>
        <family val="3"/>
        <charset val="134"/>
      </rPr>
      <t>类</t>
    </r>
    <phoneticPr fontId="3" type="noConversion"/>
  </si>
  <si>
    <r>
      <t>III</t>
    </r>
    <r>
      <rPr>
        <sz val="10"/>
        <rFont val="宋体"/>
        <family val="3"/>
        <charset val="134"/>
      </rPr>
      <t>类</t>
    </r>
  </si>
  <si>
    <t>光伏利用小时数（h）</t>
    <phoneticPr fontId="3" type="noConversion"/>
  </si>
  <si>
    <t>第20年</t>
    <phoneticPr fontId="3" type="noConversion"/>
  </si>
  <si>
    <t>I类区域</t>
    <phoneticPr fontId="3" type="noConversion"/>
  </si>
  <si>
    <t>III类区域</t>
    <phoneticPr fontId="3" type="noConversion"/>
  </si>
  <si>
    <t>全国</t>
    <phoneticPr fontId="3" type="noConversion"/>
  </si>
  <si>
    <t>峰价</t>
    <phoneticPr fontId="3" type="noConversion"/>
  </si>
  <si>
    <t>平价</t>
    <phoneticPr fontId="3" type="noConversion"/>
  </si>
  <si>
    <t>谷价</t>
    <phoneticPr fontId="3" type="noConversion"/>
  </si>
  <si>
    <t>一般工商业35kV及以上</t>
    <phoneticPr fontId="3" type="noConversion"/>
  </si>
  <si>
    <t>电价(均价)</t>
    <phoneticPr fontId="3" type="noConversion"/>
  </si>
  <si>
    <t>内蒙古I类</t>
    <phoneticPr fontId="3" type="noConversion"/>
  </si>
  <si>
    <t>内蒙古II类</t>
    <phoneticPr fontId="3" type="noConversion"/>
  </si>
  <si>
    <t>新疆</t>
    <phoneticPr fontId="3" type="noConversion"/>
  </si>
  <si>
    <t>新疆I类</t>
    <phoneticPr fontId="3" type="noConversion"/>
  </si>
  <si>
    <t>新疆II类</t>
    <phoneticPr fontId="3" type="noConversion"/>
  </si>
  <si>
    <t>年利用小时数</t>
    <phoneticPr fontId="3" type="noConversion"/>
  </si>
  <si>
    <t>甘肃</t>
    <phoneticPr fontId="3" type="noConversion"/>
  </si>
  <si>
    <t>甘肃I类</t>
    <phoneticPr fontId="3" type="noConversion"/>
  </si>
  <si>
    <t>甘肃II类</t>
    <phoneticPr fontId="3" type="noConversion"/>
  </si>
  <si>
    <t>青海</t>
    <phoneticPr fontId="3" type="noConversion"/>
  </si>
  <si>
    <t>青海I类</t>
    <phoneticPr fontId="3" type="noConversion"/>
  </si>
  <si>
    <t>青海II类</t>
    <phoneticPr fontId="3" type="noConversion"/>
  </si>
  <si>
    <t>宁夏</t>
    <phoneticPr fontId="3" type="noConversion"/>
  </si>
  <si>
    <t>宁夏I类</t>
    <phoneticPr fontId="3" type="noConversion"/>
  </si>
  <si>
    <t>陕西</t>
    <phoneticPr fontId="3" type="noConversion"/>
  </si>
  <si>
    <t>陕西II类</t>
    <phoneticPr fontId="3" type="noConversion"/>
  </si>
  <si>
    <t>黑龙江</t>
    <phoneticPr fontId="3" type="noConversion"/>
  </si>
  <si>
    <t>黑龙江II类</t>
    <phoneticPr fontId="3" type="noConversion"/>
  </si>
  <si>
    <t>吉林</t>
    <phoneticPr fontId="3" type="noConversion"/>
  </si>
  <si>
    <t>吉林II类</t>
    <phoneticPr fontId="3" type="noConversion"/>
  </si>
  <si>
    <t>辽宁</t>
    <phoneticPr fontId="3" type="noConversion"/>
  </si>
  <si>
    <t>辽宁II类</t>
    <phoneticPr fontId="3" type="noConversion"/>
  </si>
  <si>
    <t>山西</t>
    <phoneticPr fontId="3" type="noConversion"/>
  </si>
  <si>
    <t>河北II类</t>
    <phoneticPr fontId="3" type="noConversion"/>
  </si>
  <si>
    <t>山西II类</t>
    <phoneticPr fontId="3" type="noConversion"/>
  </si>
  <si>
    <t>四川II类</t>
    <phoneticPr fontId="3" type="noConversion"/>
  </si>
  <si>
    <t>河北II/III类</t>
    <phoneticPr fontId="3" type="noConversion"/>
  </si>
  <si>
    <t>云南III类</t>
    <phoneticPr fontId="3" type="noConversion"/>
  </si>
  <si>
    <t>天津III类</t>
    <phoneticPr fontId="3" type="noConversion"/>
  </si>
  <si>
    <t>北京II类</t>
    <phoneticPr fontId="3" type="noConversion"/>
  </si>
  <si>
    <t>山东III类</t>
    <phoneticPr fontId="3" type="noConversion"/>
  </si>
  <si>
    <t>江苏III类</t>
    <phoneticPr fontId="3" type="noConversion"/>
  </si>
  <si>
    <t>西藏III类</t>
    <phoneticPr fontId="3" type="noConversion"/>
  </si>
  <si>
    <t>广西III类</t>
    <phoneticPr fontId="3" type="noConversion"/>
  </si>
  <si>
    <t>安徽III类</t>
    <phoneticPr fontId="3" type="noConversion"/>
  </si>
  <si>
    <t>海南III类</t>
    <phoneticPr fontId="3" type="noConversion"/>
  </si>
  <si>
    <t>福建III类</t>
    <phoneticPr fontId="3" type="noConversion"/>
  </si>
  <si>
    <t>河南III类</t>
    <phoneticPr fontId="3" type="noConversion"/>
  </si>
  <si>
    <t>贵州III类</t>
    <phoneticPr fontId="3" type="noConversion"/>
  </si>
  <si>
    <t>湖北III类</t>
    <phoneticPr fontId="3" type="noConversion"/>
  </si>
  <si>
    <t>浙江III类</t>
    <phoneticPr fontId="3" type="noConversion"/>
  </si>
  <si>
    <t>广东III类</t>
    <phoneticPr fontId="3" type="noConversion"/>
  </si>
  <si>
    <t>江西III类</t>
    <phoneticPr fontId="3" type="noConversion"/>
  </si>
  <si>
    <t>湖南III类</t>
    <phoneticPr fontId="3" type="noConversion"/>
  </si>
  <si>
    <t>上海III类</t>
    <phoneticPr fontId="3" type="noConversion"/>
  </si>
  <si>
    <t>重庆III类</t>
    <phoneticPr fontId="3" type="noConversion"/>
  </si>
  <si>
    <t>II类区域</t>
    <phoneticPr fontId="3" type="noConversion"/>
  </si>
  <si>
    <t>IRR（%）</t>
    <phoneticPr fontId="3" type="noConversion"/>
  </si>
  <si>
    <t>嘉峪关、武威、张掖、酒泉、敦煌、金昌</t>
    <phoneticPr fontId="3" type="noConversion"/>
  </si>
  <si>
    <t>自变量</t>
    <phoneticPr fontId="4" type="noConversion"/>
  </si>
  <si>
    <t>*表后用户侧储能主要通过现货形式进行峰谷套利，收益部分由峰负荷时的用户分摊</t>
    <phoneticPr fontId="3" type="noConversion"/>
  </si>
  <si>
    <t>支出项</t>
    <phoneticPr fontId="4" type="noConversion"/>
  </si>
  <si>
    <t>关键假定：</t>
    <phoneticPr fontId="3" type="noConversion"/>
  </si>
  <si>
    <t>收入项</t>
    <phoneticPr fontId="4" type="noConversion"/>
  </si>
  <si>
    <t>1）电池充放电循环次数~6525次</t>
    <phoneticPr fontId="3" type="noConversion"/>
  </si>
  <si>
    <t>2）PCS成本：0.3元/W；电池充放电循环次数~6525次；容量型储能电站运维费用：0.1%；PCS效率：98%；线损：98%；系统使用天数：350天；充放循环次数（1次为1充1放）(次/天）：2次</t>
    <phoneticPr fontId="3" type="noConversion"/>
  </si>
  <si>
    <t>更新处：标绿色的单元格</t>
    <phoneticPr fontId="4" type="noConversion"/>
  </si>
  <si>
    <t>3）两充两放（一谷一峰，一平一峰）</t>
    <phoneticPr fontId="3" type="noConversion"/>
  </si>
  <si>
    <t>Base</t>
    <phoneticPr fontId="3" type="noConversion"/>
  </si>
  <si>
    <t>计算结果</t>
    <phoneticPr fontId="4" type="noConversion"/>
  </si>
  <si>
    <t>储能电站:两充两放（一谷一峰，一平一峰）</t>
    <phoneticPr fontId="4" type="noConversion"/>
  </si>
  <si>
    <t>LCOS（元/kWh)</t>
    <phoneticPr fontId="4" type="noConversion"/>
  </si>
  <si>
    <t xml:space="preserve">基本数据 </t>
    <phoneticPr fontId="22" type="noConversion"/>
  </si>
  <si>
    <t>投资回报率</t>
    <phoneticPr fontId="4" type="noConversion"/>
  </si>
  <si>
    <t>PCS(KW）</t>
    <phoneticPr fontId="22" type="noConversion"/>
  </si>
  <si>
    <t>NPV(折现率=7%）</t>
    <phoneticPr fontId="4" type="noConversion"/>
  </si>
  <si>
    <t>PCS成本（元/kW)</t>
    <phoneticPr fontId="4" type="noConversion"/>
  </si>
  <si>
    <t>IRR</t>
    <phoneticPr fontId="4" type="noConversion"/>
  </si>
  <si>
    <t>ESS(KWh)</t>
    <phoneticPr fontId="22" type="noConversion"/>
  </si>
  <si>
    <t>折现率</t>
    <phoneticPr fontId="4" type="noConversion"/>
  </si>
  <si>
    <t>ESS成本（元/kWh)</t>
    <phoneticPr fontId="4" type="noConversion"/>
  </si>
  <si>
    <t>所得税率</t>
    <phoneticPr fontId="4" type="noConversion"/>
  </si>
  <si>
    <t>PCS效率</t>
    <phoneticPr fontId="22" type="noConversion"/>
  </si>
  <si>
    <t>增值税率</t>
    <phoneticPr fontId="4" type="noConversion"/>
  </si>
  <si>
    <t>暂不考虑</t>
    <phoneticPr fontId="4" type="noConversion"/>
  </si>
  <si>
    <t>线损</t>
    <phoneticPr fontId="22" type="noConversion"/>
  </si>
  <si>
    <t>储能系统经济效益估算表（元）</t>
    <phoneticPr fontId="4" type="noConversion"/>
  </si>
  <si>
    <t>峰价（元/KWh)</t>
    <phoneticPr fontId="22" type="noConversion"/>
  </si>
  <si>
    <t>储能平准化成本LCOS（Levelized Cost of Storage）</t>
    <phoneticPr fontId="4" type="noConversion"/>
  </si>
  <si>
    <t>平价（元/KWh)</t>
    <phoneticPr fontId="22" type="noConversion"/>
  </si>
  <si>
    <t>谷价（元/KWh)</t>
    <phoneticPr fontId="22" type="noConversion"/>
  </si>
  <si>
    <t>系统年使用天数 (天)</t>
    <phoneticPr fontId="22" type="noConversion"/>
  </si>
  <si>
    <t>DOD%</t>
    <phoneticPr fontId="22" type="noConversion"/>
  </si>
  <si>
    <t>单次循环衰减率</t>
  </si>
  <si>
    <t>系统报废终止标准</t>
    <phoneticPr fontId="4" type="noConversion"/>
  </si>
  <si>
    <t>土建成本(元/Wh)</t>
    <phoneticPr fontId="4" type="noConversion"/>
  </si>
  <si>
    <t>土建残值率（%）</t>
    <phoneticPr fontId="4" type="noConversion"/>
  </si>
  <si>
    <t>充电电量现值和(KWh)</t>
    <phoneticPr fontId="4" type="noConversion"/>
  </si>
  <si>
    <t>其它设备投资费用（升压变等）</t>
    <phoneticPr fontId="4" type="noConversion"/>
  </si>
  <si>
    <t>充电电量现值(KWh)</t>
    <phoneticPr fontId="4" type="noConversion"/>
  </si>
  <si>
    <t>其它成本：入网检测费、项目管理费等（元/Wh）</t>
    <phoneticPr fontId="4" type="noConversion"/>
  </si>
  <si>
    <t>放电电量现值和(KWh)</t>
    <phoneticPr fontId="4" type="noConversion"/>
  </si>
  <si>
    <t>容量型储能电站运维费用</t>
    <phoneticPr fontId="4" type="noConversion"/>
  </si>
  <si>
    <t>放电电量现值(KWh)</t>
    <phoneticPr fontId="4" type="noConversion"/>
  </si>
  <si>
    <t>储能系统残值</t>
    <phoneticPr fontId="4" type="noConversion"/>
  </si>
  <si>
    <t>充电成本现值和（Mn RMB）</t>
    <phoneticPr fontId="4" type="noConversion"/>
  </si>
  <si>
    <t>充放循环次数（1次为1充1放）(次/天）</t>
    <phoneticPr fontId="4" type="noConversion"/>
  </si>
  <si>
    <t>充电成本现值（Mn RMB）</t>
    <phoneticPr fontId="4" type="noConversion"/>
  </si>
  <si>
    <t>充放电效率RTE（%）</t>
    <phoneticPr fontId="4" type="noConversion"/>
  </si>
  <si>
    <t>放电收益现值和（Mn RMB）</t>
    <phoneticPr fontId="4" type="noConversion"/>
  </si>
  <si>
    <t>用户分成比例（%）</t>
    <phoneticPr fontId="4" type="noConversion"/>
  </si>
  <si>
    <t>放电收益现值（Mn RMB）</t>
    <phoneticPr fontId="4" type="noConversion"/>
  </si>
  <si>
    <t>充放循环总次数（次数）</t>
    <phoneticPr fontId="4" type="noConversion"/>
  </si>
  <si>
    <t>系统寿命（年）</t>
    <phoneticPr fontId="4" type="noConversion"/>
  </si>
  <si>
    <t>PCS总成本（元）</t>
    <phoneticPr fontId="4" type="noConversion"/>
  </si>
  <si>
    <t>增值税现值和（Mn RMB）</t>
    <phoneticPr fontId="4" type="noConversion"/>
  </si>
  <si>
    <t>ESS总成本（元）</t>
    <phoneticPr fontId="4" type="noConversion"/>
  </si>
  <si>
    <t>增值税现值（Mn RMB）</t>
    <phoneticPr fontId="4" type="noConversion"/>
  </si>
  <si>
    <t>土建总投资（元）</t>
    <phoneticPr fontId="4" type="noConversion"/>
  </si>
  <si>
    <t>放电利润现值和（Mn RMB）</t>
    <phoneticPr fontId="4" type="noConversion"/>
  </si>
  <si>
    <t>其它投资（元）</t>
    <phoneticPr fontId="4" type="noConversion"/>
  </si>
  <si>
    <t>设备总投资（元）</t>
    <phoneticPr fontId="22" type="noConversion"/>
  </si>
  <si>
    <t>度电收益（元/kWh)</t>
    <phoneticPr fontId="4" type="noConversion"/>
  </si>
  <si>
    <t>投资回收年限</t>
    <phoneticPr fontId="22" type="noConversion"/>
  </si>
  <si>
    <t>9+</t>
    <phoneticPr fontId="3" type="noConversion"/>
  </si>
  <si>
    <t>投资回报率</t>
    <phoneticPr fontId="22" type="noConversion"/>
  </si>
  <si>
    <t>充电成本（元/kWh)</t>
    <phoneticPr fontId="4" type="noConversion"/>
  </si>
  <si>
    <t>用户分成部分（元/kWh)</t>
    <phoneticPr fontId="4" type="noConversion"/>
  </si>
  <si>
    <t>用户分成部分现值</t>
    <phoneticPr fontId="4" type="noConversion"/>
  </si>
  <si>
    <t>投资回报率</t>
  </si>
  <si>
    <t>自发自用比例</t>
    <phoneticPr fontId="3" type="noConversion"/>
  </si>
  <si>
    <t>储能电量（kWh）</t>
    <phoneticPr fontId="3" type="noConversion"/>
  </si>
  <si>
    <t>储能初始投资成本（Mn RMB）-4.8MWh</t>
    <phoneticPr fontId="3" type="noConversion"/>
  </si>
  <si>
    <t>储能初始投资成本（Mn RMB）-30%MWh</t>
    <phoneticPr fontId="3" type="noConversion"/>
  </si>
  <si>
    <t>储能初始年投资成本（Mn RMB）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</si>
</sst>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76" formatCode="_ * #,##0_ ;_ * \-#,##0_ ;_ * &quot;-&quot;??_ ;_ @_ "/>
    <numFmt numFmtId="177" formatCode="0.0%"/>
    <numFmt numFmtId="178" formatCode="_ * #,##0.0_ ;_ * \-#,##0.0_ ;_ * &quot;-&quot;??_ ;_ @_ "/>
    <numFmt numFmtId="179" formatCode="0.0000000"/>
    <numFmt numFmtId="180" formatCode="0.000000_ "/>
    <numFmt numFmtId="181" formatCode="0.000"/>
    <numFmt numFmtId="182" formatCode="0.000_ "/>
    <numFmt numFmtId="183" formatCode="0.000%"/>
    <numFmt numFmtId="184" formatCode="0.0"/>
    <numFmt numFmtId="185" formatCode="0.00_ "/>
    <numFmt numFmtId="186" formatCode="0.00_);[Red]\(0.00\)"/>
    <numFmt numFmtId="187" formatCode="0.0000"/>
  </numFmts>
  <fonts count="2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i/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i/>
      <sz val="8"/>
      <color theme="1"/>
      <name val="等线"/>
      <family val="3"/>
      <charset val="134"/>
      <scheme val="minor"/>
    </font>
    <font>
      <sz val="10"/>
      <name val="等线"/>
      <family val="2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9"/>
      <name val="微软雅黑"/>
      <family val="2"/>
      <charset val="134"/>
    </font>
    <font>
      <b/>
      <sz val="1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9"/>
      <name val="方正舒体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7" fillId="0" borderId="0">
      <alignment vertical="center"/>
    </xf>
    <xf numFmtId="43" fontId="17" fillId="0" borderId="0" applyFont="0" applyFill="0" applyBorder="0" applyAlignment="0" applyProtection="0">
      <alignment vertical="center"/>
    </xf>
  </cellStyleXfs>
  <cellXfs count="163">
    <xf numFmtId="0" fontId="0" fillId="0" borderId="0" xfId="0"/>
    <xf numFmtId="0" fontId="6" fillId="3" borderId="0" xfId="0" applyFont="1" applyFill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indent="4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 indent="4"/>
    </xf>
    <xf numFmtId="0" fontId="5" fillId="3" borderId="0" xfId="0" applyFont="1" applyFill="1" applyBorder="1" applyAlignment="1">
      <alignment vertical="center"/>
    </xf>
    <xf numFmtId="0" fontId="8" fillId="3" borderId="0" xfId="0" applyFont="1" applyFill="1"/>
    <xf numFmtId="0" fontId="7" fillId="3" borderId="0" xfId="3" applyFill="1"/>
    <xf numFmtId="0" fontId="8" fillId="3" borderId="0" xfId="0" applyFont="1" applyFill="1" applyBorder="1"/>
    <xf numFmtId="9" fontId="8" fillId="3" borderId="0" xfId="2" applyFont="1" applyFill="1" applyBorder="1" applyAlignment="1"/>
    <xf numFmtId="0" fontId="8" fillId="3" borderId="0" xfId="0" applyFont="1" applyFill="1" applyAlignment="1">
      <alignment horizontal="right"/>
    </xf>
    <xf numFmtId="0" fontId="8" fillId="3" borderId="2" xfId="0" applyFont="1" applyFill="1" applyBorder="1"/>
    <xf numFmtId="0" fontId="8" fillId="3" borderId="0" xfId="0" applyFont="1" applyFill="1" applyBorder="1" applyAlignment="1">
      <alignment horizontal="right"/>
    </xf>
    <xf numFmtId="0" fontId="8" fillId="3" borderId="3" xfId="0" applyFont="1" applyFill="1" applyBorder="1"/>
    <xf numFmtId="178" fontId="8" fillId="3" borderId="3" xfId="1" applyNumberFormat="1" applyFont="1" applyFill="1" applyBorder="1" applyAlignment="1">
      <alignment horizontal="right"/>
    </xf>
    <xf numFmtId="43" fontId="8" fillId="3" borderId="0" xfId="0" applyNumberFormat="1" applyFont="1" applyFill="1"/>
    <xf numFmtId="0" fontId="10" fillId="3" borderId="3" xfId="0" applyFont="1" applyFill="1" applyBorder="1" applyAlignment="1">
      <alignment horizontal="right"/>
    </xf>
    <xf numFmtId="43" fontId="10" fillId="3" borderId="3" xfId="1" applyNumberFormat="1" applyFont="1" applyFill="1" applyBorder="1" applyAlignment="1">
      <alignment horizontal="right"/>
    </xf>
    <xf numFmtId="0" fontId="8" fillId="3" borderId="4" xfId="0" applyFont="1" applyFill="1" applyBorder="1"/>
    <xf numFmtId="0" fontId="2" fillId="3" borderId="3" xfId="0" applyFont="1" applyFill="1" applyBorder="1" applyAlignment="1">
      <alignment horizontal="left" vertical="center"/>
    </xf>
    <xf numFmtId="178" fontId="8" fillId="3" borderId="0" xfId="1" applyNumberFormat="1" applyFont="1" applyFill="1" applyBorder="1" applyAlignment="1"/>
    <xf numFmtId="177" fontId="8" fillId="3" borderId="4" xfId="0" applyNumberFormat="1" applyFont="1" applyFill="1" applyBorder="1"/>
    <xf numFmtId="0" fontId="8" fillId="3" borderId="3" xfId="0" applyFont="1" applyFill="1" applyBorder="1" applyAlignment="1">
      <alignment horizontal="right"/>
    </xf>
    <xf numFmtId="176" fontId="8" fillId="3" borderId="3" xfId="0" applyNumberFormat="1" applyFont="1" applyFill="1" applyBorder="1" applyAlignment="1">
      <alignment horizontal="right"/>
    </xf>
    <xf numFmtId="43" fontId="8" fillId="3" borderId="3" xfId="1" applyNumberFormat="1" applyFont="1" applyFill="1" applyBorder="1" applyAlignment="1">
      <alignment horizontal="right"/>
    </xf>
    <xf numFmtId="1" fontId="8" fillId="3" borderId="3" xfId="0" applyNumberFormat="1" applyFont="1" applyFill="1" applyBorder="1" applyAlignment="1">
      <alignment horizontal="right"/>
    </xf>
    <xf numFmtId="43" fontId="8" fillId="3" borderId="3" xfId="1" applyFont="1" applyFill="1" applyBorder="1" applyAlignment="1">
      <alignment horizontal="right"/>
    </xf>
    <xf numFmtId="9" fontId="8" fillId="3" borderId="3" xfId="0" applyNumberFormat="1" applyFont="1" applyFill="1" applyBorder="1" applyAlignment="1">
      <alignment horizontal="right"/>
    </xf>
    <xf numFmtId="178" fontId="8" fillId="3" borderId="0" xfId="1" applyNumberFormat="1" applyFont="1" applyFill="1" applyBorder="1" applyAlignment="1">
      <alignment horizontal="center"/>
    </xf>
    <xf numFmtId="178" fontId="8" fillId="3" borderId="4" xfId="1" applyNumberFormat="1" applyFont="1" applyFill="1" applyBorder="1" applyAlignment="1">
      <alignment horizontal="center"/>
    </xf>
    <xf numFmtId="9" fontId="8" fillId="3" borderId="4" xfId="2" applyFont="1" applyFill="1" applyBorder="1" applyAlignment="1">
      <alignment horizontal="right"/>
    </xf>
    <xf numFmtId="9" fontId="8" fillId="3" borderId="0" xfId="0" applyNumberFormat="1" applyFont="1" applyFill="1" applyBorder="1"/>
    <xf numFmtId="43" fontId="8" fillId="3" borderId="2" xfId="1" applyNumberFormat="1" applyFont="1" applyFill="1" applyBorder="1" applyAlignment="1"/>
    <xf numFmtId="0" fontId="6" fillId="3" borderId="0" xfId="0" applyFont="1" applyFill="1"/>
    <xf numFmtId="43" fontId="8" fillId="3" borderId="0" xfId="1" applyNumberFormat="1" applyFont="1" applyFill="1" applyBorder="1" applyAlignment="1"/>
    <xf numFmtId="177" fontId="8" fillId="3" borderId="4" xfId="2" applyNumberFormat="1" applyFont="1" applyFill="1" applyBorder="1" applyAlignment="1">
      <alignment horizontal="right"/>
    </xf>
    <xf numFmtId="0" fontId="11" fillId="3" borderId="0" xfId="0" applyFont="1" applyFill="1"/>
    <xf numFmtId="0" fontId="11" fillId="3" borderId="0" xfId="0" applyFont="1" applyFill="1" applyBorder="1"/>
    <xf numFmtId="0" fontId="14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/>
    </xf>
    <xf numFmtId="179" fontId="15" fillId="3" borderId="0" xfId="0" applyNumberFormat="1" applyFont="1" applyFill="1" applyBorder="1" applyAlignment="1">
      <alignment horizontal="center" vertical="center"/>
    </xf>
    <xf numFmtId="179" fontId="15" fillId="3" borderId="4" xfId="0" applyNumberFormat="1" applyFont="1" applyFill="1" applyBorder="1" applyAlignment="1">
      <alignment horizontal="center" vertical="center"/>
    </xf>
    <xf numFmtId="10" fontId="8" fillId="3" borderId="3" xfId="2" applyNumberFormat="1" applyFont="1" applyFill="1" applyBorder="1" applyAlignment="1">
      <alignment horizontal="right"/>
    </xf>
    <xf numFmtId="43" fontId="8" fillId="2" borderId="3" xfId="1" applyFont="1" applyFill="1" applyBorder="1" applyAlignment="1">
      <alignment horizontal="right"/>
    </xf>
    <xf numFmtId="176" fontId="8" fillId="3" borderId="0" xfId="0" applyNumberFormat="1" applyFont="1" applyFill="1"/>
    <xf numFmtId="0" fontId="9" fillId="3" borderId="0" xfId="0" applyFont="1" applyFill="1"/>
    <xf numFmtId="0" fontId="9" fillId="3" borderId="3" xfId="0" applyFont="1" applyFill="1" applyBorder="1"/>
    <xf numFmtId="178" fontId="9" fillId="3" borderId="3" xfId="1" applyNumberFormat="1" applyFont="1" applyFill="1" applyBorder="1" applyAlignment="1">
      <alignment horizontal="right"/>
    </xf>
    <xf numFmtId="0" fontId="9" fillId="3" borderId="3" xfId="0" applyFont="1" applyFill="1" applyBorder="1" applyAlignment="1">
      <alignment horizontal="right"/>
    </xf>
    <xf numFmtId="176" fontId="9" fillId="3" borderId="3" xfId="0" applyNumberFormat="1" applyFont="1" applyFill="1" applyBorder="1" applyAlignment="1">
      <alignment horizontal="right"/>
    </xf>
    <xf numFmtId="10" fontId="9" fillId="3" borderId="3" xfId="1" applyNumberFormat="1" applyFont="1" applyFill="1" applyBorder="1" applyAlignment="1">
      <alignment horizontal="right"/>
    </xf>
    <xf numFmtId="9" fontId="9" fillId="3" borderId="3" xfId="1" applyNumberFormat="1" applyFont="1" applyFill="1" applyBorder="1" applyAlignment="1">
      <alignment horizontal="right"/>
    </xf>
    <xf numFmtId="10" fontId="9" fillId="3" borderId="3" xfId="0" applyNumberFormat="1" applyFont="1" applyFill="1" applyBorder="1" applyAlignment="1">
      <alignment horizontal="right"/>
    </xf>
    <xf numFmtId="43" fontId="9" fillId="3" borderId="3" xfId="1" applyNumberFormat="1" applyFont="1" applyFill="1" applyBorder="1" applyAlignment="1">
      <alignment horizontal="right"/>
    </xf>
    <xf numFmtId="0" fontId="9" fillId="3" borderId="3" xfId="0" applyFont="1" applyFill="1" applyBorder="1" applyAlignment="1">
      <alignment horizontal="left" vertical="center"/>
    </xf>
    <xf numFmtId="1" fontId="9" fillId="3" borderId="3" xfId="0" applyNumberFormat="1" applyFont="1" applyFill="1" applyBorder="1" applyAlignment="1">
      <alignment horizontal="right"/>
    </xf>
    <xf numFmtId="9" fontId="9" fillId="3" borderId="3" xfId="0" applyNumberFormat="1" applyFont="1" applyFill="1" applyBorder="1" applyAlignment="1">
      <alignment horizontal="right"/>
    </xf>
    <xf numFmtId="9" fontId="9" fillId="3" borderId="0" xfId="2" applyFont="1" applyFill="1" applyAlignment="1"/>
    <xf numFmtId="0" fontId="9" fillId="3" borderId="2" xfId="0" applyFont="1" applyFill="1" applyBorder="1"/>
    <xf numFmtId="0" fontId="9" fillId="3" borderId="0" xfId="0" applyFont="1" applyFill="1" applyBorder="1"/>
    <xf numFmtId="9" fontId="9" fillId="3" borderId="0" xfId="2" applyFont="1" applyFill="1" applyBorder="1" applyAlignment="1"/>
    <xf numFmtId="43" fontId="9" fillId="3" borderId="0" xfId="0" applyNumberFormat="1" applyFont="1" applyFill="1" applyBorder="1"/>
    <xf numFmtId="0" fontId="9" fillId="3" borderId="0" xfId="0" applyFont="1" applyFill="1" applyBorder="1" applyAlignment="1">
      <alignment horizontal="left"/>
    </xf>
    <xf numFmtId="9" fontId="9" fillId="3" borderId="2" xfId="2" applyFont="1" applyFill="1" applyBorder="1" applyAlignment="1"/>
    <xf numFmtId="178" fontId="9" fillId="3" borderId="0" xfId="1" applyNumberFormat="1" applyFont="1" applyFill="1" applyAlignment="1"/>
    <xf numFmtId="178" fontId="9" fillId="3" borderId="2" xfId="1" applyNumberFormat="1" applyFont="1" applyFill="1" applyBorder="1" applyAlignment="1"/>
    <xf numFmtId="178" fontId="9" fillId="3" borderId="0" xfId="1" applyNumberFormat="1" applyFont="1" applyFill="1" applyBorder="1" applyAlignment="1"/>
    <xf numFmtId="180" fontId="11" fillId="3" borderId="0" xfId="0" applyNumberFormat="1" applyFont="1" applyFill="1" applyBorder="1"/>
    <xf numFmtId="180" fontId="11" fillId="3" borderId="4" xfId="0" applyNumberFormat="1" applyFont="1" applyFill="1" applyBorder="1"/>
    <xf numFmtId="9" fontId="9" fillId="3" borderId="4" xfId="2" applyFont="1" applyFill="1" applyBorder="1" applyAlignment="1"/>
    <xf numFmtId="43" fontId="9" fillId="3" borderId="4" xfId="0" applyNumberFormat="1" applyFont="1" applyFill="1" applyBorder="1"/>
    <xf numFmtId="178" fontId="9" fillId="3" borderId="4" xfId="1" applyNumberFormat="1" applyFont="1" applyFill="1" applyBorder="1" applyAlignment="1"/>
    <xf numFmtId="0" fontId="0" fillId="3" borderId="0" xfId="0" applyFill="1"/>
    <xf numFmtId="176" fontId="9" fillId="3" borderId="2" xfId="1" applyNumberFormat="1" applyFont="1" applyFill="1" applyBorder="1" applyAlignment="1"/>
    <xf numFmtId="176" fontId="9" fillId="3" borderId="0" xfId="1" applyNumberFormat="1" applyFont="1" applyFill="1" applyBorder="1" applyAlignment="1"/>
    <xf numFmtId="176" fontId="9" fillId="3" borderId="4" xfId="1" applyNumberFormat="1" applyFont="1" applyFill="1" applyBorder="1" applyAlignment="1"/>
    <xf numFmtId="176" fontId="9" fillId="3" borderId="0" xfId="1" applyNumberFormat="1" applyFont="1" applyFill="1" applyAlignment="1"/>
    <xf numFmtId="176" fontId="0" fillId="3" borderId="0" xfId="1" applyNumberFormat="1" applyFont="1" applyFill="1" applyAlignment="1"/>
    <xf numFmtId="0" fontId="2" fillId="2" borderId="0" xfId="4" applyFont="1" applyFill="1">
      <alignment vertical="center"/>
    </xf>
    <xf numFmtId="0" fontId="2" fillId="3" borderId="0" xfId="4" applyFont="1" applyFill="1">
      <alignment vertical="center"/>
    </xf>
    <xf numFmtId="0" fontId="18" fillId="3" borderId="0" xfId="4" applyFont="1" applyFill="1" applyAlignment="1"/>
    <xf numFmtId="0" fontId="17" fillId="3" borderId="0" xfId="4" applyFill="1" applyAlignment="1"/>
    <xf numFmtId="0" fontId="2" fillId="4" borderId="0" xfId="4" applyFont="1" applyFill="1">
      <alignment vertical="center"/>
    </xf>
    <xf numFmtId="0" fontId="19" fillId="3" borderId="0" xfId="4" applyFont="1" applyFill="1" applyAlignment="1">
      <alignment horizontal="left"/>
    </xf>
    <xf numFmtId="0" fontId="2" fillId="5" borderId="0" xfId="4" applyFont="1" applyFill="1">
      <alignment vertical="center"/>
    </xf>
    <xf numFmtId="0" fontId="19" fillId="3" borderId="0" xfId="4" applyFont="1" applyFill="1" applyAlignment="1">
      <alignment horizontal="left" indent="1"/>
    </xf>
    <xf numFmtId="0" fontId="20" fillId="6" borderId="0" xfId="4" applyFont="1" applyFill="1">
      <alignment vertical="center"/>
    </xf>
    <xf numFmtId="0" fontId="2" fillId="3" borderId="1" xfId="4" applyFont="1" applyFill="1" applyBorder="1">
      <alignment vertical="center"/>
    </xf>
    <xf numFmtId="0" fontId="19" fillId="3" borderId="1" xfId="4" applyFont="1" applyFill="1" applyBorder="1" applyAlignment="1">
      <alignment horizontal="left" indent="1"/>
    </xf>
    <xf numFmtId="0" fontId="17" fillId="3" borderId="1" xfId="4" applyFill="1" applyBorder="1" applyAlignment="1"/>
    <xf numFmtId="0" fontId="5" fillId="3" borderId="0" xfId="4" applyFont="1" applyFill="1">
      <alignment vertical="center"/>
    </xf>
    <xf numFmtId="0" fontId="2" fillId="3" borderId="2" xfId="4" applyFont="1" applyFill="1" applyBorder="1" applyAlignment="1">
      <alignment horizontal="left" vertical="center"/>
    </xf>
    <xf numFmtId="2" fontId="2" fillId="3" borderId="2" xfId="4" applyNumberFormat="1" applyFont="1" applyFill="1" applyBorder="1" applyAlignment="1">
      <alignment horizontal="center" vertical="center"/>
    </xf>
    <xf numFmtId="10" fontId="2" fillId="3" borderId="0" xfId="4" applyNumberFormat="1" applyFont="1" applyFill="1" applyAlignment="1">
      <alignment horizontal="center" vertical="center"/>
    </xf>
    <xf numFmtId="181" fontId="21" fillId="7" borderId="3" xfId="4" applyNumberFormat="1" applyFont="1" applyFill="1" applyBorder="1" applyAlignment="1">
      <alignment horizontal="left" vertical="center"/>
    </xf>
    <xf numFmtId="176" fontId="21" fillId="7" borderId="3" xfId="5" applyNumberFormat="1" applyFont="1" applyFill="1" applyBorder="1" applyAlignment="1">
      <alignment horizontal="right" vertical="center"/>
    </xf>
    <xf numFmtId="2" fontId="2" fillId="3" borderId="0" xfId="4" applyNumberFormat="1" applyFont="1" applyFill="1" applyAlignment="1">
      <alignment horizontal="center" vertical="center"/>
    </xf>
    <xf numFmtId="0" fontId="5" fillId="3" borderId="4" xfId="4" applyFont="1" applyFill="1" applyBorder="1">
      <alignment vertical="center"/>
    </xf>
    <xf numFmtId="10" fontId="2" fillId="3" borderId="4" xfId="4" applyNumberFormat="1" applyFont="1" applyFill="1" applyBorder="1" applyAlignment="1">
      <alignment horizontal="center" vertical="center"/>
    </xf>
    <xf numFmtId="9" fontId="2" fillId="3" borderId="0" xfId="4" applyNumberFormat="1" applyFont="1" applyFill="1">
      <alignment vertical="center"/>
    </xf>
    <xf numFmtId="176" fontId="21" fillId="8" borderId="3" xfId="5" applyNumberFormat="1" applyFont="1" applyFill="1" applyBorder="1" applyAlignment="1">
      <alignment horizontal="right" vertical="center"/>
    </xf>
    <xf numFmtId="9" fontId="21" fillId="7" borderId="3" xfId="2" applyFont="1" applyFill="1" applyBorder="1" applyAlignment="1">
      <alignment horizontal="right" vertical="center"/>
    </xf>
    <xf numFmtId="0" fontId="2" fillId="9" borderId="0" xfId="4" applyFont="1" applyFill="1">
      <alignment vertical="center"/>
    </xf>
    <xf numFmtId="9" fontId="2" fillId="9" borderId="0" xfId="4" applyNumberFormat="1" applyFont="1" applyFill="1">
      <alignment vertical="center"/>
    </xf>
    <xf numFmtId="0" fontId="6" fillId="3" borderId="0" xfId="4" applyFont="1" applyFill="1">
      <alignment vertical="center"/>
    </xf>
    <xf numFmtId="0" fontId="5" fillId="3" borderId="0" xfId="4" applyFont="1" applyFill="1" applyAlignment="1">
      <alignment horizontal="center" vertical="center"/>
    </xf>
    <xf numFmtId="181" fontId="21" fillId="8" borderId="3" xfId="4" applyNumberFormat="1" applyFont="1" applyFill="1" applyBorder="1" applyAlignment="1">
      <alignment horizontal="right" vertical="center"/>
    </xf>
    <xf numFmtId="0" fontId="2" fillId="3" borderId="0" xfId="4" applyFont="1" applyFill="1" applyAlignment="1">
      <alignment horizontal="center" vertical="center"/>
    </xf>
    <xf numFmtId="181" fontId="17" fillId="3" borderId="3" xfId="4" applyNumberFormat="1" applyFill="1" applyBorder="1" applyAlignment="1">
      <alignment horizontal="right" vertical="center"/>
    </xf>
    <xf numFmtId="0" fontId="2" fillId="3" borderId="2" xfId="4" applyFont="1" applyFill="1" applyBorder="1" applyAlignment="1">
      <alignment horizontal="center" vertical="center"/>
    </xf>
    <xf numFmtId="0" fontId="2" fillId="4" borderId="0" xfId="4" applyFont="1" applyFill="1" applyAlignment="1">
      <alignment horizontal="left" vertical="center"/>
    </xf>
    <xf numFmtId="2" fontId="2" fillId="4" borderId="0" xfId="4" applyNumberFormat="1" applyFont="1" applyFill="1" applyAlignment="1">
      <alignment horizontal="center" vertical="center"/>
    </xf>
    <xf numFmtId="1" fontId="21" fillId="7" borderId="3" xfId="4" applyNumberFormat="1" applyFont="1" applyFill="1" applyBorder="1" applyAlignment="1">
      <alignment horizontal="right" vertical="center"/>
    </xf>
    <xf numFmtId="182" fontId="2" fillId="3" borderId="0" xfId="4" applyNumberFormat="1" applyFont="1" applyFill="1">
      <alignment vertical="center"/>
    </xf>
    <xf numFmtId="0" fontId="2" fillId="6" borderId="0" xfId="4" applyFont="1" applyFill="1" applyAlignment="1">
      <alignment horizontal="left" vertical="center"/>
    </xf>
    <xf numFmtId="2" fontId="2" fillId="3" borderId="0" xfId="5" applyNumberFormat="1" applyFont="1" applyFill="1" applyBorder="1" applyAlignment="1">
      <alignment horizontal="center" vertical="center"/>
    </xf>
    <xf numFmtId="177" fontId="21" fillId="7" borderId="3" xfId="2" applyNumberFormat="1" applyFont="1" applyFill="1" applyBorder="1" applyAlignment="1">
      <alignment horizontal="right" vertical="center"/>
    </xf>
    <xf numFmtId="0" fontId="2" fillId="3" borderId="0" xfId="4" applyFont="1" applyFill="1" applyAlignment="1">
      <alignment horizontal="left" vertical="center" indent="4"/>
    </xf>
    <xf numFmtId="183" fontId="21" fillId="7" borderId="3" xfId="2" applyNumberFormat="1" applyFont="1" applyFill="1" applyBorder="1" applyAlignment="1">
      <alignment horizontal="right" vertical="center"/>
    </xf>
    <xf numFmtId="2" fontId="21" fillId="7" borderId="3" xfId="4" applyNumberFormat="1" applyFont="1" applyFill="1" applyBorder="1" applyAlignment="1">
      <alignment horizontal="right" vertical="center"/>
    </xf>
    <xf numFmtId="2" fontId="2" fillId="5" borderId="0" xfId="4" applyNumberFormat="1" applyFont="1" applyFill="1" applyAlignment="1">
      <alignment horizontal="center" vertical="center"/>
    </xf>
    <xf numFmtId="0" fontId="2" fillId="3" borderId="0" xfId="4" applyFont="1" applyFill="1" applyAlignment="1">
      <alignment horizontal="left" vertical="center" wrapText="1"/>
    </xf>
    <xf numFmtId="1" fontId="2" fillId="3" borderId="0" xfId="4" applyNumberFormat="1" applyFont="1" applyFill="1" applyAlignment="1">
      <alignment horizontal="center" vertical="center"/>
    </xf>
    <xf numFmtId="1" fontId="2" fillId="3" borderId="0" xfId="4" applyNumberFormat="1" applyFont="1" applyFill="1">
      <alignment vertical="center"/>
    </xf>
    <xf numFmtId="0" fontId="2" fillId="3" borderId="0" xfId="4" applyFont="1" applyFill="1" applyAlignment="1">
      <alignment horizontal="left" vertical="center" wrapText="1" indent="4"/>
    </xf>
    <xf numFmtId="184" fontId="2" fillId="4" borderId="0" xfId="4" applyNumberFormat="1" applyFont="1" applyFill="1" applyAlignment="1">
      <alignment horizontal="center" vertical="center"/>
    </xf>
    <xf numFmtId="184" fontId="2" fillId="5" borderId="0" xfId="4" applyNumberFormat="1" applyFont="1" applyFill="1" applyAlignment="1">
      <alignment horizontal="center" vertical="center"/>
    </xf>
    <xf numFmtId="181" fontId="21" fillId="3" borderId="3" xfId="4" applyNumberFormat="1" applyFont="1" applyFill="1" applyBorder="1" applyAlignment="1">
      <alignment horizontal="left" vertical="center"/>
    </xf>
    <xf numFmtId="176" fontId="23" fillId="3" borderId="3" xfId="5" applyNumberFormat="1" applyFont="1" applyFill="1" applyBorder="1" applyAlignment="1">
      <alignment horizontal="right" vertical="center"/>
    </xf>
    <xf numFmtId="0" fontId="2" fillId="6" borderId="0" xfId="4" applyFont="1" applyFill="1">
      <alignment vertical="center"/>
    </xf>
    <xf numFmtId="185" fontId="2" fillId="3" borderId="0" xfId="4" applyNumberFormat="1" applyFont="1" applyFill="1" applyAlignment="1">
      <alignment horizontal="center" vertical="center"/>
    </xf>
    <xf numFmtId="176" fontId="24" fillId="3" borderId="3" xfId="5" applyNumberFormat="1" applyFont="1" applyFill="1" applyBorder="1" applyAlignment="1">
      <alignment horizontal="right" vertical="center"/>
    </xf>
    <xf numFmtId="186" fontId="2" fillId="3" borderId="0" xfId="4" applyNumberFormat="1" applyFont="1" applyFill="1" applyAlignment="1">
      <alignment horizontal="center" vertical="center"/>
    </xf>
    <xf numFmtId="176" fontId="25" fillId="3" borderId="3" xfId="5" applyNumberFormat="1" applyFont="1" applyFill="1" applyBorder="1" applyAlignment="1">
      <alignment horizontal="right" vertical="center"/>
    </xf>
    <xf numFmtId="1" fontId="21" fillId="3" borderId="3" xfId="4" applyNumberFormat="1" applyFont="1" applyFill="1" applyBorder="1" applyAlignment="1">
      <alignment horizontal="right" vertical="center"/>
    </xf>
    <xf numFmtId="177" fontId="21" fillId="3" borderId="3" xfId="2" applyNumberFormat="1" applyFont="1" applyFill="1" applyBorder="1" applyAlignment="1">
      <alignment horizontal="right" vertical="center"/>
    </xf>
    <xf numFmtId="0" fontId="2" fillId="3" borderId="4" xfId="4" applyFont="1" applyFill="1" applyBorder="1">
      <alignment vertical="center"/>
    </xf>
    <xf numFmtId="43" fontId="8" fillId="3" borderId="3" xfId="0" applyNumberFormat="1" applyFont="1" applyFill="1" applyBorder="1"/>
    <xf numFmtId="10" fontId="8" fillId="3" borderId="4" xfId="2" applyNumberFormat="1" applyFont="1" applyFill="1" applyBorder="1" applyAlignment="1">
      <alignment horizontal="right"/>
    </xf>
    <xf numFmtId="0" fontId="10" fillId="3" borderId="3" xfId="0" applyFont="1" applyFill="1" applyBorder="1" applyAlignment="1">
      <alignment horizontal="right" indent="2"/>
    </xf>
    <xf numFmtId="176" fontId="8" fillId="3" borderId="0" xfId="1" applyNumberFormat="1" applyFont="1" applyFill="1" applyBorder="1" applyAlignment="1">
      <alignment horizontal="center"/>
    </xf>
    <xf numFmtId="187" fontId="2" fillId="3" borderId="0" xfId="4" applyNumberFormat="1" applyFont="1" applyFill="1">
      <alignment vertical="center"/>
    </xf>
    <xf numFmtId="178" fontId="8" fillId="3" borderId="0" xfId="0" applyNumberFormat="1" applyFont="1" applyFill="1"/>
    <xf numFmtId="0" fontId="21" fillId="3" borderId="5" xfId="4" applyFont="1" applyFill="1" applyBorder="1" applyAlignment="1">
      <alignment horizontal="center" vertical="center"/>
    </xf>
    <xf numFmtId="0" fontId="21" fillId="3" borderId="6" xfId="4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</cellXfs>
  <cellStyles count="6">
    <cellStyle name="百分比" xfId="2" builtinId="5"/>
    <cellStyle name="常规" xfId="0" builtinId="0"/>
    <cellStyle name="常规 4 2" xfId="4" xr:uid="{186792B3-100A-4BA2-BDA8-8F491EB253BE}"/>
    <cellStyle name="超链接" xfId="3" builtinId="8"/>
    <cellStyle name="千位分隔" xfId="1" builtinId="3"/>
    <cellStyle name="千位分隔 2" xfId="5" xr:uid="{1B6B6D9E-6B06-4E0C-B2B0-D575E01D65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rry Sweeney" id="{84208E52-CEE4-4A35-A3A4-C8B728E1C58E}" userId="Terry Sweene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2-04-01T05:29:17.41" personId="{84208E52-CEE4-4A35-A3A4-C8B728E1C58E}" id="{F92F44F5-9ACE-4E38-A2E7-A884CAAC8847}">
    <text>0.1-0.2元/W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1" dT="2022-04-01T05:29:17.41" personId="{84208E52-CEE4-4A35-A3A4-C8B728E1C58E}" id="{3A480013-2CCB-4DFD-804E-CE0D89851A7C}">
    <text>0.1-0.2元/W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1" dT="2022-04-01T05:29:17.41" personId="{84208E52-CEE4-4A35-A3A4-C8B728E1C58E}" id="{AEF0A43D-C610-4DC0-9B12-35F36FD3B813}">
    <text>0.1-0.2元/W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1" dT="2022-04-01T05:29:17.41" personId="{84208E52-CEE4-4A35-A3A4-C8B728E1C58E}" id="{B79ABECD-806E-4717-8672-B50201868532}">
    <text>0.1-0.2元/W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21" dT="2022-04-01T05:29:17.41" personId="{84208E52-CEE4-4A35-A3A4-C8B728E1C58E}" id="{537D3848-26A8-477D-986F-4C7015F04169}">
    <text>0.1-0.2元/W</text>
  </threadedComment>
  <threadedComment ref="D67" dT="2022-04-01T05:29:17.41" personId="{84208E52-CEE4-4A35-A3A4-C8B728E1C58E}" id="{52D70C3A-46F1-455C-A18E-A0C149558CF2}">
    <text>0.1-0.2元/W</text>
  </threadedComment>
  <threadedComment ref="D113" dT="2022-04-01T05:29:17.41" personId="{84208E52-CEE4-4A35-A3A4-C8B728E1C58E}" id="{0868ADB7-4FA5-4406-996A-84E2BB7E16A6}">
    <text>0.1-0.2元/W</text>
  </threadedComment>
  <threadedComment ref="D159" dT="2022-04-01T05:29:17.41" personId="{84208E52-CEE4-4A35-A3A4-C8B728E1C58E}" id="{28562B8B-C1DE-4121-8EEF-4965DDC13E1A}">
    <text>0.1-0.2元/W</text>
  </threadedComment>
  <threadedComment ref="D205" dT="2022-04-01T05:29:17.41" personId="{84208E52-CEE4-4A35-A3A4-C8B728E1C58E}" id="{032B3CA3-B8E7-43F7-B70F-EF3D1AABFFCD}">
    <text>0.1-0.2元/W</text>
  </threadedComment>
  <threadedComment ref="D251" dT="2022-04-01T05:29:17.41" personId="{84208E52-CEE4-4A35-A3A4-C8B728E1C58E}" id="{7C61FF11-1407-407E-8EF3-479264ADC666}">
    <text>0.1-0.2元/W</text>
  </threadedComment>
  <threadedComment ref="D297" dT="2022-04-01T05:29:17.41" personId="{84208E52-CEE4-4A35-A3A4-C8B728E1C58E}" id="{1D361376-16B2-4456-B63E-F55863BE7153}">
    <text>0.1-0.2元/W</text>
  </threadedComment>
  <threadedComment ref="D343" dT="2022-04-01T05:29:17.41" personId="{84208E52-CEE4-4A35-A3A4-C8B728E1C58E}" id="{3BAB7A05-7631-4441-86E0-F6D02BC902E8}">
    <text>0.1-0.2元/W</text>
  </threadedComment>
  <threadedComment ref="D389" dT="2022-04-01T05:29:17.41" personId="{84208E52-CEE4-4A35-A3A4-C8B728E1C58E}" id="{05ADF163-D28A-4BB4-820F-649B0ACDE843}">
    <text>0.1-0.2元/W</text>
  </threadedComment>
  <threadedComment ref="D435" dT="2022-04-01T05:29:17.41" personId="{84208E52-CEE4-4A35-A3A4-C8B728E1C58E}" id="{183B33C2-7322-4964-8799-33EDE3E8545F}">
    <text>0.1-0.2元/W</text>
  </threadedComment>
  <threadedComment ref="D481" dT="2022-04-01T05:29:17.41" personId="{84208E52-CEE4-4A35-A3A4-C8B728E1C58E}" id="{EC2EEFB1-80F1-48FD-9754-B8FAC6BB0FCF}">
    <text>0.1-0.2元/W</text>
  </threadedComment>
  <threadedComment ref="D527" dT="2022-04-01T05:29:17.41" personId="{84208E52-CEE4-4A35-A3A4-C8B728E1C58E}" id="{A77A218F-2DBE-4764-B4F1-8F978EB7E4A6}">
    <text>0.1-0.2元/W</text>
  </threadedComment>
  <threadedComment ref="D573" dT="2022-04-01T05:29:17.41" personId="{84208E52-CEE4-4A35-A3A4-C8B728E1C58E}" id="{97779107-1385-46BB-99EE-F6B2E9FEF359}">
    <text>0.1-0.2元/W</text>
  </threadedComment>
  <threadedComment ref="D619" dT="2022-04-01T05:29:17.41" personId="{84208E52-CEE4-4A35-A3A4-C8B728E1C58E}" id="{2C3442E5-735F-4BD6-B7DD-7CBAB0ED6540}">
    <text>0.1-0.2元/W</text>
  </threadedComment>
  <threadedComment ref="D665" dT="2022-04-01T05:29:17.41" personId="{84208E52-CEE4-4A35-A3A4-C8B728E1C58E}" id="{6DE94185-4A29-4ACC-B8CC-E9FCA3554E0D}">
    <text>0.1-0.2元/W</text>
  </threadedComment>
  <threadedComment ref="D711" dT="2022-04-01T05:29:17.41" personId="{84208E52-CEE4-4A35-A3A4-C8B728E1C58E}" id="{6EF5FBB3-2852-4428-A5E1-99C7F06E6DDE}">
    <text>0.1-0.2元/W</text>
  </threadedComment>
  <threadedComment ref="D757" dT="2022-04-01T05:29:17.41" personId="{84208E52-CEE4-4A35-A3A4-C8B728E1C58E}" id="{042D07F1-FAF9-4F7B-AFF6-C796FE22A3B9}">
    <text>0.1-0.2元/W</text>
  </threadedComment>
  <threadedComment ref="D803" dT="2022-04-01T05:29:17.41" personId="{84208E52-CEE4-4A35-A3A4-C8B728E1C58E}" id="{0D20D444-FE70-4DF9-AD91-699B546C50C5}">
    <text>0.1-0.2元/W</text>
  </threadedComment>
  <threadedComment ref="D849" dT="2022-04-01T05:29:17.41" personId="{84208E52-CEE4-4A35-A3A4-C8B728E1C58E}" id="{F008EADA-E3E2-4CD5-8DD5-9897480B9A3E}">
    <text>0.1-0.2元/W</text>
  </threadedComment>
  <threadedComment ref="D895" dT="2022-04-01T05:29:17.41" personId="{84208E52-CEE4-4A35-A3A4-C8B728E1C58E}" id="{2F4932E8-C681-4B0B-ABBD-427D51CC2550}">
    <text>0.1-0.2元/W</text>
  </threadedComment>
  <threadedComment ref="D941" dT="2022-04-01T05:29:17.41" personId="{84208E52-CEE4-4A35-A3A4-C8B728E1C58E}" id="{8A7409B9-50E8-4580-A511-B21BD174A774}">
    <text>0.1-0.2元/W</text>
  </threadedComment>
  <threadedComment ref="D987" dT="2022-04-01T05:29:17.41" personId="{84208E52-CEE4-4A35-A3A4-C8B728E1C58E}" id="{E0EF3C11-CF59-4405-BAC2-411D0027ACEA}">
    <text>0.1-0.2元/W</text>
  </threadedComment>
  <threadedComment ref="D1033" dT="2022-04-01T05:29:17.41" personId="{84208E52-CEE4-4A35-A3A4-C8B728E1C58E}" id="{BF6D0DFA-94A0-4BAC-BB15-4ECEAB18314A}">
    <text>0.1-0.2元/W</text>
  </threadedComment>
  <threadedComment ref="D1079" dT="2022-04-01T05:29:17.41" personId="{84208E52-CEE4-4A35-A3A4-C8B728E1C58E}" id="{314E4F3A-767F-42C4-A1AF-4921E17B036D}">
    <text>0.1-0.2元/W</text>
  </threadedComment>
  <threadedComment ref="D1125" dT="2022-04-01T05:29:17.41" personId="{84208E52-CEE4-4A35-A3A4-C8B728E1C58E}" id="{5E645845-0AB1-466E-9B62-44667A00D88D}">
    <text>0.1-0.2元/W</text>
  </threadedComment>
  <threadedComment ref="D1171" dT="2022-04-01T05:29:17.41" personId="{84208E52-CEE4-4A35-A3A4-C8B728E1C58E}" id="{DA4D406E-105A-4244-A004-F3C63D963AD9}">
    <text>0.1-0.2元/W</text>
  </threadedComment>
  <threadedComment ref="D1217" dT="2022-04-01T05:29:17.41" personId="{84208E52-CEE4-4A35-A3A4-C8B728E1C58E}" id="{7C385557-3133-448D-843F-5B90CB5E6B57}">
    <text>0.1-0.2元/W</text>
  </threadedComment>
  <threadedComment ref="D1263" dT="2022-04-01T05:29:17.41" personId="{84208E52-CEE4-4A35-A3A4-C8B728E1C58E}" id="{366873C8-E7B0-48D9-89B2-A169E549A3AB}">
    <text>0.1-0.2元/W</text>
  </threadedComment>
  <threadedComment ref="D1309" dT="2022-04-01T05:29:17.41" personId="{84208E52-CEE4-4A35-A3A4-C8B728E1C58E}" id="{CD7C3A58-421E-4581-9B2F-26682BFD6280}">
    <text>0.1-0.2元/W</text>
  </threadedComment>
  <threadedComment ref="D1355" dT="2022-04-01T05:29:17.41" personId="{84208E52-CEE4-4A35-A3A4-C8B728E1C58E}" id="{AF6139B2-1318-46C5-863B-0F20FDE4B42C}">
    <text>0.1-0.2元/W</text>
  </threadedComment>
  <threadedComment ref="D1401" dT="2022-04-01T05:29:17.41" personId="{84208E52-CEE4-4A35-A3A4-C8B728E1C58E}" id="{3D7149A5-F538-49FC-A521-FFFDDCAF6EF3}">
    <text>0.1-0.2元/W</text>
  </threadedComment>
  <threadedComment ref="D1447" dT="2022-04-01T05:29:17.41" personId="{84208E52-CEE4-4A35-A3A4-C8B728E1C58E}" id="{97A3CC8B-EDE9-4C0D-BE26-6DF642759306}">
    <text>0.1-0.2元/W</text>
  </threadedComment>
  <threadedComment ref="D1493" dT="2022-04-01T05:29:17.41" personId="{84208E52-CEE4-4A35-A3A4-C8B728E1C58E}" id="{8ECA3E2C-6B53-4883-8A67-BED3349382E8}">
    <text>0.1-0.2元/W</text>
  </threadedComment>
  <threadedComment ref="D1539" dT="2022-04-01T05:29:17.41" personId="{84208E52-CEE4-4A35-A3A4-C8B728E1C58E}" id="{93592954-F9D4-4498-A55F-78515BF617AA}">
    <text>0.1-0.2元/W</text>
  </threadedComment>
  <threadedComment ref="D1585" dT="2022-04-01T05:29:17.41" personId="{84208E52-CEE4-4A35-A3A4-C8B728E1C58E}" id="{6D700FD6-D962-476A-AA37-CC0CF50543C4}">
    <text>0.1-0.2元/W</text>
  </threadedComment>
  <threadedComment ref="D1631" dT="2022-04-01T05:29:17.41" personId="{84208E52-CEE4-4A35-A3A4-C8B728E1C58E}" id="{FDF5D422-AF8E-4B03-8177-DC53273EA3A4}">
    <text>0.1-0.2元/W</text>
  </threadedComment>
  <threadedComment ref="D1677" dT="2022-04-01T05:29:17.41" personId="{84208E52-CEE4-4A35-A3A4-C8B728E1C58E}" id="{F0A0E27C-155E-41CC-B73B-5202E0EA3B9F}">
    <text>0.1-0.2元/W</text>
  </threadedComment>
  <threadedComment ref="D1723" dT="2022-04-01T05:29:17.41" personId="{84208E52-CEE4-4A35-A3A4-C8B728E1C58E}" id="{32CE8D01-C721-4E13-B727-9C1FC6457218}">
    <text>0.1-0.2元/W</text>
  </threadedComment>
  <threadedComment ref="D1769" dT="2022-04-01T05:29:17.41" personId="{84208E52-CEE4-4A35-A3A4-C8B728E1C58E}" id="{ED78EC11-39ED-4764-8580-DFEA1BF30447}">
    <text>0.1-0.2元/W</text>
  </threadedComment>
  <threadedComment ref="D1815" dT="2022-04-01T05:29:17.41" personId="{84208E52-CEE4-4A35-A3A4-C8B728E1C58E}" id="{ECC6C441-E4F1-466D-9B19-2C763B2064EA}">
    <text>0.1-0.2元/W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news.solarbe.com/202203/29/352933.html" TargetMode="Externa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4C3D-2B6C-46BB-BFED-15FC9F85E4D4}">
  <dimension ref="A1:J47"/>
  <sheetViews>
    <sheetView zoomScale="85" zoomScaleNormal="85" workbookViewId="0">
      <selection activeCell="G21" sqref="G21"/>
    </sheetView>
  </sheetViews>
  <sheetFormatPr defaultRowHeight="11.5" x14ac:dyDescent="0.25"/>
  <cols>
    <col min="1" max="1" width="25.75" style="55" bestFit="1" customWidth="1"/>
    <col min="2" max="2" width="6.33203125" style="55" customWidth="1"/>
    <col min="3" max="3" width="7.4140625" style="55" customWidth="1"/>
    <col min="4" max="4" width="8.6640625" style="55"/>
    <col min="5" max="5" width="11.33203125" style="86" bestFit="1" customWidth="1"/>
    <col min="6" max="6" width="11.33203125" style="67" customWidth="1"/>
    <col min="7" max="8" width="23.75" style="55" bestFit="1" customWidth="1"/>
    <col min="9" max="9" width="8.6640625" style="74"/>
    <col min="10" max="16384" width="8.6640625" style="55"/>
  </cols>
  <sheetData>
    <row r="1" spans="1:10" x14ac:dyDescent="0.25">
      <c r="A1" s="55" t="s">
        <v>71</v>
      </c>
      <c r="D1" s="68"/>
      <c r="E1" s="83" t="s">
        <v>141</v>
      </c>
      <c r="F1" s="73" t="s">
        <v>183</v>
      </c>
      <c r="G1" s="68" t="s">
        <v>78</v>
      </c>
      <c r="H1" s="68" t="s">
        <v>76</v>
      </c>
      <c r="I1" s="75" t="s">
        <v>72</v>
      </c>
      <c r="J1" s="68"/>
    </row>
    <row r="2" spans="1:10" x14ac:dyDescent="0.25">
      <c r="A2" s="56" t="s">
        <v>53</v>
      </c>
      <c r="B2" s="57">
        <v>6</v>
      </c>
      <c r="D2" s="69" t="s">
        <v>130</v>
      </c>
      <c r="E2" s="84">
        <f>'分布式光伏经济性模型-分地区'!D2</f>
        <v>1163</v>
      </c>
      <c r="F2" s="70">
        <f>'分布式光伏经济性模型-分地区'!D7</f>
        <v>0.11009020010723458</v>
      </c>
      <c r="G2" s="71">
        <f>'分布式光伏经济性模型-分地区'!D3</f>
        <v>0.21682188105008351</v>
      </c>
      <c r="H2" s="71">
        <f>'分布式光伏经济性模型-分地区'!D4</f>
        <v>0.40532962713043807</v>
      </c>
      <c r="I2" s="76">
        <f>'分布式光伏经济性模型-分地区'!D6</f>
        <v>8.0004550905742331</v>
      </c>
      <c r="J2" s="69"/>
    </row>
    <row r="3" spans="1:10" x14ac:dyDescent="0.25">
      <c r="A3" s="56" t="s">
        <v>56</v>
      </c>
      <c r="B3" s="58">
        <v>120</v>
      </c>
      <c r="D3" s="72" t="s">
        <v>128</v>
      </c>
      <c r="E3" s="84">
        <f>'分布式光伏经济性模型-分地区'!D48</f>
        <v>1600</v>
      </c>
      <c r="F3" s="70">
        <f>'分布式光伏经济性模型-分地区'!D53</f>
        <v>0.16372554437432218</v>
      </c>
      <c r="G3" s="71">
        <f>'分布式光伏经济性模型-分地区'!D49</f>
        <v>0.31572435507304453</v>
      </c>
      <c r="H3" s="71">
        <f>'分布式光伏经济性模型-分地区'!D50</f>
        <v>0.43598195616893987</v>
      </c>
      <c r="I3" s="76">
        <f>'分布式光伏经济性模型-分地区'!D52</f>
        <v>19.807756060108314</v>
      </c>
      <c r="J3" s="69"/>
    </row>
    <row r="4" spans="1:10" x14ac:dyDescent="0.25">
      <c r="A4" s="56" t="s">
        <v>57</v>
      </c>
      <c r="B4" s="58">
        <v>3</v>
      </c>
      <c r="D4" s="72" t="s">
        <v>182</v>
      </c>
      <c r="E4" s="84">
        <f>'分布式光伏经济性模型-分地区'!D94</f>
        <v>1300</v>
      </c>
      <c r="F4" s="70">
        <f>'分布式光伏经济性模型-分地区'!D99</f>
        <v>0.12743037080225639</v>
      </c>
      <c r="G4" s="71">
        <f>'分布式光伏经济性模型-分地区'!D95</f>
        <v>0.3487761293206702</v>
      </c>
      <c r="H4" s="71">
        <f>'分布式光伏经济性模型-分地区'!D96</f>
        <v>0.5021326827155651</v>
      </c>
      <c r="I4" s="76">
        <f>'分布式光伏经济性模型-分地区'!D98</f>
        <v>11.702057454020842</v>
      </c>
      <c r="J4" s="69"/>
    </row>
    <row r="5" spans="1:10" x14ac:dyDescent="0.25">
      <c r="A5" s="56" t="s">
        <v>54</v>
      </c>
      <c r="B5" s="59">
        <f>B2/B3*1000000/10000</f>
        <v>5</v>
      </c>
      <c r="D5" s="72" t="s">
        <v>129</v>
      </c>
      <c r="E5" s="84">
        <f>'分布式光伏经济性模型-分地区'!D140</f>
        <v>1100</v>
      </c>
      <c r="F5" s="70">
        <f>'分布式光伏经济性模型-分地区'!D145</f>
        <v>0.10189968725118748</v>
      </c>
      <c r="G5" s="71">
        <f>'分布式光伏经济性模型-分地区'!D141</f>
        <v>0.38082633465170124</v>
      </c>
      <c r="H5" s="71">
        <f>'分布式光伏经济性模型-分地区'!D142</f>
        <v>0.5662788417910809</v>
      </c>
      <c r="I5" s="76">
        <f>'分布式光伏经济性模型-分地区'!D144</f>
        <v>6.2982583832958712</v>
      </c>
      <c r="J5" s="69"/>
    </row>
    <row r="6" spans="1:10" ht="13" x14ac:dyDescent="0.3">
      <c r="A6" s="56" t="s">
        <v>55</v>
      </c>
      <c r="B6" s="59">
        <f>B5*B4</f>
        <v>15</v>
      </c>
      <c r="D6" s="13" t="s">
        <v>136</v>
      </c>
      <c r="E6" s="84">
        <f>'分布式光伏经济性模型-分地区'!D186</f>
        <v>1626</v>
      </c>
      <c r="F6" s="70">
        <f>'分布式光伏经济性模型-分地区'!D191</f>
        <v>0.14453729495054435</v>
      </c>
      <c r="G6" s="71">
        <f>'分布式光伏经济性模型-分地区'!D187</f>
        <v>0.29363845806695654</v>
      </c>
      <c r="H6" s="71">
        <f>'分布式光伏经济性模型-分地区'!D188</f>
        <v>0.41426168434886812</v>
      </c>
      <c r="I6" s="76">
        <f>'分布式光伏经济性模型-分地区'!D190</f>
        <v>15.46860951951159</v>
      </c>
    </row>
    <row r="7" spans="1:10" ht="13" x14ac:dyDescent="0.3">
      <c r="A7" s="56" t="s">
        <v>42</v>
      </c>
      <c r="B7" s="57">
        <f>SUM(B8:B18)</f>
        <v>4.1019999999999994</v>
      </c>
      <c r="D7" s="13" t="s">
        <v>137</v>
      </c>
      <c r="E7" s="84">
        <f>'分布式光伏经济性模型-分地区'!D232</f>
        <v>1619</v>
      </c>
      <c r="F7" s="70">
        <f>'分布式光伏经济性模型-分地区'!D237</f>
        <v>0.14378662437529521</v>
      </c>
      <c r="G7" s="71">
        <f>'分布式光伏经济性模型-分地区'!D233</f>
        <v>0.29424780903862746</v>
      </c>
      <c r="H7" s="71">
        <f>'分布式光伏经济性模型-分地区'!D234</f>
        <v>0.41548125607884345</v>
      </c>
      <c r="I7" s="76">
        <f>'分布式光伏经济性模型-分地区'!D236</f>
        <v>15.301181031088211</v>
      </c>
    </row>
    <row r="8" spans="1:10" ht="13" x14ac:dyDescent="0.3">
      <c r="A8" s="21" t="s">
        <v>32</v>
      </c>
      <c r="B8" s="22">
        <v>1.8870000000000002</v>
      </c>
      <c r="D8" s="13" t="s">
        <v>139</v>
      </c>
      <c r="E8" s="84">
        <f>'分布式光伏经济性模型-分地区'!D278</f>
        <v>1655</v>
      </c>
      <c r="F8" s="70">
        <f>'分布式光伏经济性模型-分地区'!D283</f>
        <v>8.8161200115596916E-2</v>
      </c>
      <c r="G8" s="71">
        <f>'分布式光伏经济性模型-分地区'!D279</f>
        <v>0.24238963330324548</v>
      </c>
      <c r="H8" s="71">
        <f>'分布式光伏经济性模型-分地区'!D280</f>
        <v>0.36709210704521689</v>
      </c>
      <c r="I8" s="76">
        <f>'分布式光伏经济性模型-分地区'!D282</f>
        <v>3.5173968129615183</v>
      </c>
    </row>
    <row r="9" spans="1:10" ht="13" x14ac:dyDescent="0.3">
      <c r="A9" s="21" t="s">
        <v>33</v>
      </c>
      <c r="B9" s="22">
        <v>0.18500000000000003</v>
      </c>
      <c r="D9" s="13" t="s">
        <v>140</v>
      </c>
      <c r="E9" s="84">
        <f>'分布式光伏经济性模型-分地区'!D324</f>
        <v>1414</v>
      </c>
      <c r="F9" s="70">
        <f>'分布式光伏经济性模型-分地区'!D329</f>
        <v>6.7838419573474029E-2</v>
      </c>
      <c r="G9" s="71">
        <f>'分布式光伏经济性模型-分地区'!D325</f>
        <v>0.26598933388746199</v>
      </c>
      <c r="H9" s="71">
        <f>'分布式光伏经济性模型-分地区'!D326</f>
        <v>0.41432519438971521</v>
      </c>
      <c r="I9" s="76">
        <f>'分布式光伏经济性模型-分地区'!D328</f>
        <v>-0.40559293313840894</v>
      </c>
    </row>
    <row r="10" spans="1:10" ht="13" x14ac:dyDescent="0.3">
      <c r="A10" s="21" t="s">
        <v>34</v>
      </c>
      <c r="B10" s="22">
        <v>0.222</v>
      </c>
      <c r="D10" s="13" t="s">
        <v>143</v>
      </c>
      <c r="E10" s="84">
        <f>'分布式光伏经济性模型-分地区'!D370</f>
        <v>1535</v>
      </c>
      <c r="F10" s="70">
        <f>'分布式光伏经济性模型-分地区'!D375</f>
        <v>0.15284888939603913</v>
      </c>
      <c r="G10" s="71">
        <f>'分布式光伏经济性模型-分地区'!D371</f>
        <v>0.31880714671023092</v>
      </c>
      <c r="H10" s="71">
        <f>'分布式光伏经济性模型-分地区'!D372</f>
        <v>0.44553885035571328</v>
      </c>
      <c r="I10" s="76">
        <f>'分布式光伏经济性模型-分地区'!D374</f>
        <v>17.33453936246099</v>
      </c>
    </row>
    <row r="11" spans="1:10" ht="13" x14ac:dyDescent="0.3">
      <c r="A11" s="21" t="s">
        <v>35</v>
      </c>
      <c r="B11" s="22">
        <v>0.44400000000000001</v>
      </c>
      <c r="D11" s="13" t="s">
        <v>144</v>
      </c>
      <c r="E11" s="84">
        <f>'分布式光伏经济性模型-分地区'!D416</f>
        <v>1263</v>
      </c>
      <c r="F11" s="70">
        <f>'分布式光伏经济性模型-分地区'!D421</f>
        <v>0.12005584919250345</v>
      </c>
      <c r="G11" s="71">
        <f>'分布式光伏经济性模型-分地区'!D417</f>
        <v>0.35095811311707942</v>
      </c>
      <c r="H11" s="71">
        <f>'分布式光伏经济性模型-分地区'!D418</f>
        <v>0.50988667540906729</v>
      </c>
      <c r="I11" s="76">
        <f>'分布式光伏经济性模型-分地区'!D420</f>
        <v>10.112420902436572</v>
      </c>
    </row>
    <row r="12" spans="1:10" ht="13" x14ac:dyDescent="0.3">
      <c r="A12" s="21" t="s">
        <v>36</v>
      </c>
      <c r="B12" s="22">
        <v>0.222</v>
      </c>
      <c r="D12" s="13" t="s">
        <v>146</v>
      </c>
      <c r="E12" s="84">
        <f>'分布式光伏经济性模型-分地区'!D462</f>
        <v>1436</v>
      </c>
      <c r="F12" s="70">
        <f>'分布式光伏经济性模型-分地区'!D467</f>
        <v>6.9719372693104242E-2</v>
      </c>
      <c r="G12" s="71">
        <f>'分布式光伏经济性模型-分地区'!D463</f>
        <v>0.26348270412038394</v>
      </c>
      <c r="H12" s="71">
        <f>'分布式光伏经济性模型-分地区'!D464</f>
        <v>0.40933533103343184</v>
      </c>
      <c r="I12" s="76">
        <f>'分布式光伏经济性模型-分地区'!D466</f>
        <v>-5.2819616093627397E-2</v>
      </c>
    </row>
    <row r="13" spans="1:10" ht="13" x14ac:dyDescent="0.3">
      <c r="A13" s="21" t="s">
        <v>37</v>
      </c>
      <c r="B13" s="22">
        <v>0.15</v>
      </c>
      <c r="D13" s="13" t="s">
        <v>147</v>
      </c>
      <c r="E13" s="84">
        <f>'分布式光伏经济性模型-分地区'!D508</f>
        <v>1387</v>
      </c>
      <c r="F13" s="70">
        <f>'分布式光伏经济性模型-分地区'!D513</f>
        <v>6.545050928619589E-2</v>
      </c>
      <c r="G13" s="71">
        <f>'分布式光伏经济性模型-分地区'!D509</f>
        <v>0.26912040509507668</v>
      </c>
      <c r="H13" s="71">
        <f>'分布式光伏经济性模型-分地区'!D510</f>
        <v>0.4206187802284575</v>
      </c>
      <c r="I13" s="76">
        <f>'分布式光伏经济性模型-分地区'!D512</f>
        <v>-0.85025765759104766</v>
      </c>
    </row>
    <row r="14" spans="1:10" ht="13" x14ac:dyDescent="0.3">
      <c r="A14" s="21" t="s">
        <v>38</v>
      </c>
      <c r="B14" s="22">
        <v>3.7000000000000005E-2</v>
      </c>
      <c r="D14" s="13" t="s">
        <v>149</v>
      </c>
      <c r="E14" s="84">
        <f>'分布式光伏经济性模型-分地区'!D554</f>
        <v>1390</v>
      </c>
      <c r="F14" s="70">
        <f>'分布式光伏经济性模型-分地区'!D559</f>
        <v>8.4737540772200859E-2</v>
      </c>
      <c r="G14" s="71">
        <f>'分布式光伏经济性模型-分地区'!D555</f>
        <v>0.28548881699055484</v>
      </c>
      <c r="H14" s="71">
        <f>'分布式光伏经济性模型-分地区'!D556</f>
        <v>0.43438349682586713</v>
      </c>
      <c r="I14" s="76">
        <f>'分布式光伏经济性模型-分地区'!D558</f>
        <v>2.8399033360622301</v>
      </c>
    </row>
    <row r="15" spans="1:10" ht="13" x14ac:dyDescent="0.3">
      <c r="A15" s="21" t="s">
        <v>39</v>
      </c>
      <c r="B15" s="22">
        <v>0.25900000000000006</v>
      </c>
      <c r="D15" s="13" t="s">
        <v>151</v>
      </c>
      <c r="E15" s="84">
        <f>'分布式光伏经济性模型-分地区'!D600</f>
        <v>1466</v>
      </c>
      <c r="F15" s="70">
        <f>'分布式光伏经济性模型-分地区'!D605</f>
        <v>0.11985931715760834</v>
      </c>
      <c r="G15" s="71">
        <f>'分布式光伏经济性模型-分地区'!D601</f>
        <v>0.30217705362678798</v>
      </c>
      <c r="H15" s="71">
        <f>'分布式光伏经济性模型-分地区'!D602</f>
        <v>0.43912306011278379</v>
      </c>
      <c r="I15" s="76">
        <f>'分布式光伏经济性模型-分地区'!D604</f>
        <v>10.070359570894368</v>
      </c>
    </row>
    <row r="16" spans="1:10" ht="13" x14ac:dyDescent="0.3">
      <c r="A16" s="21" t="s">
        <v>40</v>
      </c>
      <c r="B16" s="22">
        <v>7.400000000000001E-2</v>
      </c>
      <c r="D16" s="13" t="s">
        <v>153</v>
      </c>
      <c r="E16" s="84">
        <f>'分布式光伏经济性模型-分地区'!D646</f>
        <v>1507</v>
      </c>
      <c r="F16" s="70">
        <f>'分布式光伏经济性模型-分地区'!D651</f>
        <v>0.16416035055271716</v>
      </c>
      <c r="G16" s="71">
        <f>'分布式光伏经济性模型-分地区'!D647</f>
        <v>0.33563013466060909</v>
      </c>
      <c r="H16" s="71">
        <f>'分布式光伏经济性模型-分地区'!D648</f>
        <v>0.46325241620374336</v>
      </c>
      <c r="I16" s="76">
        <f>'分布式光伏经济性模型-分地区'!D650</f>
        <v>19.90731828821308</v>
      </c>
    </row>
    <row r="17" spans="1:9" ht="13" x14ac:dyDescent="0.3">
      <c r="A17" s="21" t="s">
        <v>41</v>
      </c>
      <c r="B17" s="22">
        <v>0.222</v>
      </c>
      <c r="D17" s="13" t="s">
        <v>155</v>
      </c>
      <c r="E17" s="84">
        <f>'分布式光伏经济性模型-分地区'!D692</f>
        <v>1477</v>
      </c>
      <c r="F17" s="70">
        <f>'分布式光伏经济性模型-分地区'!D697</f>
        <v>0.16601344580739985</v>
      </c>
      <c r="G17" s="71">
        <f>'分布式光伏经济性模型-分地区'!D693</f>
        <v>0.34428388718136171</v>
      </c>
      <c r="H17" s="71">
        <f>'分布式光伏经济性模型-分地区'!D694</f>
        <v>0.47425165588283252</v>
      </c>
      <c r="I17" s="76">
        <f>'分布式光伏经济性模型-分地区'!D696</f>
        <v>20.332211715320714</v>
      </c>
    </row>
    <row r="18" spans="1:9" ht="13" x14ac:dyDescent="0.3">
      <c r="A18" s="21" t="s">
        <v>74</v>
      </c>
      <c r="B18" s="22">
        <v>0.4</v>
      </c>
      <c r="D18" s="13" t="s">
        <v>157</v>
      </c>
      <c r="E18" s="84">
        <f>'分布式光伏经济性模型-分地区'!D738</f>
        <v>1388</v>
      </c>
      <c r="F18" s="70">
        <f>'分布式光伏经济性模型-分地区'!D743</f>
        <v>0.13732419388027028</v>
      </c>
      <c r="G18" s="71">
        <f>'分布式光伏经济性模型-分地区'!D739</f>
        <v>0.33662487112166523</v>
      </c>
      <c r="H18" s="71">
        <f>'分布式光伏经济性模型-分地区'!D740</f>
        <v>0.47892046489028373</v>
      </c>
      <c r="I18" s="76">
        <f>'分布式光伏经济性模型-分地区'!D742</f>
        <v>13.867704801641587</v>
      </c>
    </row>
    <row r="19" spans="1:9" ht="13" x14ac:dyDescent="0.3">
      <c r="A19" s="56" t="s">
        <v>58</v>
      </c>
      <c r="B19" s="60">
        <v>0.86599999999999999</v>
      </c>
      <c r="D19" s="13" t="s">
        <v>159</v>
      </c>
      <c r="E19" s="84">
        <f>'分布式光伏经济性模型-分地区'!D784</f>
        <v>1485</v>
      </c>
      <c r="F19" s="70">
        <f>'分布式光伏经济性模型-分地区'!D789</f>
        <v>0.12839615993389963</v>
      </c>
      <c r="G19" s="71">
        <f>'分布式光伏经济性模型-分地区'!D785</f>
        <v>0.30622780344570449</v>
      </c>
      <c r="H19" s="71">
        <f>'分布式光伏经济性模型-分地区'!D786</f>
        <v>0.4403581834102514</v>
      </c>
      <c r="I19" s="76">
        <f>'分布式光伏经济性模型-分地区'!D788</f>
        <v>11.911837632902101</v>
      </c>
    </row>
    <row r="20" spans="1:9" ht="13" x14ac:dyDescent="0.3">
      <c r="A20" s="56" t="s">
        <v>62</v>
      </c>
      <c r="B20" s="58">
        <v>20</v>
      </c>
      <c r="D20" s="13" t="s">
        <v>160</v>
      </c>
      <c r="E20" s="84">
        <f>'分布式光伏经济性模型-分地区'!D830</f>
        <v>1470</v>
      </c>
      <c r="F20" s="70">
        <f>'分布式光伏经济性模型-分地区'!D835</f>
        <v>0.10868389739837614</v>
      </c>
      <c r="G20" s="71">
        <f>'分布式光伏经济性模型-分地区'!D831</f>
        <v>0.29108593783460629</v>
      </c>
      <c r="H20" s="71">
        <f>'分布式光伏经济性模型-分地区'!D832</f>
        <v>0.4290386751793096</v>
      </c>
      <c r="I20" s="76">
        <f>'分布式光伏经济性模型-分地区'!D834</f>
        <v>7.7059653490399356</v>
      </c>
    </row>
    <row r="21" spans="1:9" ht="13" x14ac:dyDescent="0.3">
      <c r="A21" s="56" t="s">
        <v>59</v>
      </c>
      <c r="B21" s="61">
        <v>0.02</v>
      </c>
      <c r="D21" s="13" t="s">
        <v>161</v>
      </c>
      <c r="E21" s="84">
        <f>'分布式光伏经济性模型-分地区'!D876</f>
        <v>1466</v>
      </c>
      <c r="F21" s="70">
        <f>'分布式光伏经济性模型-分地区'!D881</f>
        <v>0.15215779723841205</v>
      </c>
      <c r="G21" s="71">
        <f>'分布式光伏经济性模型-分地区'!D877</f>
        <v>0.33313313696012131</v>
      </c>
      <c r="H21" s="71">
        <f>'分布式光伏经济性模型-分地区'!D878</f>
        <v>0.46592094427702269</v>
      </c>
      <c r="I21" s="76">
        <f>'分布式光伏经济性模型-分地区'!D880</f>
        <v>17.17856670356187</v>
      </c>
    </row>
    <row r="22" spans="1:9" ht="13" x14ac:dyDescent="0.3">
      <c r="A22" s="56" t="s">
        <v>60</v>
      </c>
      <c r="B22" s="62">
        <v>4.4999999999999997E-3</v>
      </c>
      <c r="D22" s="13" t="s">
        <v>162</v>
      </c>
      <c r="E22" s="84">
        <f>'分布式光伏经济性模型-分地区'!D922</f>
        <v>1336</v>
      </c>
      <c r="F22" s="70">
        <f>'分布式光伏经济性模型-分地区'!D927</f>
        <v>0.11183223719049074</v>
      </c>
      <c r="G22" s="71">
        <f>'分布式光伏经济性模型-分地区'!D923</f>
        <v>0.32343817374017308</v>
      </c>
      <c r="H22" s="71">
        <f>'分布式光伏经济性模型-分地区'!D924</f>
        <v>0.47480349005509309</v>
      </c>
      <c r="I22" s="76">
        <f>'分布式光伏经济性模型-分地区'!D926</f>
        <v>8.3664930897031482</v>
      </c>
    </row>
    <row r="23" spans="1:9" ht="13" x14ac:dyDescent="0.3">
      <c r="A23" s="56" t="s">
        <v>28</v>
      </c>
      <c r="B23" s="63">
        <v>0.04</v>
      </c>
      <c r="D23" s="13" t="s">
        <v>163</v>
      </c>
      <c r="E23" s="84">
        <f>'分布式光伏经济性模型-分地区'!D968</f>
        <v>1332</v>
      </c>
      <c r="F23" s="70">
        <f>'分布式光伏经济性模型-分地区'!D973</f>
        <v>9.2340545037206789E-2</v>
      </c>
      <c r="G23" s="71">
        <f>'分布式光伏经济性模型-分地区'!D969</f>
        <v>0.3051725173550085</v>
      </c>
      <c r="H23" s="71">
        <f>'分布式光伏经济性模型-分地区'!D970</f>
        <v>0.45957640089326351</v>
      </c>
      <c r="I23" s="76">
        <f>'分布式光伏经济性模型-分地区'!D972</f>
        <v>4.3530199391170052</v>
      </c>
    </row>
    <row r="24" spans="1:9" ht="13" x14ac:dyDescent="0.3">
      <c r="A24" s="56" t="s">
        <v>43</v>
      </c>
      <c r="B24" s="61">
        <v>0.05</v>
      </c>
      <c r="D24" s="13" t="s">
        <v>164</v>
      </c>
      <c r="E24" s="84">
        <f>'分布式光伏经济性模型-分地区'!D1014</f>
        <v>1265</v>
      </c>
      <c r="F24" s="70">
        <f>'分布式光伏经济性模型-分地区'!D1019</f>
        <v>0.12337944138227996</v>
      </c>
      <c r="G24" s="71">
        <f>'分布式光伏经济性模型-分地区'!D1015</f>
        <v>0.35400533447974003</v>
      </c>
      <c r="H24" s="71">
        <f>'分布式光伏经济性模型-分地区'!D1016</f>
        <v>0.51219877208413311</v>
      </c>
      <c r="I24" s="76">
        <f>'分布式光伏经济性模型-分地区'!D1018</f>
        <v>10.826137649983464</v>
      </c>
    </row>
    <row r="25" spans="1:9" ht="13" x14ac:dyDescent="0.3">
      <c r="A25" s="64" t="s">
        <v>14</v>
      </c>
      <c r="B25" s="65">
        <f>B2*B7</f>
        <v>24.611999999999995</v>
      </c>
      <c r="D25" s="13" t="s">
        <v>165</v>
      </c>
      <c r="E25" s="84">
        <f>'分布式光伏经济性模型-分地区'!D1060</f>
        <v>1242</v>
      </c>
      <c r="F25" s="70">
        <f>'分布式光伏经济性模型-分地区'!D1065</f>
        <v>0.14900503451136715</v>
      </c>
      <c r="G25" s="71">
        <f>'分布式光伏经济性模型-分地区'!D1061</f>
        <v>0.38956707585899453</v>
      </c>
      <c r="H25" s="71">
        <f>'分布式光伏经济性模型-分地区'!D1062</f>
        <v>0.54679375711674683</v>
      </c>
      <c r="I25" s="76">
        <f>'分布式光伏经济性模型-分地区'!D1064</f>
        <v>16.468888032323381</v>
      </c>
    </row>
    <row r="26" spans="1:9" ht="13" x14ac:dyDescent="0.3">
      <c r="A26" s="56" t="s">
        <v>29</v>
      </c>
      <c r="B26" s="63">
        <v>0.35980000000000001</v>
      </c>
      <c r="D26" s="13" t="s">
        <v>166</v>
      </c>
      <c r="E26" s="84">
        <f>'分布式光伏经济性模型-分地区'!D1106</f>
        <v>1225</v>
      </c>
      <c r="F26" s="70">
        <f>'分布式光伏经济性模型-分地区'!D1111</f>
        <v>0.11527281061031402</v>
      </c>
      <c r="G26" s="71">
        <f>'分布式光伏经济性模型-分地区'!D1107</f>
        <v>0.35653406290152745</v>
      </c>
      <c r="H26" s="71">
        <f>'分布式光伏经济性模型-分地区'!D1108</f>
        <v>0.52110604659866722</v>
      </c>
      <c r="I26" s="76">
        <f>'分布式光伏经济性模型-分地区'!D1110</f>
        <v>9.0933944315077149</v>
      </c>
    </row>
    <row r="27" spans="1:9" ht="13" x14ac:dyDescent="0.3">
      <c r="A27" s="56" t="s">
        <v>70</v>
      </c>
      <c r="B27" s="66">
        <v>1</v>
      </c>
      <c r="D27" s="13" t="s">
        <v>167</v>
      </c>
      <c r="E27" s="84">
        <f>'分布式光伏经济性模型-分地区'!D1152</f>
        <v>1165</v>
      </c>
      <c r="F27" s="70">
        <f>'分布式光伏经济性模型-分地区'!D1157</f>
        <v>0.11280945104374807</v>
      </c>
      <c r="G27" s="71">
        <f>'分布式光伏经济性模型-分地区'!D1153</f>
        <v>0.37204131025768628</v>
      </c>
      <c r="H27" s="71">
        <f>'分布式光伏经济性模型-分地区'!D1154</f>
        <v>0.545472607247805</v>
      </c>
      <c r="I27" s="76">
        <f>'分布式光伏经济性模型-分地区'!D1156</f>
        <v>8.5724211169009479</v>
      </c>
    </row>
    <row r="28" spans="1:9" ht="13" x14ac:dyDescent="0.3">
      <c r="D28" s="13" t="s">
        <v>168</v>
      </c>
      <c r="E28" s="84">
        <f>'分布式光伏经济性模型-分地区'!D1198</f>
        <v>1116</v>
      </c>
      <c r="F28" s="70">
        <f>'分布式光伏经济性模型-分地区'!D1203</f>
        <v>7.4061502815685687E-2</v>
      </c>
      <c r="G28" s="71">
        <f>'分布式光伏经济性模型-分地区'!D1199</f>
        <v>0.34373957716565529</v>
      </c>
      <c r="H28" s="71">
        <f>'分布式光伏经济性模型-分地区'!D1200</f>
        <v>0.53078157166517981</v>
      </c>
      <c r="I28" s="76">
        <f>'分布式光伏经济性模型-分地区'!D1202</f>
        <v>0.76984300704426234</v>
      </c>
    </row>
    <row r="29" spans="1:9" ht="13" x14ac:dyDescent="0.3">
      <c r="D29" s="13" t="s">
        <v>169</v>
      </c>
      <c r="E29" s="84">
        <f>'分布式光伏经济性模型-分地区'!D1244</f>
        <v>1103</v>
      </c>
      <c r="F29" s="70">
        <f>'分布式光伏经济性模型-分地区'!D1249</f>
        <v>9.5422001483485897E-2</v>
      </c>
      <c r="G29" s="71">
        <f>'分布式光伏经济性模型-分地区'!D1245</f>
        <v>0.37213133390771047</v>
      </c>
      <c r="H29" s="71">
        <f>'分布式光伏经济性模型-分地区'!D1246</f>
        <v>0.55810826605045938</v>
      </c>
      <c r="I29" s="76">
        <f>'分布式光伏经济性模型-分地区'!D1248</f>
        <v>4.9750157234324259</v>
      </c>
    </row>
    <row r="30" spans="1:9" ht="13" x14ac:dyDescent="0.3">
      <c r="D30" s="13" t="s">
        <v>170</v>
      </c>
      <c r="E30" s="84">
        <f>'分布式光伏经济性模型-分地区'!D1290</f>
        <v>1071</v>
      </c>
      <c r="F30" s="70">
        <f>'分布式光伏经济性模型-分地区'!D1295</f>
        <v>9.9701399642109889E-2</v>
      </c>
      <c r="G30" s="71">
        <f>'分布式光伏经济性模型-分地区'!D1291</f>
        <v>0.38844729049194315</v>
      </c>
      <c r="H30" s="71">
        <f>'分布式光伏经济性模型-分地区'!D1292</f>
        <v>0.57928284037446742</v>
      </c>
      <c r="I30" s="76">
        <f>'分布式光伏经济性模型-分地区'!D1294</f>
        <v>5.8468579016174971</v>
      </c>
    </row>
    <row r="31" spans="1:9" ht="13" x14ac:dyDescent="0.3">
      <c r="D31" s="13" t="s">
        <v>171</v>
      </c>
      <c r="E31" s="84">
        <f>'分布式光伏经济性模型-分地区'!D1336</f>
        <v>1063</v>
      </c>
      <c r="F31" s="70">
        <f>'分布式光伏经济性模型-分地区'!D1341</f>
        <v>9.8787316489960197E-2</v>
      </c>
      <c r="G31" s="71">
        <f>'分布式光伏经济性模型-分地区'!D1337</f>
        <v>0.39024758054268222</v>
      </c>
      <c r="H31" s="71">
        <f>'分布式光伏经济性模型-分地区'!D1338</f>
        <v>0.58267019710861256</v>
      </c>
      <c r="I31" s="76">
        <f>'分布式光伏经济性模型-分地区'!D1340</f>
        <v>5.6598598263547064</v>
      </c>
    </row>
    <row r="32" spans="1:9" ht="13" x14ac:dyDescent="0.3">
      <c r="D32" s="13" t="s">
        <v>172</v>
      </c>
      <c r="E32" s="84">
        <f>'分布式光伏经济性模型-分地区'!D1382</f>
        <v>1063</v>
      </c>
      <c r="F32" s="70">
        <f>'分布式光伏经济性模型-分地区'!D1387</f>
        <v>7.7314954037421391E-2</v>
      </c>
      <c r="G32" s="71">
        <f>'分布式光伏经济性模型-分地区'!D1383</f>
        <v>0.36462476970934893</v>
      </c>
      <c r="H32" s="71">
        <f>'分布式光伏经济性模型-分地区'!D1384</f>
        <v>0.56048918960581562</v>
      </c>
      <c r="I32" s="76">
        <f>'分布式光伏经济性模型-分地区'!D1386</f>
        <v>1.3936704287642152</v>
      </c>
    </row>
    <row r="33" spans="1:9" ht="13" x14ac:dyDescent="0.3">
      <c r="D33" s="13" t="s">
        <v>173</v>
      </c>
      <c r="E33" s="84">
        <f>'分布式光伏经济性模型-分地区'!D1428</f>
        <v>1055</v>
      </c>
      <c r="F33" s="70">
        <f>'分布式光伏经济性模型-分地区'!D1433</f>
        <v>9.053848208645765E-2</v>
      </c>
      <c r="G33" s="71">
        <f>'分布式光伏经济性模型-分地区'!D1429</f>
        <v>0.38311105872057305</v>
      </c>
      <c r="H33" s="71">
        <f>'分布式光伏经济性模型-分地区'!D1430</f>
        <v>0.57834892269484561</v>
      </c>
      <c r="I33" s="76">
        <f>'分布式光伏经济性模型-分地区'!D1432</f>
        <v>3.9915721670876088</v>
      </c>
    </row>
    <row r="34" spans="1:9" ht="13" x14ac:dyDescent="0.3">
      <c r="D34" s="13" t="s">
        <v>174</v>
      </c>
      <c r="E34" s="84">
        <f>'分布式光伏经济性模型-分地区'!D1474</f>
        <v>1032</v>
      </c>
      <c r="F34" s="70">
        <f>'分布式光伏经济性模型-分地区'!D1479</f>
        <v>5.8857916038486113E-2</v>
      </c>
      <c r="G34" s="71">
        <f>'分布式光伏经济性模型-分地区'!D1475</f>
        <v>0.35421826367913889</v>
      </c>
      <c r="H34" s="71">
        <f>'分布式光伏经济性模型-分地区'!D1476</f>
        <v>0.55883532284538084</v>
      </c>
      <c r="I34" s="76">
        <f>'分布式光伏经济性模型-分地区'!D1478</f>
        <v>-2.0589471284102752</v>
      </c>
    </row>
    <row r="35" spans="1:9" ht="13" x14ac:dyDescent="0.3">
      <c r="D35" s="13" t="s">
        <v>175</v>
      </c>
      <c r="E35" s="84">
        <f>'分布式光伏经济性模型-分地区'!D1520</f>
        <v>1013</v>
      </c>
      <c r="F35" s="70">
        <f>'分布式光伏经济性模型-分地区'!D1525</f>
        <v>9.7768514016625785E-2</v>
      </c>
      <c r="G35" s="71">
        <f>'分布式光伏经济性模型-分地区'!D1521</f>
        <v>0.40819908239572678</v>
      </c>
      <c r="H35" s="71">
        <f>'分布式光伏经济性模型-分地区'!D1522</f>
        <v>0.6102953902662106</v>
      </c>
      <c r="I35" s="76">
        <f>'分布式光伏经济性模型-分地区'!D1524</f>
        <v>5.4519298377909298</v>
      </c>
    </row>
    <row r="36" spans="1:9" ht="13" x14ac:dyDescent="0.3">
      <c r="D36" s="13" t="s">
        <v>176</v>
      </c>
      <c r="E36" s="84">
        <f>'分布式光伏经济性模型-分地区'!D1566</f>
        <v>998</v>
      </c>
      <c r="F36" s="70">
        <f>'分布式光伏经济性模型-分地区'!D1571</f>
        <v>0.12763244637243032</v>
      </c>
      <c r="G36" s="71">
        <f>'分布式光伏经济性模型-分地区'!D1567</f>
        <v>0.45459820452592314</v>
      </c>
      <c r="H36" s="71">
        <f>'分布式光伏经济性模型-分地区'!D1568</f>
        <v>0.65432355806280329</v>
      </c>
      <c r="I36" s="76">
        <f>'分布式光伏经济性模型-分地区'!D1570</f>
        <v>11.745920639289421</v>
      </c>
    </row>
    <row r="37" spans="1:9" ht="13" x14ac:dyDescent="0.3">
      <c r="D37" s="13" t="s">
        <v>177</v>
      </c>
      <c r="E37" s="84">
        <f>'分布式光伏经济性模型-分地区'!D1612</f>
        <v>993</v>
      </c>
      <c r="F37" s="70">
        <f>'分布式光伏经济性模型-分地区'!D1617</f>
        <v>0.10081513666927067</v>
      </c>
      <c r="G37" s="71">
        <f>'分布式光伏经济性模型-分地区'!D1613</f>
        <v>0.42042824633874243</v>
      </c>
      <c r="H37" s="71">
        <f>'分布式光伏经济性模型-分地区'!D1614</f>
        <v>0.62605664517656834</v>
      </c>
      <c r="I37" s="76">
        <f>'分布式光伏经济性模型-分地区'!D1616</f>
        <v>6.0752585535978261</v>
      </c>
    </row>
    <row r="38" spans="1:9" ht="13" x14ac:dyDescent="0.3">
      <c r="D38" s="13" t="s">
        <v>178</v>
      </c>
      <c r="E38" s="84">
        <f>'分布式光伏经济性模型-分地区'!D1658</f>
        <v>917</v>
      </c>
      <c r="F38" s="70">
        <f>'分布式光伏经济性模型-分地区'!D1663</f>
        <v>7.4208781480988861E-2</v>
      </c>
      <c r="G38" s="71">
        <f>'分布式光伏经济性模型-分地区'!D1659</f>
        <v>0.41853085358982689</v>
      </c>
      <c r="H38" s="71">
        <f>'分布式光伏经济性模型-分地区'!D1660</f>
        <v>0.64613692176192083</v>
      </c>
      <c r="I38" s="76">
        <f>'分布式光伏经济性模型-分地区'!D1662</f>
        <v>0.79794661927151145</v>
      </c>
    </row>
    <row r="39" spans="1:9" ht="13" x14ac:dyDescent="0.3">
      <c r="D39" s="13" t="s">
        <v>179</v>
      </c>
      <c r="E39" s="84">
        <f>'分布式光伏经济性模型-分地区'!D1704</f>
        <v>902</v>
      </c>
      <c r="F39" s="70">
        <f>'分布式光伏经济性模型-分地区'!D1709</f>
        <v>8.2333809803224911E-2</v>
      </c>
      <c r="G39" s="71">
        <f>'分布式光伏经济性模型-分地区'!D1705</f>
        <v>0.43660467233947292</v>
      </c>
      <c r="H39" s="71">
        <f>'分布式光伏经济性模型-分地区'!D1706</f>
        <v>0.66650289813270824</v>
      </c>
      <c r="I39" s="76">
        <f>'分布式光伏经济性模型-分地区'!D1708</f>
        <v>2.3681217343979069</v>
      </c>
    </row>
    <row r="40" spans="1:9" ht="13" x14ac:dyDescent="0.3">
      <c r="D40" s="13" t="s">
        <v>180</v>
      </c>
      <c r="E40" s="84">
        <f>'分布式光伏经济性模型-分地区'!D1750</f>
        <v>861</v>
      </c>
      <c r="F40" s="70">
        <f>'分布式光伏经济性模型-分地区'!D1755</f>
        <v>7.0000414728162097E-2</v>
      </c>
      <c r="G40" s="71">
        <f>'分布式光伏经济性模型-分地区'!D1751</f>
        <v>0.43983610118103511</v>
      </c>
      <c r="H40" s="71">
        <f>'分布式光伏经济性模型-分地区'!D1752</f>
        <v>0.68304052365979362</v>
      </c>
      <c r="I40" s="76">
        <f>'分布式光伏经济性模型-分地区'!D1754</f>
        <v>7.8094693764629852E-5</v>
      </c>
    </row>
    <row r="41" spans="1:9" ht="13.5" thickBot="1" x14ac:dyDescent="0.35">
      <c r="D41" s="23" t="s">
        <v>181</v>
      </c>
      <c r="E41" s="85">
        <f>'分布式光伏经济性模型-分地区'!D1796</f>
        <v>655</v>
      </c>
      <c r="F41" s="79">
        <f>'分布式光伏经济性模型-分地区'!D1801</f>
        <v>4.3654948735116772E-2</v>
      </c>
      <c r="G41" s="80">
        <f>'分布式光伏经济性模型-分地区'!D1797</f>
        <v>0.53201301669242429</v>
      </c>
      <c r="H41" s="80">
        <f>'分布式光伏经济性模型-分地区'!D1798</f>
        <v>0.85790572388715058</v>
      </c>
      <c r="I41" s="81">
        <f>'分布式光伏经济性模型-分地区'!D1800</f>
        <v>-4.7349588924071302</v>
      </c>
    </row>
    <row r="42" spans="1:9" ht="12" thickTop="1" x14ac:dyDescent="0.25"/>
    <row r="44" spans="1:9" s="82" customFormat="1" ht="14" x14ac:dyDescent="0.3">
      <c r="A44" s="11" t="s">
        <v>24</v>
      </c>
      <c r="E44" s="87"/>
    </row>
    <row r="45" spans="1:9" s="82" customFormat="1" ht="14" x14ac:dyDescent="0.3">
      <c r="A45" s="12" t="s">
        <v>63</v>
      </c>
      <c r="E45" s="87"/>
    </row>
    <row r="46" spans="1:9" s="82" customFormat="1" ht="14" x14ac:dyDescent="0.3">
      <c r="A46" s="11" t="s">
        <v>23</v>
      </c>
      <c r="E46" s="87"/>
    </row>
    <row r="47" spans="1:9" s="82" customFormat="1" ht="14" x14ac:dyDescent="0.3">
      <c r="A47" s="11" t="s">
        <v>27</v>
      </c>
      <c r="E47" s="87"/>
    </row>
  </sheetData>
  <phoneticPr fontId="3" type="noConversion"/>
  <hyperlinks>
    <hyperlink ref="A45" r:id="rId1" xr:uid="{8D2C56EA-4522-410B-A0EC-14007320245E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2989-CBD6-4993-96E7-CBDD0C80BA1A}">
  <dimension ref="B1:AA41"/>
  <sheetViews>
    <sheetView topLeftCell="B1" zoomScale="85" zoomScaleNormal="85" workbookViewId="0">
      <selection activeCell="B1" sqref="A1:XFD1048576"/>
    </sheetView>
  </sheetViews>
  <sheetFormatPr defaultRowHeight="14" outlineLevelRow="1" x14ac:dyDescent="0.3"/>
  <cols>
    <col min="1" max="1" width="8.6640625" style="82"/>
    <col min="2" max="2" width="4.75" style="82" bestFit="1" customWidth="1"/>
    <col min="3" max="3" width="26.4140625" style="82" bestFit="1" customWidth="1"/>
    <col min="4" max="4" width="6" style="82" bestFit="1" customWidth="1"/>
    <col min="5" max="5" width="8.6640625" style="82"/>
    <col min="6" max="6" width="40.6640625" style="82" customWidth="1"/>
    <col min="7" max="7" width="9.08203125" style="82" bestFit="1" customWidth="1"/>
    <col min="8" max="16384" width="8.6640625" style="82"/>
  </cols>
  <sheetData>
    <row r="1" spans="2:27" s="11" customFormat="1" ht="13" x14ac:dyDescent="0.3">
      <c r="B1" s="11" t="s">
        <v>130</v>
      </c>
      <c r="C1" s="11" t="s">
        <v>52</v>
      </c>
    </row>
    <row r="2" spans="2:27" s="11" customFormat="1" ht="13" x14ac:dyDescent="0.3">
      <c r="C2" s="11" t="s">
        <v>141</v>
      </c>
      <c r="D2" s="54">
        <f>D33</f>
        <v>1163</v>
      </c>
    </row>
    <row r="3" spans="2:27" s="11" customFormat="1" ht="13" outlineLevel="1" x14ac:dyDescent="0.3">
      <c r="C3" s="16" t="s">
        <v>78</v>
      </c>
      <c r="D3" s="37">
        <f>G27/G33*1000</f>
        <v>0.21682188105008351</v>
      </c>
      <c r="E3" s="20"/>
      <c r="F3" s="38" t="s">
        <v>75</v>
      </c>
    </row>
    <row r="4" spans="2:27" s="11" customFormat="1" ht="13" outlineLevel="1" x14ac:dyDescent="0.3">
      <c r="C4" s="13" t="s">
        <v>77</v>
      </c>
      <c r="D4" s="39">
        <f>G8/G14*1000</f>
        <v>0.40532962713043807</v>
      </c>
      <c r="F4" s="13" t="s">
        <v>25</v>
      </c>
      <c r="G4" s="14">
        <v>7.0000000000000007E-2</v>
      </c>
    </row>
    <row r="5" spans="2:27" s="11" customFormat="1" ht="13" outlineLevel="1" x14ac:dyDescent="0.3">
      <c r="C5" s="13" t="s">
        <v>61</v>
      </c>
      <c r="D5" s="36">
        <f>G21</f>
        <v>0.14176792273888658</v>
      </c>
      <c r="F5" s="13" t="s">
        <v>26</v>
      </c>
      <c r="G5" s="14">
        <v>0.25</v>
      </c>
    </row>
    <row r="6" spans="2:27" s="11" customFormat="1" ht="13" outlineLevel="1" x14ac:dyDescent="0.3">
      <c r="C6" s="13" t="s">
        <v>73</v>
      </c>
      <c r="D6" s="25">
        <f>SUM(G20:AA20)</f>
        <v>3.4891921144494757</v>
      </c>
      <c r="F6" s="1" t="s">
        <v>44</v>
      </c>
      <c r="G6" s="4"/>
      <c r="H6" s="5">
        <v>1</v>
      </c>
      <c r="I6" s="5">
        <v>2</v>
      </c>
      <c r="J6" s="5">
        <v>3</v>
      </c>
      <c r="K6" s="5">
        <v>4</v>
      </c>
      <c r="L6" s="5">
        <v>5</v>
      </c>
      <c r="M6" s="5">
        <v>6</v>
      </c>
      <c r="N6" s="5">
        <v>7</v>
      </c>
      <c r="O6" s="5">
        <v>8</v>
      </c>
      <c r="P6" s="5">
        <v>9</v>
      </c>
      <c r="Q6" s="5">
        <v>10</v>
      </c>
      <c r="R6" s="5">
        <v>11</v>
      </c>
      <c r="S6" s="5">
        <v>12</v>
      </c>
      <c r="T6" s="5">
        <v>13</v>
      </c>
      <c r="U6" s="5">
        <v>14</v>
      </c>
      <c r="V6" s="5">
        <v>15</v>
      </c>
      <c r="W6" s="5">
        <v>16</v>
      </c>
      <c r="X6" s="5">
        <v>17</v>
      </c>
      <c r="Y6" s="5">
        <v>18</v>
      </c>
      <c r="Z6" s="5">
        <v>19</v>
      </c>
      <c r="AA6" s="5">
        <v>20</v>
      </c>
    </row>
    <row r="7" spans="2:27" s="11" customFormat="1" ht="13.5" outlineLevel="1" thickBot="1" x14ac:dyDescent="0.35">
      <c r="C7" s="23" t="s">
        <v>68</v>
      </c>
      <c r="D7" s="26">
        <f>G40</f>
        <v>8.8019312989667142E-2</v>
      </c>
      <c r="F7" s="16"/>
      <c r="G7" s="2" t="s">
        <v>0</v>
      </c>
      <c r="H7" s="2" t="s">
        <v>1</v>
      </c>
      <c r="I7" s="2" t="s">
        <v>2</v>
      </c>
      <c r="J7" s="2" t="s">
        <v>3</v>
      </c>
      <c r="K7" s="2" t="s">
        <v>4</v>
      </c>
      <c r="L7" s="2" t="s">
        <v>5</v>
      </c>
      <c r="M7" s="2" t="s">
        <v>6</v>
      </c>
      <c r="N7" s="2" t="s">
        <v>7</v>
      </c>
      <c r="O7" s="2" t="s">
        <v>8</v>
      </c>
      <c r="P7" s="2" t="s">
        <v>9</v>
      </c>
      <c r="Q7" s="2" t="s">
        <v>10</v>
      </c>
      <c r="R7" s="2" t="s">
        <v>11</v>
      </c>
      <c r="S7" s="2" t="s">
        <v>12</v>
      </c>
      <c r="T7" s="2" t="s">
        <v>13</v>
      </c>
      <c r="U7" s="2" t="s">
        <v>45</v>
      </c>
      <c r="V7" s="2" t="s">
        <v>46</v>
      </c>
      <c r="W7" s="2" t="s">
        <v>47</v>
      </c>
      <c r="X7" s="2" t="s">
        <v>48</v>
      </c>
      <c r="Y7" s="2" t="s">
        <v>49</v>
      </c>
      <c r="Z7" s="2" t="s">
        <v>50</v>
      </c>
      <c r="AA7" s="2" t="s">
        <v>127</v>
      </c>
    </row>
    <row r="8" spans="2:27" s="11" customFormat="1" ht="13.5" outlineLevel="1" thickTop="1" x14ac:dyDescent="0.3">
      <c r="F8" s="6" t="s">
        <v>14</v>
      </c>
      <c r="G8" s="33">
        <f>D34</f>
        <v>24.611999999999995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2:27" s="11" customFormat="1" ht="13" outlineLevel="1" x14ac:dyDescent="0.3">
      <c r="C9" s="11" t="s">
        <v>71</v>
      </c>
      <c r="F9" s="6" t="s">
        <v>15</v>
      </c>
      <c r="G9" s="33">
        <f>SUM(H10:AA10)</f>
        <v>12.385144234005573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2:27" s="11" customFormat="1" ht="13" outlineLevel="1" x14ac:dyDescent="0.3">
      <c r="C10" s="18" t="s">
        <v>53</v>
      </c>
      <c r="D10" s="19">
        <f>分布式光伏电站IRR汇总!$B$2</f>
        <v>6</v>
      </c>
      <c r="F10" s="7" t="s">
        <v>16</v>
      </c>
      <c r="G10" s="33"/>
      <c r="H10" s="33">
        <f>D34*(1-D32)/D28/((1+G4)^H6)</f>
        <v>1.0925887850467286</v>
      </c>
      <c r="I10" s="33">
        <f>D34*(1-D32)/D28/((1+G4)^I6)</f>
        <v>1.0211110140623632</v>
      </c>
      <c r="J10" s="33">
        <f>D34*(1-D32)/D28/((1+G4)^J6)</f>
        <v>0.95430935893678792</v>
      </c>
      <c r="K10" s="33">
        <f>D34*(1-D32)/D28/((1+G4)^K6)</f>
        <v>0.89187790554839996</v>
      </c>
      <c r="L10" s="33">
        <f>D34*(1-D32)/D28/((1+G4)^L6)</f>
        <v>0.83353075284897193</v>
      </c>
      <c r="M10" s="33">
        <f>D34*(1-D32)/D28/((1+G4)^M6)</f>
        <v>0.77900070359717</v>
      </c>
      <c r="N10" s="33">
        <f>D34*(1-D32)/D28/((1+G4)^N6)</f>
        <v>0.72803804074501866</v>
      </c>
      <c r="O10" s="33">
        <f>D34*(1-D32)/D28/((1+G4)^O6)</f>
        <v>0.6804093838738493</v>
      </c>
      <c r="P10" s="33">
        <f>D34*(1-D32)/D28/((1+G4)^P6)</f>
        <v>0.63589662044284967</v>
      </c>
      <c r="Q10" s="33">
        <f>D34*(1-D32)/D28/((1+G4)^Q6)</f>
        <v>0.59429590695593437</v>
      </c>
      <c r="R10" s="33">
        <f>D34*(1-D32)/D28/((1+G4)^R6)</f>
        <v>0.55541673547283577</v>
      </c>
      <c r="S10" s="33">
        <f>D34*(1-D32)/D28/((1+G4)^S6)</f>
        <v>0.51908106118956621</v>
      </c>
      <c r="T10" s="33">
        <f>D34*(1-D32)/D28/((1+G4)^T6)</f>
        <v>0.4851224870930525</v>
      </c>
      <c r="U10" s="33">
        <f>D34*(1-D32)/D28/((1+G4)^U6)</f>
        <v>0.45338550195612387</v>
      </c>
      <c r="V10" s="33">
        <f>D34*(1-D32)/D28/((1+G4)^V6)</f>
        <v>0.4237247681832933</v>
      </c>
      <c r="W10" s="33">
        <f>D34*(1-D32)/D28/((1+G4)^W6)</f>
        <v>0.39600445624606856</v>
      </c>
      <c r="X10" s="33">
        <f>D34*(1-D32)/D28/((1+G4)^X6)</f>
        <v>0.37009762265987711</v>
      </c>
      <c r="Y10" s="33">
        <f>D34*(1-D32)/D28/((1+G4)^Y6)</f>
        <v>0.34588562865409078</v>
      </c>
      <c r="Z10" s="33">
        <f>D34*(1-D32)/D28/((1+G4)^Z6)</f>
        <v>0.323257596872982</v>
      </c>
      <c r="AA10" s="33">
        <f>D34*(1-D32)/D28/((1+G4)^AA6)</f>
        <v>0.30210990361960938</v>
      </c>
    </row>
    <row r="11" spans="2:27" s="11" customFormat="1" ht="13" outlineLevel="1" x14ac:dyDescent="0.3">
      <c r="C11" s="18" t="s">
        <v>56</v>
      </c>
      <c r="D11" s="19">
        <f>分布式光伏电站IRR汇总!$B$3</f>
        <v>120</v>
      </c>
      <c r="F11" s="6" t="s">
        <v>17</v>
      </c>
      <c r="G11" s="33">
        <f>SUM(H12:AA12)</f>
        <v>2.5425634189238777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2:27" s="11" customFormat="1" ht="13" outlineLevel="1" x14ac:dyDescent="0.3">
      <c r="C12" s="18" t="s">
        <v>57</v>
      </c>
      <c r="D12" s="19">
        <f>分布式光伏电站IRR汇总!$B$4</f>
        <v>3</v>
      </c>
      <c r="F12" s="7" t="s">
        <v>18</v>
      </c>
      <c r="G12" s="33"/>
      <c r="H12" s="33">
        <f>D31*D10/((1+G4)^H6)</f>
        <v>0.22429906542056072</v>
      </c>
      <c r="I12" s="33">
        <f>D31*D10/((1+G4)^I6)</f>
        <v>0.20962529478557079</v>
      </c>
      <c r="J12" s="33">
        <f>D31*D10/((1+G4)^J6)</f>
        <v>0.19591149045380446</v>
      </c>
      <c r="K12" s="33">
        <f>D31*D10/((1+G4)^K6)</f>
        <v>0.18309485089140604</v>
      </c>
      <c r="L12" s="33">
        <f>D31*D10/((1+G4)^L6)</f>
        <v>0.17111668307608041</v>
      </c>
      <c r="M12" s="33">
        <f>D31*D10/((1+G4)^M6)</f>
        <v>0.15992213371596301</v>
      </c>
      <c r="N12" s="33">
        <f>D31*D10/((1+G4)^N6)</f>
        <v>0.14945993805230187</v>
      </c>
      <c r="O12" s="33">
        <f>D31*D10/((1+G4)^O6)</f>
        <v>0.13968218509560923</v>
      </c>
      <c r="P12" s="33">
        <f>D31*D10/((1+G4)^P6)</f>
        <v>0.13054409822019553</v>
      </c>
      <c r="Q12" s="33">
        <f>D31*D10/((1+G4)^Q6)</f>
        <v>0.12200383011233226</v>
      </c>
      <c r="R12" s="33">
        <f>D31*D10/((1+G4)^R6)</f>
        <v>0.1140222711330208</v>
      </c>
      <c r="S12" s="33">
        <f>D31*D10/((1+G4)^S6)</f>
        <v>0.10656287021777647</v>
      </c>
      <c r="T12" s="33">
        <f>D31*D10/((1+G4)^T6)</f>
        <v>9.9591467493249028E-2</v>
      </c>
      <c r="U12" s="33">
        <f>D31*D10/((1+G4)^U6)</f>
        <v>9.3076137844157969E-2</v>
      </c>
      <c r="V12" s="33">
        <f>D31*D10/((1+G4)^V6)</f>
        <v>8.6987044714166323E-2</v>
      </c>
      <c r="W12" s="33">
        <f>D31*D10/((1+G4)^W6)</f>
        <v>8.1296303471183481E-2</v>
      </c>
      <c r="X12" s="33">
        <f>D31*D10/((1+G4)^X6)</f>
        <v>7.5977853711386434E-2</v>
      </c>
      <c r="Y12" s="33">
        <f>D31*D10/((1+G4)^Y6)</f>
        <v>7.1007339917183582E-2</v>
      </c>
      <c r="Z12" s="33">
        <f>D31*D10/((1+G4)^Z6)</f>
        <v>6.6361999922601472E-2</v>
      </c>
      <c r="AA12" s="33">
        <f>D31*D10/((1+G4)^AA6)</f>
        <v>6.2020560675328483E-2</v>
      </c>
    </row>
    <row r="13" spans="2:27" s="11" customFormat="1" ht="13" outlineLevel="1" x14ac:dyDescent="0.3">
      <c r="C13" s="18" t="s">
        <v>54</v>
      </c>
      <c r="D13" s="19">
        <f>分布式光伏电站IRR汇总!$B$5</f>
        <v>5</v>
      </c>
      <c r="F13" s="6" t="s">
        <v>19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>
        <f>D31*D34/((1+G4)^AA6)</f>
        <v>0.2544083398901974</v>
      </c>
    </row>
    <row r="14" spans="2:27" s="11" customFormat="1" ht="13" outlineLevel="1" x14ac:dyDescent="0.3">
      <c r="C14" s="18" t="s">
        <v>55</v>
      </c>
      <c r="D14" s="19">
        <f>分布式光伏电站IRR汇总!$B$6</f>
        <v>15</v>
      </c>
      <c r="F14" s="8" t="s">
        <v>64</v>
      </c>
      <c r="G14" s="33">
        <f>SUM(H15:AA15)</f>
        <v>60720.949944474873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2:27" s="11" customFormat="1" ht="13" outlineLevel="1" x14ac:dyDescent="0.3">
      <c r="C15" s="18" t="s">
        <v>42</v>
      </c>
      <c r="D15" s="19">
        <f>分布式光伏电站IRR汇总!$B$7</f>
        <v>4.1019999999999994</v>
      </c>
      <c r="F15" s="9" t="s">
        <v>65</v>
      </c>
      <c r="G15" s="33"/>
      <c r="H15" s="33">
        <f>D10*D27*(1-D29)*D33/((1+G4)^H6)</f>
        <v>5534.6626542056065</v>
      </c>
      <c r="I15" s="33">
        <f>D10*D27*(1-D29)*(1-D30)^(I6-1)*D33/((1+G4)^I6)</f>
        <v>5149.3053011791417</v>
      </c>
      <c r="J15" s="33">
        <f>D10*D27*(1-D29)*(1-D30)^(J6-1)*D33/((1+G4)^J6)</f>
        <v>4790.778904040968</v>
      </c>
      <c r="K15" s="33">
        <f>D10*D27*(1-D29)*(1-D30)^(K6-1)*D33/((1+G4)^K6)</f>
        <v>4457.2153261427893</v>
      </c>
      <c r="L15" s="33">
        <f>D10*D27*(1-D29)*(1-D30)^(L6-1)*D33/((1+G4)^L6)</f>
        <v>4146.8765020328474</v>
      </c>
      <c r="M15" s="33">
        <f>D10*D27*(1-D29)*(1-D30)^(M6-1)*D33/((1+G4)^M6)</f>
        <v>3858.1453810969156</v>
      </c>
      <c r="N15" s="33">
        <f>D10*D27*(1-D29)*(1-D30)^(N6-1)*D33/((1+G4)^N6)</f>
        <v>3589.5175017588595</v>
      </c>
      <c r="O15" s="33">
        <f>D10*D27*(1-D29)*(1-D30)^(O6-1)*D33/((1+G4)^O6)</f>
        <v>3339.5931523373315</v>
      </c>
      <c r="P15" s="33">
        <f>D10*D27*(1-D29)*(1-D30)^(P6-1)*D33/((1+G4)^P6)</f>
        <v>3107.070077711975</v>
      </c>
      <c r="Q15" s="33">
        <f>D10*D27*(1-D29)*(1-D30)^(Q6-1)*D33/((1+G4)^Q6)</f>
        <v>2890.7366937965157</v>
      </c>
      <c r="R15" s="33">
        <f>D10*D27*(1-D29)*(1-D30)^(R6-1)*D33/((1+G4)^R6)</f>
        <v>2689.4657744620854</v>
      </c>
      <c r="S15" s="33">
        <f>D10*D27*(1-D29)*(1-D30)^(S6-1)*D33/((1+G4)^S6)</f>
        <v>2502.2085780158936</v>
      </c>
      <c r="T15" s="33">
        <f>D10*D27*(1-D29)*(1-D30)^(T6-1)*D33/((1+G4)^T6)</f>
        <v>2327.9893826306752</v>
      </c>
      <c r="U15" s="33">
        <f>D10*D27*(1-D29)*(1-D30)^(U6-1)*D33/((1+G4)^U6)</f>
        <v>2165.9004022512495</v>
      </c>
      <c r="V15" s="33">
        <f>D10*D27*(1-D29)*(1-D30)^(V6-1)*D33/((1+G4)^V6)</f>
        <v>2015.0970564870267</v>
      </c>
      <c r="W15" s="33">
        <f>D10*D27*(1-D29)*(1-D30)^(W6-1)*D33/((1+G4)^W6)</f>
        <v>1874.793569843772</v>
      </c>
      <c r="X15" s="33">
        <f>D10*D27*(1-D29)*(1-D30)^(X6-1)*D33/((1+G4)^X6)</f>
        <v>1744.2588773639952</v>
      </c>
      <c r="Y15" s="33">
        <f>D10*D27*(1-D29)*(1-D30)^(Y6-1)*D33/((1+G4)^Y6)</f>
        <v>1622.8128153419225</v>
      </c>
      <c r="Z15" s="33">
        <f>D10*D27*(1-D29)*(1-D30)^(Z6-1)*D33/((1+G4)^Z6)</f>
        <v>1509.822577264378</v>
      </c>
      <c r="AA15" s="33">
        <f>D10*D27*(1-D29)*(1-D30)^(AA6-1)*D33/((1+G4)^AA6)</f>
        <v>1404.6994165109238</v>
      </c>
    </row>
    <row r="16" spans="2:27" s="11" customFormat="1" ht="13" outlineLevel="1" x14ac:dyDescent="0.3">
      <c r="C16" s="21" t="s">
        <v>32</v>
      </c>
      <c r="D16" s="19">
        <f>分布式光伏电站IRR汇总!$B$8</f>
        <v>1.8870000000000002</v>
      </c>
      <c r="F16" s="4" t="s">
        <v>66</v>
      </c>
      <c r="G16" s="33">
        <f>SUM(H17:AA17)</f>
        <v>35.882438160187981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3:27" s="11" customFormat="1" ht="13" outlineLevel="1" x14ac:dyDescent="0.3">
      <c r="C17" s="21" t="s">
        <v>33</v>
      </c>
      <c r="D17" s="19">
        <f>分布式光伏电站IRR汇总!$B$9</f>
        <v>0.18500000000000003</v>
      </c>
      <c r="F17" s="7" t="s">
        <v>67</v>
      </c>
      <c r="G17" s="33"/>
      <c r="H17" s="33">
        <f t="shared" ref="H17:AA17" si="0">H15*$D$38/1000*$D$40+H15*$D$35/1000*(1-$D$40)</f>
        <v>3.2706535488762611</v>
      </c>
      <c r="I17" s="33">
        <f t="shared" si="0"/>
        <v>3.0429304746788017</v>
      </c>
      <c r="J17" s="33">
        <f t="shared" si="0"/>
        <v>2.8310628855539695</v>
      </c>
      <c r="K17" s="33">
        <f t="shared" si="0"/>
        <v>2.6339468248308195</v>
      </c>
      <c r="L17" s="33">
        <f t="shared" si="0"/>
        <v>2.4505552001112902</v>
      </c>
      <c r="M17" s="33">
        <f t="shared" si="0"/>
        <v>2.2799324315054115</v>
      </c>
      <c r="N17" s="33">
        <f t="shared" si="0"/>
        <v>2.1211894724893798</v>
      </c>
      <c r="O17" s="33">
        <f t="shared" si="0"/>
        <v>1.9734991774422226</v>
      </c>
      <c r="P17" s="33">
        <f t="shared" si="0"/>
        <v>1.8360919917231147</v>
      </c>
      <c r="Q17" s="33">
        <f t="shared" si="0"/>
        <v>1.7082519418321129</v>
      </c>
      <c r="R17" s="33">
        <f t="shared" si="0"/>
        <v>1.5893129047606247</v>
      </c>
      <c r="S17" s="33">
        <f t="shared" si="0"/>
        <v>1.4786551370927121</v>
      </c>
      <c r="T17" s="33">
        <f t="shared" si="0"/>
        <v>1.3757020457717712</v>
      </c>
      <c r="U17" s="33">
        <f t="shared" si="0"/>
        <v>1.2799171837063532</v>
      </c>
      <c r="V17" s="33">
        <f t="shared" si="0"/>
        <v>1.1908014545604435</v>
      </c>
      <c r="W17" s="33">
        <f t="shared" si="0"/>
        <v>1.1078905121634786</v>
      </c>
      <c r="X17" s="33">
        <f t="shared" si="0"/>
        <v>1.0307523409894792</v>
      </c>
      <c r="Y17" s="33">
        <f t="shared" si="0"/>
        <v>0.95898500509815554</v>
      </c>
      <c r="Z17" s="33">
        <f t="shared" si="0"/>
        <v>0.89221455380861148</v>
      </c>
      <c r="AA17" s="33">
        <f t="shared" si="0"/>
        <v>0.83009307319296533</v>
      </c>
    </row>
    <row r="18" spans="3:27" s="11" customFormat="1" ht="13" outlineLevel="1" x14ac:dyDescent="0.3">
      <c r="C18" s="21" t="s">
        <v>34</v>
      </c>
      <c r="D18" s="19">
        <f>分布式光伏电站IRR汇总!$B$10</f>
        <v>0.222</v>
      </c>
      <c r="F18" s="4" t="s">
        <v>20</v>
      </c>
      <c r="G18" s="33">
        <f>SUM(H19:V19)</f>
        <v>4.5572035719390378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spans="3:27" s="11" customFormat="1" ht="13" outlineLevel="1" x14ac:dyDescent="0.3">
      <c r="C19" s="21" t="s">
        <v>35</v>
      </c>
      <c r="D19" s="19">
        <f>分布式光伏电站IRR汇总!$B$11</f>
        <v>0.44400000000000001</v>
      </c>
      <c r="F19" s="7" t="s">
        <v>21</v>
      </c>
      <c r="G19" s="33"/>
      <c r="H19" s="33">
        <f>(H17-H10-H12)*G5</f>
        <v>0.48844142460224294</v>
      </c>
      <c r="I19" s="33">
        <f>(I17-I10-I12)*G5</f>
        <v>0.45304854145771695</v>
      </c>
      <c r="J19" s="33">
        <f>(J17-J10-J12)*G5</f>
        <v>0.42021050904084428</v>
      </c>
      <c r="K19" s="33">
        <f>(K17-K10-K12)*G5</f>
        <v>0.3897435170977534</v>
      </c>
      <c r="L19" s="33">
        <f>(L17-L10-L12)*G5</f>
        <v>0.36147694104655947</v>
      </c>
      <c r="M19" s="33">
        <f>(M17-M10-M12)*G5</f>
        <v>0.3352523985480696</v>
      </c>
      <c r="N19" s="33">
        <f>(N17-N10-N12)*G5</f>
        <v>0.31092287342301483</v>
      </c>
      <c r="O19" s="33">
        <f>(O17-O10-O12)*G5</f>
        <v>0.28835190211819106</v>
      </c>
      <c r="P19" s="33">
        <f>(P17-P10-P12)*G5</f>
        <v>0.26741281826501739</v>
      </c>
      <c r="Q19" s="33">
        <f>(Q17-Q10-Q12)*G5</f>
        <v>0.24798805119096157</v>
      </c>
      <c r="R19" s="33">
        <f>(R17-R10-R12)*G5</f>
        <v>0.22996847453869207</v>
      </c>
      <c r="S19" s="33">
        <f>(S17-S10-S12)*G5</f>
        <v>0.21325280142134237</v>
      </c>
      <c r="T19" s="33">
        <f>(T17-T10-T12)*G5</f>
        <v>0.19774702279636744</v>
      </c>
      <c r="U19" s="33">
        <f>(U17-U10-U12)*G5</f>
        <v>0.18336388597651782</v>
      </c>
      <c r="V19" s="33">
        <f>(V17-V10-V12)*G5</f>
        <v>0.17002241041574598</v>
      </c>
      <c r="W19" s="33">
        <f>(W17-W10-W12)*G5</f>
        <v>0.15764743811155665</v>
      </c>
      <c r="X19" s="33">
        <f>(X17-X10-X12)*G5</f>
        <v>0.14616921615455392</v>
      </c>
      <c r="Y19" s="33">
        <f>(Y17-Y10-Y12)*G5</f>
        <v>0.1355230091317203</v>
      </c>
      <c r="Z19" s="33">
        <f>(Z17-Z10-Z12)*G5</f>
        <v>0.12564873925325698</v>
      </c>
      <c r="AA19" s="33">
        <f>(AA17-AA10-AA12)*G5</f>
        <v>0.11649065222450686</v>
      </c>
    </row>
    <row r="20" spans="3:27" s="11" customFormat="1" ht="13" outlineLevel="1" x14ac:dyDescent="0.3">
      <c r="C20" s="21" t="s">
        <v>36</v>
      </c>
      <c r="D20" s="19">
        <f>分布式光伏电站IRR汇总!$B$12</f>
        <v>0.222</v>
      </c>
      <c r="F20" s="10" t="s">
        <v>22</v>
      </c>
      <c r="G20" s="33">
        <f>-G8</f>
        <v>-24.611999999999995</v>
      </c>
      <c r="H20" s="33">
        <f t="shared" ref="H20:AA20" si="1">H17-H19-H12</f>
        <v>2.5579130588534573</v>
      </c>
      <c r="I20" s="33">
        <f t="shared" si="1"/>
        <v>2.3802566384355144</v>
      </c>
      <c r="J20" s="33">
        <f t="shared" si="1"/>
        <v>2.2149408860593209</v>
      </c>
      <c r="K20" s="33">
        <f t="shared" si="1"/>
        <v>2.0611084568416604</v>
      </c>
      <c r="L20" s="33">
        <f t="shared" si="1"/>
        <v>1.9179615759886504</v>
      </c>
      <c r="M20" s="33">
        <f t="shared" si="1"/>
        <v>1.7847578992413788</v>
      </c>
      <c r="N20" s="33">
        <f t="shared" si="1"/>
        <v>1.660806661014063</v>
      </c>
      <c r="O20" s="33">
        <f t="shared" si="1"/>
        <v>1.5454650902284224</v>
      </c>
      <c r="P20" s="33">
        <f t="shared" si="1"/>
        <v>1.4381350752379016</v>
      </c>
      <c r="Q20" s="33">
        <f t="shared" si="1"/>
        <v>1.3382600605288191</v>
      </c>
      <c r="R20" s="33">
        <f t="shared" si="1"/>
        <v>1.2453221590889119</v>
      </c>
      <c r="S20" s="33">
        <f t="shared" si="1"/>
        <v>1.1588394654535932</v>
      </c>
      <c r="T20" s="33">
        <f t="shared" si="1"/>
        <v>1.0783635554821549</v>
      </c>
      <c r="U20" s="33">
        <f t="shared" si="1"/>
        <v>1.0034771598856773</v>
      </c>
      <c r="V20" s="33">
        <f t="shared" si="1"/>
        <v>0.93379199943053126</v>
      </c>
      <c r="W20" s="33">
        <f t="shared" si="1"/>
        <v>0.86894677058073844</v>
      </c>
      <c r="X20" s="33">
        <f t="shared" si="1"/>
        <v>0.80860527112353886</v>
      </c>
      <c r="Y20" s="33">
        <f t="shared" si="1"/>
        <v>0.75245465604925166</v>
      </c>
      <c r="Z20" s="33">
        <f t="shared" si="1"/>
        <v>0.70020381463275294</v>
      </c>
      <c r="AA20" s="33">
        <f t="shared" si="1"/>
        <v>0.65158186029313003</v>
      </c>
    </row>
    <row r="21" spans="3:27" s="11" customFormat="1" ht="13.5" outlineLevel="1" thickBot="1" x14ac:dyDescent="0.35">
      <c r="C21" s="21" t="s">
        <v>37</v>
      </c>
      <c r="D21" s="19">
        <f>分布式光伏电站IRR汇总!$B$13</f>
        <v>0.15</v>
      </c>
      <c r="F21" s="3" t="s">
        <v>61</v>
      </c>
      <c r="G21" s="35">
        <f>SUM(G20:AA20)/G8</f>
        <v>0.14176792273888658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3:27" s="11" customFormat="1" ht="13.5" outlineLevel="1" thickTop="1" x14ac:dyDescent="0.3">
      <c r="C22" s="21" t="s">
        <v>38</v>
      </c>
      <c r="D22" s="19">
        <f>分布式光伏电站IRR汇总!$B$14</f>
        <v>3.7000000000000005E-2</v>
      </c>
    </row>
    <row r="23" spans="3:27" s="11" customFormat="1" ht="13" outlineLevel="1" x14ac:dyDescent="0.3">
      <c r="C23" s="21" t="s">
        <v>39</v>
      </c>
      <c r="D23" s="19">
        <f>分布式光伏电站IRR汇总!$B$15</f>
        <v>0.25900000000000006</v>
      </c>
      <c r="F23" s="13" t="s">
        <v>25</v>
      </c>
      <c r="G23" s="14">
        <v>0</v>
      </c>
    </row>
    <row r="24" spans="3:27" s="11" customFormat="1" ht="13" outlineLevel="1" x14ac:dyDescent="0.3">
      <c r="C24" s="21" t="s">
        <v>40</v>
      </c>
      <c r="D24" s="19">
        <f>分布式光伏电站IRR汇总!$B$16</f>
        <v>7.400000000000001E-2</v>
      </c>
      <c r="F24" s="13" t="s">
        <v>26</v>
      </c>
      <c r="G24" s="14">
        <v>0.25</v>
      </c>
      <c r="Q24" s="15"/>
    </row>
    <row r="25" spans="3:27" s="11" customFormat="1" ht="13" outlineLevel="1" x14ac:dyDescent="0.3">
      <c r="C25" s="21" t="s">
        <v>41</v>
      </c>
      <c r="D25" s="19">
        <f>分布式光伏电站IRR汇总!$B$17</f>
        <v>0.222</v>
      </c>
      <c r="F25" s="1" t="s">
        <v>44</v>
      </c>
      <c r="G25" s="4"/>
      <c r="H25" s="5">
        <v>1</v>
      </c>
      <c r="I25" s="5">
        <v>2</v>
      </c>
      <c r="J25" s="5">
        <v>3</v>
      </c>
      <c r="K25" s="5">
        <v>4</v>
      </c>
      <c r="L25" s="5">
        <v>5</v>
      </c>
      <c r="M25" s="5">
        <v>6</v>
      </c>
      <c r="N25" s="5">
        <v>7</v>
      </c>
      <c r="O25" s="5">
        <v>8</v>
      </c>
      <c r="P25" s="5">
        <v>9</v>
      </c>
      <c r="Q25" s="5">
        <v>10</v>
      </c>
      <c r="R25" s="5">
        <v>11</v>
      </c>
      <c r="S25" s="5">
        <v>12</v>
      </c>
      <c r="T25" s="5">
        <v>13</v>
      </c>
      <c r="U25" s="5">
        <v>14</v>
      </c>
      <c r="V25" s="5">
        <v>15</v>
      </c>
      <c r="W25" s="5">
        <v>16</v>
      </c>
      <c r="X25" s="5">
        <v>17</v>
      </c>
      <c r="Y25" s="5">
        <v>18</v>
      </c>
      <c r="Z25" s="5">
        <v>19</v>
      </c>
      <c r="AA25" s="5">
        <v>20</v>
      </c>
    </row>
    <row r="26" spans="3:27" s="11" customFormat="1" ht="13" outlineLevel="1" x14ac:dyDescent="0.3">
      <c r="C26" s="21" t="s">
        <v>74</v>
      </c>
      <c r="D26" s="19">
        <f>分布式光伏电站IRR汇总!$B$18</f>
        <v>0.4</v>
      </c>
      <c r="F26" s="16"/>
      <c r="G26" s="2" t="s">
        <v>0</v>
      </c>
      <c r="H26" s="2" t="s">
        <v>1</v>
      </c>
      <c r="I26" s="2" t="s">
        <v>2</v>
      </c>
      <c r="J26" s="2" t="s">
        <v>3</v>
      </c>
      <c r="K26" s="2" t="s">
        <v>4</v>
      </c>
      <c r="L26" s="2" t="s">
        <v>5</v>
      </c>
      <c r="M26" s="2" t="s">
        <v>6</v>
      </c>
      <c r="N26" s="2" t="s">
        <v>7</v>
      </c>
      <c r="O26" s="2" t="s">
        <v>8</v>
      </c>
      <c r="P26" s="2" t="s">
        <v>9</v>
      </c>
      <c r="Q26" s="2" t="s">
        <v>10</v>
      </c>
      <c r="R26" s="2" t="s">
        <v>11</v>
      </c>
      <c r="S26" s="2" t="s">
        <v>12</v>
      </c>
      <c r="T26" s="2" t="s">
        <v>13</v>
      </c>
      <c r="U26" s="2" t="s">
        <v>45</v>
      </c>
      <c r="V26" s="2" t="s">
        <v>46</v>
      </c>
      <c r="W26" s="2" t="s">
        <v>47</v>
      </c>
      <c r="X26" s="2" t="s">
        <v>48</v>
      </c>
      <c r="Y26" s="2" t="s">
        <v>49</v>
      </c>
      <c r="Z26" s="2" t="s">
        <v>50</v>
      </c>
      <c r="AA26" s="2" t="s">
        <v>51</v>
      </c>
    </row>
    <row r="27" spans="3:27" s="11" customFormat="1" ht="13" outlineLevel="1" x14ac:dyDescent="0.3">
      <c r="C27" s="18" t="s">
        <v>58</v>
      </c>
      <c r="D27" s="19">
        <f>分布式光伏电站IRR汇总!$B$19</f>
        <v>0.86599999999999999</v>
      </c>
      <c r="F27" s="6" t="s">
        <v>14</v>
      </c>
      <c r="G27" s="33">
        <f>D34</f>
        <v>24.611999999999995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3:27" s="11" customFormat="1" ht="13" outlineLevel="1" x14ac:dyDescent="0.3">
      <c r="C28" s="18" t="s">
        <v>62</v>
      </c>
      <c r="D28" s="19">
        <f>分布式光伏电站IRR汇总!$B$20</f>
        <v>20</v>
      </c>
      <c r="F28" s="6" t="s">
        <v>15</v>
      </c>
      <c r="G28" s="33">
        <f>SUM(H29:AA29)</f>
        <v>23.381399999999985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3:27" s="11" customFormat="1" ht="13" outlineLevel="1" x14ac:dyDescent="0.3">
      <c r="C29" s="18" t="s">
        <v>59</v>
      </c>
      <c r="D29" s="52">
        <f>分布式光伏电站IRR汇总!$B$21</f>
        <v>0.02</v>
      </c>
      <c r="F29" s="7" t="s">
        <v>16</v>
      </c>
      <c r="G29" s="33"/>
      <c r="H29" s="33">
        <f>D34*(1-D32)/D28/((1+G23)^H25)</f>
        <v>1.1690699999999996</v>
      </c>
      <c r="I29" s="33">
        <f>D34*(1-D32)/D28/((1+G23)^I25)</f>
        <v>1.1690699999999996</v>
      </c>
      <c r="J29" s="33">
        <f>D34*(1-D32)/D28/((1+G23)^J25)</f>
        <v>1.1690699999999996</v>
      </c>
      <c r="K29" s="33">
        <f>D34*(1-D32)/D28/((1+G23)^K25)</f>
        <v>1.1690699999999996</v>
      </c>
      <c r="L29" s="33">
        <f>D34*(1-D32)/D28/((1+G23)^L25)</f>
        <v>1.1690699999999996</v>
      </c>
      <c r="M29" s="33">
        <f>D34*(1-D32)/D28/((1+G23)^M25)</f>
        <v>1.1690699999999996</v>
      </c>
      <c r="N29" s="33">
        <f>D34*(1-D32)/D28/((1+G23)^N25)</f>
        <v>1.1690699999999996</v>
      </c>
      <c r="O29" s="33">
        <f>D34*(1-D32)/D28/((1+G23)^O25)</f>
        <v>1.1690699999999996</v>
      </c>
      <c r="P29" s="33">
        <f>D34*(1-D32)/D28/((1+G23)^P25)</f>
        <v>1.1690699999999996</v>
      </c>
      <c r="Q29" s="33">
        <f>D34*(1-D32)/D28/((1+G23)^Q25)</f>
        <v>1.1690699999999996</v>
      </c>
      <c r="R29" s="33">
        <f>D34*(1-D32)/D28/((1+G23)^R25)</f>
        <v>1.1690699999999996</v>
      </c>
      <c r="S29" s="33">
        <f>D34*(1-D32)/D28/((1+G23)^S25)</f>
        <v>1.1690699999999996</v>
      </c>
      <c r="T29" s="33">
        <f>D34*(1-D32)/D28/((1+G23)^T25)</f>
        <v>1.1690699999999996</v>
      </c>
      <c r="U29" s="33">
        <f>D34*(1-D32)/D28/((1+G23)^U25)</f>
        <v>1.1690699999999996</v>
      </c>
      <c r="V29" s="33">
        <f>D34*(1-D32)/D28/((1+G23)^V25)</f>
        <v>1.1690699999999996</v>
      </c>
      <c r="W29" s="33">
        <f>D34*(1-D32)/D28/((1+G23)^W25)</f>
        <v>1.1690699999999996</v>
      </c>
      <c r="X29" s="33">
        <f>D34*(1-D32)/D28/((1+G23)^X25)</f>
        <v>1.1690699999999996</v>
      </c>
      <c r="Y29" s="33">
        <f>D34*(1-D32)/D28/((1+G23)^Y25)</f>
        <v>1.1690699999999996</v>
      </c>
      <c r="Z29" s="33">
        <f>D34*(1-D32)/D28/((1+G23)^Z25)</f>
        <v>1.1690699999999996</v>
      </c>
      <c r="AA29" s="33">
        <f>D34*(1-D32)/D28/((1+G23)^AA25)</f>
        <v>1.1690699999999996</v>
      </c>
    </row>
    <row r="30" spans="3:27" s="11" customFormat="1" ht="13" outlineLevel="1" x14ac:dyDescent="0.3">
      <c r="C30" s="18" t="s">
        <v>60</v>
      </c>
      <c r="D30" s="52">
        <f>分布式光伏电站IRR汇总!$B$22</f>
        <v>4.4999999999999997E-3</v>
      </c>
      <c r="F30" s="6" t="s">
        <v>17</v>
      </c>
      <c r="G30" s="33">
        <f>SUM(H31:AA31)</f>
        <v>4.8000000000000025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3:27" s="11" customFormat="1" ht="13" outlineLevel="1" x14ac:dyDescent="0.3">
      <c r="C31" s="18" t="s">
        <v>28</v>
      </c>
      <c r="D31" s="29">
        <f>分布式光伏电站IRR汇总!$B$23</f>
        <v>0.04</v>
      </c>
      <c r="F31" s="7" t="s">
        <v>18</v>
      </c>
      <c r="G31" s="33"/>
      <c r="H31" s="33">
        <f>D31*D10/((1+G23)^H25)</f>
        <v>0.24</v>
      </c>
      <c r="I31" s="33">
        <f>D31*D10/((1+G23)^I25)</f>
        <v>0.24</v>
      </c>
      <c r="J31" s="33">
        <f>D31*D10/((1+G23)^J25)</f>
        <v>0.24</v>
      </c>
      <c r="K31" s="33">
        <f>D31*D10/((1+G23)^K25)</f>
        <v>0.24</v>
      </c>
      <c r="L31" s="33">
        <f>D31*D10/((1+G23)^L25)</f>
        <v>0.24</v>
      </c>
      <c r="M31" s="33">
        <f>D31*D10/((1+G23)^M25)</f>
        <v>0.24</v>
      </c>
      <c r="N31" s="33">
        <f>D31*D10/((1+G23)^N25)</f>
        <v>0.24</v>
      </c>
      <c r="O31" s="33">
        <f>D31*D10/((1+G23)^O25)</f>
        <v>0.24</v>
      </c>
      <c r="P31" s="33">
        <f>D31*D10/((1+G23)^P25)</f>
        <v>0.24</v>
      </c>
      <c r="Q31" s="33">
        <f>D31*D10/((1+G23)^Q25)</f>
        <v>0.24</v>
      </c>
      <c r="R31" s="33">
        <f>D31*D10/((1+G23)^R25)</f>
        <v>0.24</v>
      </c>
      <c r="S31" s="33">
        <f>D31*D10/((1+G23)^S25)</f>
        <v>0.24</v>
      </c>
      <c r="T31" s="33">
        <f>D31*D10/((1+G23)^T25)</f>
        <v>0.24</v>
      </c>
      <c r="U31" s="33">
        <f>D31*D10/((1+G23)^U25)</f>
        <v>0.24</v>
      </c>
      <c r="V31" s="33">
        <f>D31*D10/((1+G23)^V25)</f>
        <v>0.24</v>
      </c>
      <c r="W31" s="33">
        <f>D31*D10/((1+G23)^W25)</f>
        <v>0.24</v>
      </c>
      <c r="X31" s="33">
        <f>D31*D10/((1+G23)^X25)</f>
        <v>0.24</v>
      </c>
      <c r="Y31" s="33">
        <f>D31*D10/((1+G23)^Y25)</f>
        <v>0.24</v>
      </c>
      <c r="Z31" s="33">
        <f>D31*D10/((1+G23)^Z25)</f>
        <v>0.24</v>
      </c>
      <c r="AA31" s="33">
        <f>D31*D10/((1+G23)^AA25)</f>
        <v>0.24</v>
      </c>
    </row>
    <row r="32" spans="3:27" s="11" customFormat="1" ht="13" outlineLevel="1" x14ac:dyDescent="0.3">
      <c r="C32" s="18" t="s">
        <v>43</v>
      </c>
      <c r="D32" s="19">
        <f>分布式光伏电站IRR汇总!$B$24</f>
        <v>0.05</v>
      </c>
      <c r="F32" s="6" t="s">
        <v>19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>
        <f>D31*D34/((1+G23)^AA25)</f>
        <v>0.9844799999999998</v>
      </c>
    </row>
    <row r="33" spans="3:27" s="11" customFormat="1" ht="13" outlineLevel="1" x14ac:dyDescent="0.3">
      <c r="C33" s="18" t="s">
        <v>126</v>
      </c>
      <c r="D33" s="28">
        <v>1163</v>
      </c>
      <c r="F33" s="8" t="s">
        <v>64</v>
      </c>
      <c r="G33" s="33">
        <f>SUM(H34:AA34)</f>
        <v>113512.52872082079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3:27" s="11" customFormat="1" ht="13" outlineLevel="1" x14ac:dyDescent="0.3">
      <c r="C34" s="24" t="s">
        <v>14</v>
      </c>
      <c r="D34" s="30">
        <f>D10*D15</f>
        <v>24.611999999999995</v>
      </c>
      <c r="F34" s="9" t="s">
        <v>65</v>
      </c>
      <c r="G34" s="33"/>
      <c r="H34" s="33">
        <f>D10*D27*(1-D29)*D33/((1+G23)^H25)</f>
        <v>5922.0890399999989</v>
      </c>
      <c r="I34" s="33">
        <f>D10*D27*(1-D29)*(1-D30)^(I25-1)*D33/((1+G23)^I25)</f>
        <v>5895.4396393199995</v>
      </c>
      <c r="J34" s="33">
        <f>D10*D27*(1-D29)*(1-D30)^(J25-1)*D33/((1+G23)^J25)</f>
        <v>5868.91016094306</v>
      </c>
      <c r="K34" s="33">
        <f>D10*D27*(1-D29)*(1-D30)^(K25-1)*D33/((1+G23)^K25)</f>
        <v>5842.5000652188173</v>
      </c>
      <c r="L34" s="33">
        <f>D10*D27*(1-D29)*(1-D30)^(L25-1)*D33/((1+G23)^L25)</f>
        <v>5816.2088149253323</v>
      </c>
      <c r="M34" s="33">
        <f>D10*D27*(1-D29)*(1-D30)^(M25-1)*D33/((1+G23)^M25)</f>
        <v>5790.0358752581687</v>
      </c>
      <c r="N34" s="33">
        <f>D10*D27*(1-D29)*(1-D30)^(N25-1)*D33/((1+G23)^N25)</f>
        <v>5763.9807138195074</v>
      </c>
      <c r="O34" s="33">
        <f>D10*D27*(1-D29)*(1-D30)^(O25-1)*D33/((1+G23)^O25)</f>
        <v>5738.0428006073198</v>
      </c>
      <c r="P34" s="33">
        <f>D10*D27*(1-D29)*(1-D30)^(P25-1)*D33/((1+G23)^P25)</f>
        <v>5712.2216080045873</v>
      </c>
      <c r="Q34" s="33">
        <f>D10*D27*(1-D29)*(1-D30)^(Q25-1)*D33/((1+G23)^Q25)</f>
        <v>5686.5166107685673</v>
      </c>
      <c r="R34" s="33">
        <f>D10*D27*(1-D29)*(1-D30)^(R25-1)*D33/((1+G23)^R25)</f>
        <v>5660.927286020109</v>
      </c>
      <c r="S34" s="33">
        <f>D10*D27*(1-D29)*(1-D30)^(S25-1)*D33/((1+G23)^S25)</f>
        <v>5635.4531132330185</v>
      </c>
      <c r="T34" s="33">
        <f>D10*D27*(1-D29)*(1-D30)^(T25-1)*D33/((1+G23)^T25)</f>
        <v>5610.0935742234706</v>
      </c>
      <c r="U34" s="33">
        <f>D10*D27*(1-D29)*(1-D30)^(U25-1)*D33/((1+G23)^U25)</f>
        <v>5584.8481531394646</v>
      </c>
      <c r="V34" s="33">
        <f>D10*D27*(1-D29)*(1-D30)^(V25-1)*D33/((1+G23)^V25)</f>
        <v>5559.7163364503367</v>
      </c>
      <c r="W34" s="33">
        <f>D10*D27*(1-D29)*(1-D30)^(W25-1)*D33/((1+G23)^W25)</f>
        <v>5534.697612936312</v>
      </c>
      <c r="X34" s="33">
        <f>D10*D27*(1-D29)*(1-D30)^(X25-1)*D33/((1+G23)^X25)</f>
        <v>5509.7914736780986</v>
      </c>
      <c r="Y34" s="33">
        <f>D10*D27*(1-D29)*(1-D30)^(Y25-1)*D33/((1+G23)^Y25)</f>
        <v>5484.9974120465467</v>
      </c>
      <c r="Z34" s="33">
        <f>D10*D27*(1-D29)*(1-D30)^(Z25-1)*D33/((1+G23)^Z25)</f>
        <v>5460.3149236923391</v>
      </c>
      <c r="AA34" s="33">
        <f>D10*D27*(1-D29)*(1-D30)^(AA25-1)*D33/((1+G23)^AA25)</f>
        <v>5435.743506535724</v>
      </c>
    </row>
    <row r="35" spans="3:27" s="11" customFormat="1" ht="13" outlineLevel="1" x14ac:dyDescent="0.3">
      <c r="C35" s="18" t="s">
        <v>29</v>
      </c>
      <c r="D35" s="29">
        <v>0.35980000000000001</v>
      </c>
      <c r="F35" s="4" t="s">
        <v>66</v>
      </c>
      <c r="G35" s="33">
        <f>SUM(H36:AA36)</f>
        <v>67.079093722281826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3:27" s="11" customFormat="1" ht="13" outlineLevel="1" x14ac:dyDescent="0.3">
      <c r="C36" s="18" t="s">
        <v>30</v>
      </c>
      <c r="D36" s="31">
        <v>0.69</v>
      </c>
      <c r="F36" s="7" t="s">
        <v>67</v>
      </c>
      <c r="G36" s="33"/>
      <c r="H36" s="33">
        <f t="shared" ref="H36:AA36" si="2">H34*$D$38/1000*$D$40+H34*$D$35/1000*(1-$D$40)</f>
        <v>3.4995992972975989</v>
      </c>
      <c r="I36" s="33">
        <f t="shared" si="2"/>
        <v>3.4838511004597601</v>
      </c>
      <c r="J36" s="33">
        <f t="shared" si="2"/>
        <v>3.4681737705076916</v>
      </c>
      <c r="K36" s="33">
        <f t="shared" si="2"/>
        <v>3.4525669885404078</v>
      </c>
      <c r="L36" s="33">
        <f t="shared" si="2"/>
        <v>3.4370304370919755</v>
      </c>
      <c r="M36" s="33">
        <f t="shared" si="2"/>
        <v>3.4215638001250621</v>
      </c>
      <c r="N36" s="33">
        <f t="shared" si="2"/>
        <v>3.4061667630244994</v>
      </c>
      <c r="O36" s="33">
        <f t="shared" si="2"/>
        <v>3.3908390125908894</v>
      </c>
      <c r="P36" s="33">
        <f t="shared" si="2"/>
        <v>3.3755802370342307</v>
      </c>
      <c r="Q36" s="33">
        <f t="shared" si="2"/>
        <v>3.3603901259675766</v>
      </c>
      <c r="R36" s="33">
        <f t="shared" si="2"/>
        <v>3.3452683704007229</v>
      </c>
      <c r="S36" s="33">
        <f t="shared" si="2"/>
        <v>3.3302146627339195</v>
      </c>
      <c r="T36" s="33">
        <f t="shared" si="2"/>
        <v>3.3152286967516176</v>
      </c>
      <c r="U36" s="33">
        <f t="shared" si="2"/>
        <v>3.3003101676162347</v>
      </c>
      <c r="V36" s="33">
        <f t="shared" si="2"/>
        <v>3.2854587718619617</v>
      </c>
      <c r="W36" s="33">
        <f t="shared" si="2"/>
        <v>3.2706742073885842</v>
      </c>
      <c r="X36" s="33">
        <f t="shared" si="2"/>
        <v>3.2559561734553353</v>
      </c>
      <c r="Y36" s="33">
        <f t="shared" si="2"/>
        <v>3.2413043706747864</v>
      </c>
      <c r="Z36" s="33">
        <f t="shared" si="2"/>
        <v>3.2267185010067507</v>
      </c>
      <c r="AA36" s="33">
        <f t="shared" si="2"/>
        <v>3.2121982677522203</v>
      </c>
    </row>
    <row r="37" spans="3:27" s="11" customFormat="1" ht="13" outlineLevel="1" x14ac:dyDescent="0.3">
      <c r="C37" s="18" t="s">
        <v>70</v>
      </c>
      <c r="D37" s="32">
        <f>分布式光伏电站IRR汇总!$B$27</f>
        <v>1</v>
      </c>
      <c r="F37" s="4" t="s">
        <v>20</v>
      </c>
      <c r="G37" s="33">
        <f>SUM(H38:AA38)</f>
        <v>9.7244234305704591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3:27" s="11" customFormat="1" ht="13" outlineLevel="1" x14ac:dyDescent="0.3">
      <c r="C38" s="18" t="s">
        <v>69</v>
      </c>
      <c r="D38" s="31">
        <f>D37*D36</f>
        <v>0.69</v>
      </c>
      <c r="F38" s="7" t="s">
        <v>21</v>
      </c>
      <c r="G38" s="33"/>
      <c r="H38" s="33">
        <f>(H36-H29-H31)*G24</f>
        <v>0.52263232432439977</v>
      </c>
      <c r="I38" s="33">
        <f>(I36-I29-I31)*G24</f>
        <v>0.51869527511494007</v>
      </c>
      <c r="J38" s="33">
        <f>(J36-J29-J31)*G24</f>
        <v>0.51477594262692294</v>
      </c>
      <c r="K38" s="33">
        <f>(K36-K29-K31)*G24</f>
        <v>0.51087424713510199</v>
      </c>
      <c r="L38" s="33">
        <f>(L36-L29-L31)*G24</f>
        <v>0.50699010927299404</v>
      </c>
      <c r="M38" s="33">
        <f>(M36-M29-M31)*G24</f>
        <v>0.50312345003126557</v>
      </c>
      <c r="N38" s="33">
        <f>(N36-N29-N31)*G24</f>
        <v>0.49927419075612495</v>
      </c>
      <c r="O38" s="33">
        <f>(O36-O29-O31)*G24</f>
        <v>0.49544225314772244</v>
      </c>
      <c r="P38" s="33">
        <f>(P36-P29-P31)*G24</f>
        <v>0.49162755925855778</v>
      </c>
      <c r="Q38" s="33">
        <f>(Q36-Q29-Q31)*G24</f>
        <v>0.48783003149189424</v>
      </c>
      <c r="R38" s="33">
        <f>(R36-R29-R31)*G24</f>
        <v>0.48404959260018082</v>
      </c>
      <c r="S38" s="33">
        <f>(S36-S29-S31)*G24</f>
        <v>0.48028616568347998</v>
      </c>
      <c r="T38" s="33">
        <f>(T36-T29-T31)*G24</f>
        <v>0.47653967418790449</v>
      </c>
      <c r="U38" s="33">
        <f>(U36-U29-U31)*G24</f>
        <v>0.47281004190405879</v>
      </c>
      <c r="V38" s="33">
        <f>(V36-V29-V31)*G24</f>
        <v>0.46909719296549052</v>
      </c>
      <c r="W38" s="33">
        <f>(W36-W29-W31)*G24</f>
        <v>0.46540105184714614</v>
      </c>
      <c r="X38" s="33">
        <f>(X36-X29-X31)*G24</f>
        <v>0.46172154336383392</v>
      </c>
      <c r="Y38" s="33">
        <f>(Y36-Y29-Y31)*G24</f>
        <v>0.4580585926686967</v>
      </c>
      <c r="Z38" s="33">
        <f>(Z36-Z29-Z31)*G24</f>
        <v>0.45441212525168778</v>
      </c>
      <c r="AA38" s="33">
        <f>(AA36-AA29-AA31)*G24</f>
        <v>0.45078206693805517</v>
      </c>
    </row>
    <row r="39" spans="3:27" s="11" customFormat="1" ht="13" outlineLevel="1" x14ac:dyDescent="0.3">
      <c r="C39" s="18" t="s">
        <v>31</v>
      </c>
      <c r="D39" s="27">
        <v>0</v>
      </c>
      <c r="F39" s="10" t="s">
        <v>22</v>
      </c>
      <c r="G39" s="33">
        <f>-G27</f>
        <v>-24.611999999999995</v>
      </c>
      <c r="H39" s="33">
        <f>H36-H38-H31</f>
        <v>2.7369669729731987</v>
      </c>
      <c r="I39" s="33">
        <f t="shared" ref="I39:AA39" si="3">I36-I38-I31</f>
        <v>2.72515582534482</v>
      </c>
      <c r="J39" s="33">
        <f t="shared" si="3"/>
        <v>2.7133978278807689</v>
      </c>
      <c r="K39" s="33">
        <f t="shared" si="3"/>
        <v>2.7016927414053056</v>
      </c>
      <c r="L39" s="33">
        <f t="shared" si="3"/>
        <v>2.6900403278189815</v>
      </c>
      <c r="M39" s="33">
        <f t="shared" si="3"/>
        <v>2.6784403500937968</v>
      </c>
      <c r="N39" s="33">
        <f t="shared" si="3"/>
        <v>2.6668925722683747</v>
      </c>
      <c r="O39" s="33">
        <f t="shared" si="3"/>
        <v>2.6553967594431667</v>
      </c>
      <c r="P39" s="33">
        <f t="shared" si="3"/>
        <v>2.6439526777756726</v>
      </c>
      <c r="Q39" s="33">
        <f t="shared" si="3"/>
        <v>2.6325600944756822</v>
      </c>
      <c r="R39" s="33">
        <f t="shared" si="3"/>
        <v>2.621218777800542</v>
      </c>
      <c r="S39" s="33">
        <f t="shared" si="3"/>
        <v>2.6099284970504399</v>
      </c>
      <c r="T39" s="33">
        <f t="shared" si="3"/>
        <v>2.5986890225637129</v>
      </c>
      <c r="U39" s="33">
        <f t="shared" si="3"/>
        <v>2.5875001257121761</v>
      </c>
      <c r="V39" s="33">
        <f t="shared" si="3"/>
        <v>2.5763615788964715</v>
      </c>
      <c r="W39" s="33">
        <f t="shared" si="3"/>
        <v>2.5652731555414379</v>
      </c>
      <c r="X39" s="33">
        <f t="shared" si="3"/>
        <v>2.5542346300915018</v>
      </c>
      <c r="Y39" s="33">
        <f t="shared" si="3"/>
        <v>2.5432457780060895</v>
      </c>
      <c r="Z39" s="33">
        <f t="shared" si="3"/>
        <v>2.5323063757550628</v>
      </c>
      <c r="AA39" s="33">
        <f t="shared" si="3"/>
        <v>2.5214162008141647</v>
      </c>
    </row>
    <row r="40" spans="3:27" s="11" customFormat="1" ht="13.5" outlineLevel="1" thickBot="1" x14ac:dyDescent="0.35">
      <c r="C40" s="18" t="s">
        <v>256</v>
      </c>
      <c r="D40" s="32">
        <v>0.7</v>
      </c>
      <c r="F40" s="3" t="s">
        <v>68</v>
      </c>
      <c r="G40" s="40">
        <f>IRR(G39:AA39)</f>
        <v>8.8019312989667142E-2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3:27" ht="14.5" thickTop="1" x14ac:dyDescent="0.3"/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F557-4D18-458B-8567-E4AFEBAE8ACA}">
  <dimension ref="B1:AA46"/>
  <sheetViews>
    <sheetView topLeftCell="C1" zoomScale="55" zoomScaleNormal="55" workbookViewId="0">
      <selection activeCell="C1" sqref="A1:XFD1048576"/>
    </sheetView>
  </sheetViews>
  <sheetFormatPr defaultRowHeight="14" outlineLevelRow="1" x14ac:dyDescent="0.3"/>
  <cols>
    <col min="1" max="1" width="8.6640625" style="82"/>
    <col min="2" max="2" width="4.75" style="82" bestFit="1" customWidth="1"/>
    <col min="3" max="3" width="27.5" style="82" customWidth="1"/>
    <col min="4" max="4" width="8.75" style="82" bestFit="1" customWidth="1"/>
    <col min="5" max="5" width="8.6640625" style="82"/>
    <col min="6" max="6" width="40.6640625" style="82" customWidth="1"/>
    <col min="7" max="7" width="9.08203125" style="82" bestFit="1" customWidth="1"/>
    <col min="8" max="16384" width="8.6640625" style="82"/>
  </cols>
  <sheetData>
    <row r="1" spans="2:27" s="11" customFormat="1" ht="13" x14ac:dyDescent="0.3">
      <c r="B1" s="11" t="s">
        <v>130</v>
      </c>
      <c r="C1" s="11" t="s">
        <v>52</v>
      </c>
    </row>
    <row r="2" spans="2:27" s="11" customFormat="1" ht="13" x14ac:dyDescent="0.3">
      <c r="C2" s="11" t="s">
        <v>141</v>
      </c>
      <c r="D2" s="54">
        <f>D33</f>
        <v>1163</v>
      </c>
    </row>
    <row r="3" spans="2:27" s="11" customFormat="1" ht="13" x14ac:dyDescent="0.3">
      <c r="C3" s="16" t="s">
        <v>78</v>
      </c>
      <c r="D3" s="37">
        <f>G32/G38*1000</f>
        <v>0.24067908664024185</v>
      </c>
    </row>
    <row r="4" spans="2:27" s="11" customFormat="1" ht="13" x14ac:dyDescent="0.3">
      <c r="C4" s="13" t="s">
        <v>77</v>
      </c>
      <c r="D4" s="39">
        <f>G13/G19*1000</f>
        <v>0.448340629796593</v>
      </c>
    </row>
    <row r="5" spans="2:27" s="11" customFormat="1" ht="13" x14ac:dyDescent="0.3">
      <c r="C5" s="13" t="s">
        <v>61</v>
      </c>
      <c r="D5" s="36">
        <f>G26</f>
        <v>0.19794488988633052</v>
      </c>
    </row>
    <row r="6" spans="2:27" s="11" customFormat="1" ht="13" x14ac:dyDescent="0.3">
      <c r="C6" s="13" t="s">
        <v>73</v>
      </c>
      <c r="D6" s="25">
        <f>SUM(G25:AA25)</f>
        <v>5.3887861506209651</v>
      </c>
    </row>
    <row r="7" spans="2:27" s="11" customFormat="1" ht="13.5" thickBot="1" x14ac:dyDescent="0.35">
      <c r="C7" s="23" t="s">
        <v>68</v>
      </c>
      <c r="D7" s="26">
        <f>G45</f>
        <v>9.2661941883664278E-2</v>
      </c>
    </row>
    <row r="8" spans="2:27" s="11" customFormat="1" ht="13.5" outlineLevel="1" thickTop="1" x14ac:dyDescent="0.3">
      <c r="E8" s="20"/>
      <c r="F8" s="38" t="s">
        <v>75</v>
      </c>
    </row>
    <row r="9" spans="2:27" s="11" customFormat="1" ht="13" outlineLevel="1" x14ac:dyDescent="0.3">
      <c r="C9" s="11" t="s">
        <v>71</v>
      </c>
      <c r="F9" s="13" t="s">
        <v>25</v>
      </c>
      <c r="G9" s="14">
        <v>7.0000000000000007E-2</v>
      </c>
    </row>
    <row r="10" spans="2:27" s="11" customFormat="1" ht="13" outlineLevel="1" x14ac:dyDescent="0.3">
      <c r="C10" s="18" t="s">
        <v>53</v>
      </c>
      <c r="D10" s="19">
        <f>分布式光伏电站IRR汇总!$B$2</f>
        <v>6</v>
      </c>
      <c r="F10" s="13" t="s">
        <v>26</v>
      </c>
      <c r="G10" s="14">
        <v>0.25</v>
      </c>
    </row>
    <row r="11" spans="2:27" s="11" customFormat="1" ht="13" outlineLevel="1" x14ac:dyDescent="0.3">
      <c r="C11" s="18" t="s">
        <v>56</v>
      </c>
      <c r="D11" s="19">
        <f>分布式光伏电站IRR汇总!$B$3</f>
        <v>120</v>
      </c>
      <c r="F11" s="1" t="s">
        <v>44</v>
      </c>
      <c r="G11" s="4"/>
      <c r="H11" s="5">
        <v>1</v>
      </c>
      <c r="I11" s="5">
        <v>2</v>
      </c>
      <c r="J11" s="5">
        <v>3</v>
      </c>
      <c r="K11" s="5">
        <v>4</v>
      </c>
      <c r="L11" s="5">
        <v>5</v>
      </c>
      <c r="M11" s="5">
        <v>6</v>
      </c>
      <c r="N11" s="5">
        <v>7</v>
      </c>
      <c r="O11" s="5">
        <v>8</v>
      </c>
      <c r="P11" s="5">
        <v>9</v>
      </c>
      <c r="Q11" s="5">
        <v>10</v>
      </c>
      <c r="R11" s="5">
        <v>11</v>
      </c>
      <c r="S11" s="5">
        <v>12</v>
      </c>
      <c r="T11" s="5">
        <v>13</v>
      </c>
      <c r="U11" s="5">
        <v>14</v>
      </c>
      <c r="V11" s="5">
        <v>15</v>
      </c>
      <c r="W11" s="5">
        <v>16</v>
      </c>
      <c r="X11" s="5">
        <v>17</v>
      </c>
      <c r="Y11" s="5">
        <v>18</v>
      </c>
      <c r="Z11" s="5">
        <v>19</v>
      </c>
      <c r="AA11" s="5">
        <v>20</v>
      </c>
    </row>
    <row r="12" spans="2:27" s="11" customFormat="1" ht="13" outlineLevel="1" x14ac:dyDescent="0.3">
      <c r="C12" s="18" t="s">
        <v>57</v>
      </c>
      <c r="D12" s="19">
        <f>分布式光伏电站IRR汇总!$B$4</f>
        <v>3</v>
      </c>
      <c r="F12" s="16"/>
      <c r="G12" s="2" t="s">
        <v>0</v>
      </c>
      <c r="H12" s="2" t="s">
        <v>1</v>
      </c>
      <c r="I12" s="2" t="s">
        <v>2</v>
      </c>
      <c r="J12" s="2" t="s">
        <v>3</v>
      </c>
      <c r="K12" s="2" t="s">
        <v>4</v>
      </c>
      <c r="L12" s="2" t="s">
        <v>5</v>
      </c>
      <c r="M12" s="2" t="s">
        <v>6</v>
      </c>
      <c r="N12" s="2" t="s">
        <v>7</v>
      </c>
      <c r="O12" s="2" t="s">
        <v>8</v>
      </c>
      <c r="P12" s="2" t="s">
        <v>9</v>
      </c>
      <c r="Q12" s="2" t="s">
        <v>10</v>
      </c>
      <c r="R12" s="2" t="s">
        <v>11</v>
      </c>
      <c r="S12" s="2" t="s">
        <v>12</v>
      </c>
      <c r="T12" s="2" t="s">
        <v>13</v>
      </c>
      <c r="U12" s="2" t="s">
        <v>45</v>
      </c>
      <c r="V12" s="2" t="s">
        <v>46</v>
      </c>
      <c r="W12" s="2" t="s">
        <v>47</v>
      </c>
      <c r="X12" s="2" t="s">
        <v>48</v>
      </c>
      <c r="Y12" s="2" t="s">
        <v>49</v>
      </c>
      <c r="Z12" s="2" t="s">
        <v>50</v>
      </c>
      <c r="AA12" s="2" t="s">
        <v>127</v>
      </c>
    </row>
    <row r="13" spans="2:27" s="11" customFormat="1" ht="13" outlineLevel="1" x14ac:dyDescent="0.3">
      <c r="C13" s="18" t="s">
        <v>54</v>
      </c>
      <c r="D13" s="19">
        <f>分布式光伏电站IRR汇总!$B$5</f>
        <v>5</v>
      </c>
      <c r="F13" s="6" t="s">
        <v>14</v>
      </c>
      <c r="G13" s="33">
        <f>D34+D43</f>
        <v>27.223668939953264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27" s="11" customFormat="1" ht="13" outlineLevel="1" x14ac:dyDescent="0.3">
      <c r="C14" s="18" t="s">
        <v>55</v>
      </c>
      <c r="D14" s="19">
        <f>分布式光伏电站IRR汇总!$B$6</f>
        <v>15</v>
      </c>
      <c r="F14" s="6" t="s">
        <v>15</v>
      </c>
      <c r="G14" s="33">
        <f>SUM(H15:AA15)</f>
        <v>12.385144234005573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2:27" s="11" customFormat="1" ht="13" outlineLevel="1" x14ac:dyDescent="0.3">
      <c r="C15" s="18" t="s">
        <v>42</v>
      </c>
      <c r="D15" s="19">
        <f>分布式光伏电站IRR汇总!$B$7</f>
        <v>4.1019999999999994</v>
      </c>
      <c r="F15" s="7" t="s">
        <v>16</v>
      </c>
      <c r="G15" s="33"/>
      <c r="H15" s="33">
        <f>D34*(1-D32)/D28/((1+G9)^H11)</f>
        <v>1.0925887850467286</v>
      </c>
      <c r="I15" s="33">
        <f>D34*(1-D32)/D28/((1+G9)^I11)</f>
        <v>1.0211110140623632</v>
      </c>
      <c r="J15" s="33">
        <f>D34*(1-D32)/D28/((1+G9)^J11)</f>
        <v>0.95430935893678792</v>
      </c>
      <c r="K15" s="33">
        <f>D34*(1-D32)/D28/((1+G9)^K11)</f>
        <v>0.89187790554839996</v>
      </c>
      <c r="L15" s="33">
        <f>D34*(1-D32)/D28/((1+G9)^L11)</f>
        <v>0.83353075284897193</v>
      </c>
      <c r="M15" s="33">
        <f>D34*(1-D32)/D28/((1+G9)^M11)</f>
        <v>0.77900070359717</v>
      </c>
      <c r="N15" s="33">
        <f>D34*(1-D32)/D28/((1+G9)^N11)</f>
        <v>0.72803804074501866</v>
      </c>
      <c r="O15" s="33">
        <f>D34*(1-D32)/D28/((1+G9)^O11)</f>
        <v>0.6804093838738493</v>
      </c>
      <c r="P15" s="33">
        <f>D34*(1-D32)/D28/((1+G9)^P11)</f>
        <v>0.63589662044284967</v>
      </c>
      <c r="Q15" s="33">
        <f>D34*(1-D32)/D28/((1+G9)^Q11)</f>
        <v>0.59429590695593437</v>
      </c>
      <c r="R15" s="33">
        <f>D34*(1-D32)/D28/((1+G9)^R11)</f>
        <v>0.55541673547283577</v>
      </c>
      <c r="S15" s="33">
        <f>D34*(1-D32)/D28/((1+G9)^S11)</f>
        <v>0.51908106118956621</v>
      </c>
      <c r="T15" s="33">
        <f>D34*(1-D32)/D28/((1+G9)^T11)</f>
        <v>0.4851224870930525</v>
      </c>
      <c r="U15" s="33">
        <f>D34*(1-D32)/D28/((1+G9)^U11)</f>
        <v>0.45338550195612387</v>
      </c>
      <c r="V15" s="33">
        <f>D34*(1-D32)/D28/((1+G9)^V11)</f>
        <v>0.4237247681832933</v>
      </c>
      <c r="W15" s="33">
        <f>D34*(1-D32)/D28/((1+G9)^W11)</f>
        <v>0.39600445624606856</v>
      </c>
      <c r="X15" s="33">
        <f>D34*(1-D32)/D28/((1+G9)^X11)</f>
        <v>0.37009762265987711</v>
      </c>
      <c r="Y15" s="33">
        <f>D34*(1-D32)/D28/((1+G9)^Y11)</f>
        <v>0.34588562865409078</v>
      </c>
      <c r="Z15" s="33">
        <f>D34*(1-D32)/D28/((1+G9)^Z11)</f>
        <v>0.323257596872982</v>
      </c>
      <c r="AA15" s="33">
        <f>D34*(1-D32)/D28/((1+G9)^AA11)</f>
        <v>0.30210990361960938</v>
      </c>
    </row>
    <row r="16" spans="2:27" s="11" customFormat="1" ht="13" outlineLevel="1" x14ac:dyDescent="0.3">
      <c r="C16" s="149" t="s">
        <v>32</v>
      </c>
      <c r="D16" s="19">
        <f>分布式光伏电站IRR汇总!$B$8</f>
        <v>1.8870000000000002</v>
      </c>
      <c r="F16" s="6" t="s">
        <v>17</v>
      </c>
      <c r="G16" s="33">
        <f>SUM(H17:AA17)</f>
        <v>2.5425634189238777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3:27" s="11" customFormat="1" ht="13" outlineLevel="1" x14ac:dyDescent="0.3">
      <c r="C17" s="149" t="s">
        <v>33</v>
      </c>
      <c r="D17" s="19">
        <f>分布式光伏电站IRR汇总!$B$9</f>
        <v>0.18500000000000003</v>
      </c>
      <c r="F17" s="7" t="s">
        <v>18</v>
      </c>
      <c r="G17" s="33"/>
      <c r="H17" s="33">
        <f>D31*D10/((1+G9)^H11)</f>
        <v>0.22429906542056072</v>
      </c>
      <c r="I17" s="33">
        <f>D31*D10/((1+G9)^I11)</f>
        <v>0.20962529478557079</v>
      </c>
      <c r="J17" s="33">
        <f>D31*D10/((1+G9)^J11)</f>
        <v>0.19591149045380446</v>
      </c>
      <c r="K17" s="33">
        <f>D31*D10/((1+G9)^K11)</f>
        <v>0.18309485089140604</v>
      </c>
      <c r="L17" s="33">
        <f>D31*D10/((1+G9)^L11)</f>
        <v>0.17111668307608041</v>
      </c>
      <c r="M17" s="33">
        <f>D31*D10/((1+G9)^M11)</f>
        <v>0.15992213371596301</v>
      </c>
      <c r="N17" s="33">
        <f>D31*D10/((1+G9)^N11)</f>
        <v>0.14945993805230187</v>
      </c>
      <c r="O17" s="33">
        <f>D31*D10/((1+G9)^O11)</f>
        <v>0.13968218509560923</v>
      </c>
      <c r="P17" s="33">
        <f>D31*D10/((1+G9)^P11)</f>
        <v>0.13054409822019553</v>
      </c>
      <c r="Q17" s="33">
        <f>D31*D10/((1+G9)^Q11)</f>
        <v>0.12200383011233226</v>
      </c>
      <c r="R17" s="33">
        <f>D31*D10/((1+G9)^R11)</f>
        <v>0.1140222711330208</v>
      </c>
      <c r="S17" s="33">
        <f>D31*D10/((1+G9)^S11)</f>
        <v>0.10656287021777647</v>
      </c>
      <c r="T17" s="33">
        <f>D31*D10/((1+G9)^T11)</f>
        <v>9.9591467493249028E-2</v>
      </c>
      <c r="U17" s="33">
        <f>D31*D10/((1+G9)^U11)</f>
        <v>9.3076137844157969E-2</v>
      </c>
      <c r="V17" s="33">
        <f>D31*D10/((1+G9)^V11)</f>
        <v>8.6987044714166323E-2</v>
      </c>
      <c r="W17" s="33">
        <f>D31*D10/((1+G9)^W11)</f>
        <v>8.1296303471183481E-2</v>
      </c>
      <c r="X17" s="33">
        <f>D31*D10/((1+G9)^X11)</f>
        <v>7.5977853711386434E-2</v>
      </c>
      <c r="Y17" s="33">
        <f>D31*D10/((1+G9)^Y11)</f>
        <v>7.1007339917183582E-2</v>
      </c>
      <c r="Z17" s="33">
        <f>D31*D10/((1+G9)^Z11)</f>
        <v>6.6361999922601472E-2</v>
      </c>
      <c r="AA17" s="33">
        <f>D31*D10/((1+G9)^AA11)</f>
        <v>6.2020560675328483E-2</v>
      </c>
    </row>
    <row r="18" spans="3:27" s="11" customFormat="1" ht="13" outlineLevel="1" x14ac:dyDescent="0.3">
      <c r="C18" s="149" t="s">
        <v>34</v>
      </c>
      <c r="D18" s="19">
        <f>分布式光伏电站IRR汇总!$B$10</f>
        <v>0.222</v>
      </c>
      <c r="F18" s="6" t="s">
        <v>19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>
        <f>D31*D34/((1+G9)^AA11)</f>
        <v>0.2544083398901974</v>
      </c>
    </row>
    <row r="19" spans="3:27" s="11" customFormat="1" ht="13" outlineLevel="1" x14ac:dyDescent="0.3">
      <c r="C19" s="149" t="s">
        <v>35</v>
      </c>
      <c r="D19" s="19">
        <f>分布式光伏电站IRR汇总!$B$11</f>
        <v>0.44400000000000001</v>
      </c>
      <c r="F19" s="8" t="s">
        <v>64</v>
      </c>
      <c r="G19" s="33">
        <f>SUM(H20:AA20)</f>
        <v>60720.949944474873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spans="3:27" s="11" customFormat="1" ht="13" outlineLevel="1" x14ac:dyDescent="0.3">
      <c r="C20" s="149" t="s">
        <v>36</v>
      </c>
      <c r="D20" s="19">
        <f>分布式光伏电站IRR汇总!$B$12</f>
        <v>0.222</v>
      </c>
      <c r="F20" s="9" t="s">
        <v>65</v>
      </c>
      <c r="G20" s="33"/>
      <c r="H20" s="33">
        <f>D10*D27*(1-D29)*D33/((1+G9)^H11)</f>
        <v>5534.6626542056065</v>
      </c>
      <c r="I20" s="33">
        <f>D10*D27*(1-D29)*(1-D30)^(I11-1)*D33/((1+G9)^I11)</f>
        <v>5149.3053011791417</v>
      </c>
      <c r="J20" s="33">
        <f>D10*D27*(1-D29)*(1-D30)^(J11-1)*D33/((1+G9)^J11)</f>
        <v>4790.778904040968</v>
      </c>
      <c r="K20" s="33">
        <f>D10*D27*(1-D29)*(1-D30)^(K11-1)*D33/((1+G9)^K11)</f>
        <v>4457.2153261427893</v>
      </c>
      <c r="L20" s="33">
        <f>D10*D27*(1-D29)*(1-D30)^(L11-1)*D33/((1+G9)^L11)</f>
        <v>4146.8765020328474</v>
      </c>
      <c r="M20" s="33">
        <f>D10*D27*(1-D29)*(1-D30)^(M11-1)*D33/((1+G9)^M11)</f>
        <v>3858.1453810969156</v>
      </c>
      <c r="N20" s="33">
        <f>D10*D27*(1-D29)*(1-D30)^(N11-1)*D33/((1+G9)^N11)</f>
        <v>3589.5175017588595</v>
      </c>
      <c r="O20" s="33">
        <f>D10*D27*(1-D29)*(1-D30)^(O11-1)*D33/((1+G9)^O11)</f>
        <v>3339.5931523373315</v>
      </c>
      <c r="P20" s="33">
        <f>D10*D27*(1-D29)*(1-D30)^(P11-1)*D33/((1+G9)^P11)</f>
        <v>3107.070077711975</v>
      </c>
      <c r="Q20" s="33">
        <f>D10*D27*(1-D29)*(1-D30)^(Q11-1)*D33/((1+G9)^Q11)</f>
        <v>2890.7366937965157</v>
      </c>
      <c r="R20" s="33">
        <f>D10*D27*(1-D29)*(1-D30)^(R11-1)*D33/((1+G9)^R11)</f>
        <v>2689.4657744620854</v>
      </c>
      <c r="S20" s="33">
        <f>D10*D27*(1-D29)*(1-D30)^(S11-1)*D33/((1+G9)^S11)</f>
        <v>2502.2085780158936</v>
      </c>
      <c r="T20" s="33">
        <f>D10*D27*(1-D29)*(1-D30)^(T11-1)*D33/((1+G9)^T11)</f>
        <v>2327.9893826306752</v>
      </c>
      <c r="U20" s="33">
        <f>D10*D27*(1-D29)*(1-D30)^(U11-1)*D33/((1+G9)^U11)</f>
        <v>2165.9004022512495</v>
      </c>
      <c r="V20" s="33">
        <f>D10*D27*(1-D29)*(1-D30)^(V11-1)*D33/((1+G9)^V11)</f>
        <v>2015.0970564870267</v>
      </c>
      <c r="W20" s="33">
        <f>D10*D27*(1-D29)*(1-D30)^(W11-1)*D33/((1+G9)^W11)</f>
        <v>1874.793569843772</v>
      </c>
      <c r="X20" s="33">
        <f>D10*D27*(1-D29)*(1-D30)^(X11-1)*D33/((1+G9)^X11)</f>
        <v>1744.2588773639952</v>
      </c>
      <c r="Y20" s="33">
        <f>D10*D27*(1-D29)*(1-D30)^(Y11-1)*D33/((1+G9)^Y11)</f>
        <v>1622.8128153419225</v>
      </c>
      <c r="Z20" s="33">
        <f>D10*D27*(1-D29)*(1-D30)^(Z11-1)*D33/((1+G9)^Z11)</f>
        <v>1509.822577264378</v>
      </c>
      <c r="AA20" s="33">
        <f>D10*D27*(1-D29)*(1-D30)^(AA11-1)*D33/((1+G9)^AA11)</f>
        <v>1404.6994165109238</v>
      </c>
    </row>
    <row r="21" spans="3:27" s="11" customFormat="1" ht="13" outlineLevel="1" x14ac:dyDescent="0.3">
      <c r="C21" s="149" t="s">
        <v>37</v>
      </c>
      <c r="D21" s="19">
        <f>分布式光伏电站IRR汇总!$B$13</f>
        <v>0.15</v>
      </c>
      <c r="F21" s="4" t="s">
        <v>66</v>
      </c>
      <c r="G21" s="33">
        <f>SUM(H22:AA22)</f>
        <v>41.897455461687656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3:27" s="11" customFormat="1" ht="13" outlineLevel="1" x14ac:dyDescent="0.3">
      <c r="C22" s="149" t="s">
        <v>38</v>
      </c>
      <c r="D22" s="19">
        <f>分布式光伏电站IRR汇总!$B$14</f>
        <v>3.7000000000000005E-2</v>
      </c>
      <c r="F22" s="7" t="s">
        <v>67</v>
      </c>
      <c r="G22" s="33"/>
      <c r="H22" s="33">
        <f>H20*$D$38/1000*$D$40+H20*$D$35/1000*(1-$D$40)</f>
        <v>3.8189172314018682</v>
      </c>
      <c r="I22" s="33">
        <f t="shared" ref="I22:AA22" si="0">I20*$D$38/1000*$D$40+I20*$D$35/1000*(1-$D$40)</f>
        <v>3.5530206578136077</v>
      </c>
      <c r="J22" s="33">
        <f t="shared" si="0"/>
        <v>3.3056374437882678</v>
      </c>
      <c r="K22" s="33">
        <f t="shared" si="0"/>
        <v>3.0754785750385243</v>
      </c>
      <c r="L22" s="33">
        <f t="shared" si="0"/>
        <v>2.8613447864026642</v>
      </c>
      <c r="M22" s="33">
        <f t="shared" si="0"/>
        <v>2.6621203129568718</v>
      </c>
      <c r="N22" s="33">
        <f t="shared" si="0"/>
        <v>2.4767670762136125</v>
      </c>
      <c r="O22" s="33">
        <f t="shared" si="0"/>
        <v>2.3043192751127584</v>
      </c>
      <c r="P22" s="33">
        <f t="shared" si="0"/>
        <v>2.1438783536212629</v>
      </c>
      <c r="Q22" s="33">
        <f t="shared" si="0"/>
        <v>1.9946083187195958</v>
      </c>
      <c r="R22" s="33">
        <f t="shared" si="0"/>
        <v>1.8557313843788388</v>
      </c>
      <c r="S22" s="33">
        <f t="shared" si="0"/>
        <v>1.7265239188309665</v>
      </c>
      <c r="T22" s="33">
        <f t="shared" si="0"/>
        <v>1.6063126740151659</v>
      </c>
      <c r="U22" s="33">
        <f t="shared" si="0"/>
        <v>1.4944712775533622</v>
      </c>
      <c r="V22" s="33">
        <f t="shared" si="0"/>
        <v>1.3904169689760484</v>
      </c>
      <c r="W22" s="33">
        <f t="shared" si="0"/>
        <v>1.2936075631922026</v>
      </c>
      <c r="X22" s="33">
        <f t="shared" si="0"/>
        <v>1.2035386253811566</v>
      </c>
      <c r="Y22" s="33">
        <f t="shared" si="0"/>
        <v>1.1197408425859263</v>
      </c>
      <c r="Z22" s="33">
        <f t="shared" si="0"/>
        <v>1.0417775783124208</v>
      </c>
      <c r="AA22" s="33">
        <f t="shared" si="0"/>
        <v>0.96924259739253738</v>
      </c>
    </row>
    <row r="23" spans="3:27" s="11" customFormat="1" ht="13" outlineLevel="1" x14ac:dyDescent="0.3">
      <c r="C23" s="149" t="s">
        <v>39</v>
      </c>
      <c r="D23" s="19">
        <f>分布式光伏电站IRR汇总!$B$15</f>
        <v>0.25900000000000006</v>
      </c>
      <c r="F23" s="4" t="s">
        <v>20</v>
      </c>
      <c r="G23" s="33">
        <f>SUM(H24:V24)</f>
        <v>5.8589649669110697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3:27" s="11" customFormat="1" ht="13" outlineLevel="1" x14ac:dyDescent="0.3">
      <c r="C24" s="149" t="s">
        <v>40</v>
      </c>
      <c r="D24" s="19">
        <f>分布式光伏电站IRR汇总!$B$16</f>
        <v>7.400000000000001E-2</v>
      </c>
      <c r="F24" s="7" t="s">
        <v>21</v>
      </c>
      <c r="G24" s="33"/>
      <c r="H24" s="33">
        <f>(H22-H15-H17)*G10</f>
        <v>0.62550734523364471</v>
      </c>
      <c r="I24" s="33">
        <f>(I22-I15-I17)*G10</f>
        <v>0.58057108724141848</v>
      </c>
      <c r="J24" s="33">
        <f>(J22-J15-J17)*G10</f>
        <v>0.53885414859941894</v>
      </c>
      <c r="K24" s="33">
        <f>(K22-K15-K17)*G10</f>
        <v>0.50012645464967964</v>
      </c>
      <c r="L24" s="33">
        <f>(L22-L15-L17)*G10</f>
        <v>0.46417433761940302</v>
      </c>
      <c r="M24" s="33">
        <f>(M22-M15-M17)*G10</f>
        <v>0.43079936891093468</v>
      </c>
      <c r="N24" s="33">
        <f>(N22-N15-N17)*G10</f>
        <v>0.39981727435407299</v>
      </c>
      <c r="O24" s="33">
        <f>(O22-O15-O17)*G10</f>
        <v>0.371056926535825</v>
      </c>
      <c r="P24" s="33">
        <f>(P22-P15-P17)*G10</f>
        <v>0.3443594087395544</v>
      </c>
      <c r="Q24" s="33">
        <f>(Q22-Q15-Q17)*G10</f>
        <v>0.31957714541283228</v>
      </c>
      <c r="R24" s="33">
        <f>(R22-R15-R17)*G10</f>
        <v>0.29657309444324553</v>
      </c>
      <c r="S24" s="33">
        <f>(S22-S15-S17)*G10</f>
        <v>0.27521999685590592</v>
      </c>
      <c r="T24" s="33">
        <f>(T22-T15-T17)*G10</f>
        <v>0.25539967985721607</v>
      </c>
      <c r="U24" s="33">
        <f>(U22-U15-U17)*G10</f>
        <v>0.23700240943827006</v>
      </c>
      <c r="V24" s="33">
        <f>(V22-V15-V17)*G10</f>
        <v>0.2199262890196472</v>
      </c>
      <c r="W24" s="33">
        <f>(W22-W15-W17)*G10</f>
        <v>0.20407670086873766</v>
      </c>
      <c r="X24" s="33">
        <f>(X22-X15-X17)*G10</f>
        <v>0.18936578725247327</v>
      </c>
      <c r="Y24" s="33">
        <f>(Y22-Y15-Y17)*G10</f>
        <v>0.175711968503663</v>
      </c>
      <c r="Z24" s="33">
        <f>(Z22-Z15-Z17)*G10</f>
        <v>0.16303949537920931</v>
      </c>
      <c r="AA24" s="33">
        <f>(AA22-AA15-AA17)*G10</f>
        <v>0.1512780332743999</v>
      </c>
    </row>
    <row r="25" spans="3:27" s="11" customFormat="1" ht="13" outlineLevel="1" x14ac:dyDescent="0.3">
      <c r="C25" s="149" t="s">
        <v>41</v>
      </c>
      <c r="D25" s="19">
        <f>分布式光伏电站IRR汇总!$B$17</f>
        <v>0.222</v>
      </c>
      <c r="F25" s="10" t="s">
        <v>22</v>
      </c>
      <c r="G25" s="33">
        <f>-G13</f>
        <v>-27.223668939953264</v>
      </c>
      <c r="H25" s="33">
        <f t="shared" ref="H25:AA25" si="1">H22-H24-H17</f>
        <v>2.9691108207476629</v>
      </c>
      <c r="I25" s="33">
        <f t="shared" si="1"/>
        <v>2.7628242757866186</v>
      </c>
      <c r="J25" s="33">
        <f t="shared" si="1"/>
        <v>2.5708718047350443</v>
      </c>
      <c r="K25" s="33">
        <f t="shared" si="1"/>
        <v>2.3922572694974389</v>
      </c>
      <c r="L25" s="33">
        <f t="shared" si="1"/>
        <v>2.2260537657071806</v>
      </c>
      <c r="M25" s="33">
        <f t="shared" si="1"/>
        <v>2.0713988103299741</v>
      </c>
      <c r="N25" s="33">
        <f t="shared" si="1"/>
        <v>1.9274898638072377</v>
      </c>
      <c r="O25" s="33">
        <f t="shared" si="1"/>
        <v>1.7935801634813242</v>
      </c>
      <c r="P25" s="33">
        <f t="shared" si="1"/>
        <v>1.6689748466615129</v>
      </c>
      <c r="Q25" s="33">
        <f t="shared" si="1"/>
        <v>1.5530273431944313</v>
      </c>
      <c r="R25" s="33">
        <f t="shared" si="1"/>
        <v>1.4451360188025726</v>
      </c>
      <c r="S25" s="33">
        <f t="shared" si="1"/>
        <v>1.344741051757284</v>
      </c>
      <c r="T25" s="33">
        <f t="shared" si="1"/>
        <v>1.2513215266647009</v>
      </c>
      <c r="U25" s="33">
        <f t="shared" si="1"/>
        <v>1.164392730270934</v>
      </c>
      <c r="V25" s="33">
        <f t="shared" si="1"/>
        <v>1.0835036352422349</v>
      </c>
      <c r="W25" s="33">
        <f t="shared" si="1"/>
        <v>1.0082345588522814</v>
      </c>
      <c r="X25" s="33">
        <f t="shared" si="1"/>
        <v>0.93819498441729698</v>
      </c>
      <c r="Y25" s="33">
        <f t="shared" si="1"/>
        <v>0.87302153416507977</v>
      </c>
      <c r="Z25" s="33">
        <f t="shared" si="1"/>
        <v>0.81237608301060993</v>
      </c>
      <c r="AA25" s="33">
        <f t="shared" si="1"/>
        <v>0.75594400344280899</v>
      </c>
    </row>
    <row r="26" spans="3:27" s="11" customFormat="1" ht="13.5" outlineLevel="1" thickBot="1" x14ac:dyDescent="0.35">
      <c r="C26" s="149" t="s">
        <v>74</v>
      </c>
      <c r="D26" s="19">
        <f>分布式光伏电站IRR汇总!$B$18</f>
        <v>0.4</v>
      </c>
      <c r="F26" s="3" t="s">
        <v>61</v>
      </c>
      <c r="G26" s="35">
        <f>SUM(G25:AA25)/G13</f>
        <v>0.19794488988633052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3:27" s="11" customFormat="1" ht="13.5" outlineLevel="1" thickTop="1" x14ac:dyDescent="0.3">
      <c r="C27" s="18" t="s">
        <v>58</v>
      </c>
      <c r="D27" s="19">
        <f>分布式光伏电站IRR汇总!$B$19</f>
        <v>0.86599999999999999</v>
      </c>
    </row>
    <row r="28" spans="3:27" s="11" customFormat="1" ht="13" outlineLevel="1" x14ac:dyDescent="0.3">
      <c r="C28" s="18" t="s">
        <v>62</v>
      </c>
      <c r="D28" s="19">
        <f>分布式光伏电站IRR汇总!$B$20</f>
        <v>20</v>
      </c>
      <c r="F28" s="13" t="s">
        <v>25</v>
      </c>
      <c r="G28" s="14">
        <v>0</v>
      </c>
    </row>
    <row r="29" spans="3:27" s="11" customFormat="1" ht="13" outlineLevel="1" x14ac:dyDescent="0.3">
      <c r="C29" s="18" t="s">
        <v>59</v>
      </c>
      <c r="D29" s="52">
        <f>分布式光伏电站IRR汇总!$B$21</f>
        <v>0.02</v>
      </c>
      <c r="F29" s="13" t="s">
        <v>26</v>
      </c>
      <c r="G29" s="14">
        <v>0.25</v>
      </c>
      <c r="Q29" s="15"/>
    </row>
    <row r="30" spans="3:27" s="11" customFormat="1" ht="13" outlineLevel="1" x14ac:dyDescent="0.3">
      <c r="C30" s="18" t="s">
        <v>60</v>
      </c>
      <c r="D30" s="52">
        <f>分布式光伏电站IRR汇总!$B$22</f>
        <v>4.4999999999999997E-3</v>
      </c>
      <c r="F30" s="1" t="s">
        <v>44</v>
      </c>
      <c r="G30" s="4"/>
      <c r="H30" s="5">
        <v>1</v>
      </c>
      <c r="I30" s="5">
        <v>2</v>
      </c>
      <c r="J30" s="5">
        <v>3</v>
      </c>
      <c r="K30" s="5">
        <v>4</v>
      </c>
      <c r="L30" s="5">
        <v>5</v>
      </c>
      <c r="M30" s="5">
        <v>6</v>
      </c>
      <c r="N30" s="5">
        <v>7</v>
      </c>
      <c r="O30" s="5">
        <v>8</v>
      </c>
      <c r="P30" s="5">
        <v>9</v>
      </c>
      <c r="Q30" s="5">
        <v>10</v>
      </c>
      <c r="R30" s="5">
        <v>11</v>
      </c>
      <c r="S30" s="5">
        <v>12</v>
      </c>
      <c r="T30" s="5">
        <v>13</v>
      </c>
      <c r="U30" s="5">
        <v>14</v>
      </c>
      <c r="V30" s="5">
        <v>15</v>
      </c>
      <c r="W30" s="5">
        <v>16</v>
      </c>
      <c r="X30" s="5">
        <v>17</v>
      </c>
      <c r="Y30" s="5">
        <v>18</v>
      </c>
      <c r="Z30" s="5">
        <v>19</v>
      </c>
      <c r="AA30" s="5">
        <v>20</v>
      </c>
    </row>
    <row r="31" spans="3:27" s="11" customFormat="1" ht="13" outlineLevel="1" x14ac:dyDescent="0.3">
      <c r="C31" s="18" t="s">
        <v>28</v>
      </c>
      <c r="D31" s="29">
        <f>分布式光伏电站IRR汇总!$B$23</f>
        <v>0.04</v>
      </c>
      <c r="F31" s="16"/>
      <c r="G31" s="2" t="s">
        <v>0</v>
      </c>
      <c r="H31" s="2" t="s">
        <v>1</v>
      </c>
      <c r="I31" s="2" t="s">
        <v>2</v>
      </c>
      <c r="J31" s="2" t="s">
        <v>3</v>
      </c>
      <c r="K31" s="2" t="s">
        <v>4</v>
      </c>
      <c r="L31" s="2" t="s">
        <v>5</v>
      </c>
      <c r="M31" s="2" t="s">
        <v>6</v>
      </c>
      <c r="N31" s="2" t="s">
        <v>7</v>
      </c>
      <c r="O31" s="2" t="s">
        <v>8</v>
      </c>
      <c r="P31" s="2" t="s">
        <v>9</v>
      </c>
      <c r="Q31" s="2" t="s">
        <v>10</v>
      </c>
      <c r="R31" s="2" t="s">
        <v>11</v>
      </c>
      <c r="S31" s="2" t="s">
        <v>12</v>
      </c>
      <c r="T31" s="2" t="s">
        <v>13</v>
      </c>
      <c r="U31" s="2" t="s">
        <v>45</v>
      </c>
      <c r="V31" s="2" t="s">
        <v>46</v>
      </c>
      <c r="W31" s="2" t="s">
        <v>47</v>
      </c>
      <c r="X31" s="2" t="s">
        <v>48</v>
      </c>
      <c r="Y31" s="2" t="s">
        <v>49</v>
      </c>
      <c r="Z31" s="2" t="s">
        <v>50</v>
      </c>
      <c r="AA31" s="2" t="s">
        <v>51</v>
      </c>
    </row>
    <row r="32" spans="3:27" s="11" customFormat="1" ht="13" outlineLevel="1" x14ac:dyDescent="0.3">
      <c r="C32" s="18" t="s">
        <v>43</v>
      </c>
      <c r="D32" s="19">
        <f>分布式光伏电站IRR汇总!$B$24</f>
        <v>0.05</v>
      </c>
      <c r="F32" s="6" t="s">
        <v>14</v>
      </c>
      <c r="G32" s="33">
        <f>D34+D43</f>
        <v>27.223668939953264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3:27" s="11" customFormat="1" ht="13" outlineLevel="1" x14ac:dyDescent="0.3">
      <c r="C33" s="18" t="s">
        <v>126</v>
      </c>
      <c r="D33" s="28">
        <v>1163</v>
      </c>
      <c r="F33" s="6" t="s">
        <v>15</v>
      </c>
      <c r="G33" s="33">
        <f>SUM(H34:AA34)</f>
        <v>23.381399999999985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3:27" s="11" customFormat="1" ht="13" outlineLevel="1" x14ac:dyDescent="0.3">
      <c r="C34" s="24" t="s">
        <v>14</v>
      </c>
      <c r="D34" s="30">
        <f>D10*D15</f>
        <v>24.611999999999995</v>
      </c>
      <c r="F34" s="7" t="s">
        <v>16</v>
      </c>
      <c r="G34" s="33"/>
      <c r="H34" s="33">
        <f>D34*(1-D32)/D28/((1+G28)^H30)</f>
        <v>1.1690699999999996</v>
      </c>
      <c r="I34" s="33">
        <f>D34*(1-D32)/D28/((1+G28)^I30)</f>
        <v>1.1690699999999996</v>
      </c>
      <c r="J34" s="33">
        <f>D34*(1-D32)/D28/((1+G28)^J30)</f>
        <v>1.1690699999999996</v>
      </c>
      <c r="K34" s="33">
        <f>D34*(1-D32)/D28/((1+G28)^K30)</f>
        <v>1.1690699999999996</v>
      </c>
      <c r="L34" s="33">
        <f>D34*(1-D32)/D28/((1+G28)^L30)</f>
        <v>1.1690699999999996</v>
      </c>
      <c r="M34" s="33">
        <f>D34*(1-D32)/D28/((1+G28)^M30)</f>
        <v>1.1690699999999996</v>
      </c>
      <c r="N34" s="33">
        <f>D34*(1-D32)/D28/((1+G28)^N30)</f>
        <v>1.1690699999999996</v>
      </c>
      <c r="O34" s="33">
        <f>D34*(1-D32)/D28/((1+G28)^O30)</f>
        <v>1.1690699999999996</v>
      </c>
      <c r="P34" s="33">
        <f>D34*(1-D32)/D28/((1+G28)^P30)</f>
        <v>1.1690699999999996</v>
      </c>
      <c r="Q34" s="33">
        <f>D34*(1-D32)/D28/((1+G28)^Q30)</f>
        <v>1.1690699999999996</v>
      </c>
      <c r="R34" s="33">
        <f>D34*(1-D32)/D28/((1+G28)^R30)</f>
        <v>1.1690699999999996</v>
      </c>
      <c r="S34" s="33">
        <f>D34*(1-D32)/D28/((1+G28)^S30)</f>
        <v>1.1690699999999996</v>
      </c>
      <c r="T34" s="33">
        <f>D34*(1-D32)/D28/((1+G28)^T30)</f>
        <v>1.1690699999999996</v>
      </c>
      <c r="U34" s="33">
        <f>D34*(1-D32)/D28/((1+G28)^U30)</f>
        <v>1.1690699999999996</v>
      </c>
      <c r="V34" s="33">
        <f>D34*(1-D32)/D28/((1+G28)^V30)</f>
        <v>1.1690699999999996</v>
      </c>
      <c r="W34" s="33">
        <f>D34*(1-D32)/D28/((1+G28)^W30)</f>
        <v>1.1690699999999996</v>
      </c>
      <c r="X34" s="33">
        <f>D34*(1-D32)/D28/((1+G28)^X30)</f>
        <v>1.1690699999999996</v>
      </c>
      <c r="Y34" s="33">
        <f>D34*(1-D32)/D28/((1+G28)^Y30)</f>
        <v>1.1690699999999996</v>
      </c>
      <c r="Z34" s="33">
        <f>D34*(1-D32)/D28/((1+G28)^Z30)</f>
        <v>1.1690699999999996</v>
      </c>
      <c r="AA34" s="33">
        <f>D34*(1-D32)/D28/((1+G28)^AA30)</f>
        <v>1.1690699999999996</v>
      </c>
    </row>
    <row r="35" spans="3:27" s="11" customFormat="1" ht="13" outlineLevel="1" x14ac:dyDescent="0.3">
      <c r="C35" s="18" t="s">
        <v>29</v>
      </c>
      <c r="D35" s="29">
        <v>0.35980000000000001</v>
      </c>
      <c r="F35" s="6" t="s">
        <v>17</v>
      </c>
      <c r="G35" s="33">
        <f>SUM(H36:AA36)</f>
        <v>4.8000000000000025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3:27" s="11" customFormat="1" ht="13" outlineLevel="1" x14ac:dyDescent="0.3">
      <c r="C36" s="18" t="s">
        <v>30</v>
      </c>
      <c r="D36" s="31">
        <v>0.69</v>
      </c>
      <c r="F36" s="7" t="s">
        <v>18</v>
      </c>
      <c r="G36" s="33"/>
      <c r="H36" s="33">
        <f>D31*D10/((1+G28)^H30)</f>
        <v>0.24</v>
      </c>
      <c r="I36" s="33">
        <f>D31*D10/((1+G28)^I30)</f>
        <v>0.24</v>
      </c>
      <c r="J36" s="33">
        <f>D31*D10/((1+G28)^J30)</f>
        <v>0.24</v>
      </c>
      <c r="K36" s="33">
        <f>D31*D10/((1+G28)^K30)</f>
        <v>0.24</v>
      </c>
      <c r="L36" s="33">
        <f>D31*D10/((1+G28)^L30)</f>
        <v>0.24</v>
      </c>
      <c r="M36" s="33">
        <f>D31*D10/((1+G28)^M30)</f>
        <v>0.24</v>
      </c>
      <c r="N36" s="33">
        <f>D31*D10/((1+G28)^N30)</f>
        <v>0.24</v>
      </c>
      <c r="O36" s="33">
        <f>D31*D10/((1+G28)^O30)</f>
        <v>0.24</v>
      </c>
      <c r="P36" s="33">
        <f>D31*D10/((1+G28)^P30)</f>
        <v>0.24</v>
      </c>
      <c r="Q36" s="33">
        <f>D31*D10/((1+G28)^Q30)</f>
        <v>0.24</v>
      </c>
      <c r="R36" s="33">
        <f>D31*D10/((1+G28)^R30)</f>
        <v>0.24</v>
      </c>
      <c r="S36" s="33">
        <f>D31*D10/((1+G28)^S30)</f>
        <v>0.24</v>
      </c>
      <c r="T36" s="33">
        <f>D31*D10/((1+G28)^T30)</f>
        <v>0.24</v>
      </c>
      <c r="U36" s="33">
        <f>D31*D10/((1+G28)^U30)</f>
        <v>0.24</v>
      </c>
      <c r="V36" s="33">
        <f>D31*D10/((1+G28)^V30)</f>
        <v>0.24</v>
      </c>
      <c r="W36" s="33">
        <f>D31*D10/((1+G28)^W30)</f>
        <v>0.24</v>
      </c>
      <c r="X36" s="33">
        <f>D31*D10/((1+G28)^X30)</f>
        <v>0.24</v>
      </c>
      <c r="Y36" s="33">
        <f>D31*D10/((1+G28)^Y30)</f>
        <v>0.24</v>
      </c>
      <c r="Z36" s="33">
        <f>D31*D10/((1+G28)^Z30)</f>
        <v>0.24</v>
      </c>
      <c r="AA36" s="33">
        <f>D31*D10/((1+G28)^AA30)</f>
        <v>0.24</v>
      </c>
    </row>
    <row r="37" spans="3:27" s="11" customFormat="1" ht="13" outlineLevel="1" x14ac:dyDescent="0.3">
      <c r="C37" s="18" t="s">
        <v>70</v>
      </c>
      <c r="D37" s="32">
        <f>分布式光伏电站IRR汇总!$B$27</f>
        <v>1</v>
      </c>
      <c r="F37" s="6" t="s">
        <v>19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>
        <f>D31*D34/((1+G28)^AA30)</f>
        <v>0.9844799999999998</v>
      </c>
    </row>
    <row r="38" spans="3:27" s="11" customFormat="1" ht="13" outlineLevel="1" x14ac:dyDescent="0.3">
      <c r="C38" s="18" t="s">
        <v>69</v>
      </c>
      <c r="D38" s="31">
        <f>D37*D36</f>
        <v>0.69</v>
      </c>
      <c r="F38" s="8" t="s">
        <v>64</v>
      </c>
      <c r="G38" s="33">
        <f>SUM(H39:AA39)</f>
        <v>113111.90066399991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3:27" s="11" customFormat="1" ht="13" outlineLevel="1" x14ac:dyDescent="0.3">
      <c r="C39" s="18" t="s">
        <v>31</v>
      </c>
      <c r="D39" s="27">
        <v>0</v>
      </c>
      <c r="F39" s="9" t="s">
        <v>65</v>
      </c>
      <c r="G39" s="33"/>
      <c r="H39" s="33">
        <f>($D$10*$D$27*(1-$D$29)*$D$33/((1+G28)^H30))*70%+($D$10*$D$27*(1-$D$29)*$D$33/((1+G28)^H30))*30%*85%</f>
        <v>5655.5950331999984</v>
      </c>
      <c r="I39" s="33">
        <f t="shared" ref="I39:AA39" si="2">($D$10*$D$27*(1-$D$29)*$D$33/((1+H28)^I30))*70%+($D$10*$D$27*(1-$D$29)*$D$33/((1+H28)^I30))*30%*85%</f>
        <v>5655.5950331999984</v>
      </c>
      <c r="J39" s="33">
        <f t="shared" si="2"/>
        <v>5655.5950331999984</v>
      </c>
      <c r="K39" s="33">
        <f t="shared" si="2"/>
        <v>5655.5950331999984</v>
      </c>
      <c r="L39" s="33">
        <f t="shared" si="2"/>
        <v>5655.5950331999984</v>
      </c>
      <c r="M39" s="33">
        <f t="shared" si="2"/>
        <v>5655.5950331999984</v>
      </c>
      <c r="N39" s="33">
        <f t="shared" si="2"/>
        <v>5655.5950331999984</v>
      </c>
      <c r="O39" s="33">
        <f t="shared" si="2"/>
        <v>5655.5950331999984</v>
      </c>
      <c r="P39" s="33">
        <f t="shared" si="2"/>
        <v>5655.5950331999984</v>
      </c>
      <c r="Q39" s="33">
        <f t="shared" si="2"/>
        <v>5655.5950331999984</v>
      </c>
      <c r="R39" s="33">
        <f t="shared" si="2"/>
        <v>5655.5950331999984</v>
      </c>
      <c r="S39" s="33">
        <f t="shared" si="2"/>
        <v>5655.5950331999984</v>
      </c>
      <c r="T39" s="33">
        <f t="shared" si="2"/>
        <v>5655.5950331999984</v>
      </c>
      <c r="U39" s="33">
        <f t="shared" si="2"/>
        <v>5655.5950331999984</v>
      </c>
      <c r="V39" s="33">
        <f t="shared" si="2"/>
        <v>5655.5950331999984</v>
      </c>
      <c r="W39" s="33">
        <f t="shared" si="2"/>
        <v>5655.5950331999984</v>
      </c>
      <c r="X39" s="33">
        <f t="shared" si="2"/>
        <v>5655.5950331999984</v>
      </c>
      <c r="Y39" s="33">
        <f t="shared" si="2"/>
        <v>5655.5950331999984</v>
      </c>
      <c r="Z39" s="33">
        <f t="shared" si="2"/>
        <v>5655.5950331999984</v>
      </c>
      <c r="AA39" s="33">
        <f t="shared" si="2"/>
        <v>5655.5950331999984</v>
      </c>
    </row>
    <row r="40" spans="3:27" s="11" customFormat="1" ht="13" outlineLevel="1" x14ac:dyDescent="0.3">
      <c r="C40" s="18" t="s">
        <v>256</v>
      </c>
      <c r="D40" s="32">
        <v>1</v>
      </c>
      <c r="F40" s="4" t="s">
        <v>66</v>
      </c>
      <c r="G40" s="33">
        <f>SUM(H41:AA41)</f>
        <v>78.047211458159978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3:27" s="11" customFormat="1" ht="13" outlineLevel="1" x14ac:dyDescent="0.3">
      <c r="C41" s="18" t="s">
        <v>258</v>
      </c>
      <c r="D41" s="31">
        <f>储能经济模型!E17</f>
        <v>7.55</v>
      </c>
      <c r="F41" s="7" t="s">
        <v>67</v>
      </c>
      <c r="G41" s="33"/>
      <c r="H41" s="33">
        <f>H39*$D$38/1000*$D$40+H39*$D$35/1000*(1-$D$40)</f>
        <v>3.9023605729079986</v>
      </c>
      <c r="I41" s="33">
        <f>I39*$D$38/1000*$D$40+I39*$D$35/1000*(1-$D$40)</f>
        <v>3.9023605729079986</v>
      </c>
      <c r="J41" s="33">
        <f t="shared" ref="J41:AA41" si="3">J39*$D$38/1000*$D$40+J39*$D$35/1000*(1-$D$40)</f>
        <v>3.9023605729079986</v>
      </c>
      <c r="K41" s="33">
        <f t="shared" si="3"/>
        <v>3.9023605729079986</v>
      </c>
      <c r="L41" s="33">
        <f t="shared" si="3"/>
        <v>3.9023605729079986</v>
      </c>
      <c r="M41" s="33">
        <f t="shared" si="3"/>
        <v>3.9023605729079986</v>
      </c>
      <c r="N41" s="33">
        <f t="shared" si="3"/>
        <v>3.9023605729079986</v>
      </c>
      <c r="O41" s="33">
        <f t="shared" si="3"/>
        <v>3.9023605729079986</v>
      </c>
      <c r="P41" s="33">
        <f t="shared" si="3"/>
        <v>3.9023605729079986</v>
      </c>
      <c r="Q41" s="33">
        <f t="shared" si="3"/>
        <v>3.9023605729079986</v>
      </c>
      <c r="R41" s="33">
        <f t="shared" si="3"/>
        <v>3.9023605729079986</v>
      </c>
      <c r="S41" s="33">
        <f t="shared" si="3"/>
        <v>3.9023605729079986</v>
      </c>
      <c r="T41" s="33">
        <f t="shared" si="3"/>
        <v>3.9023605729079986</v>
      </c>
      <c r="U41" s="33">
        <f t="shared" si="3"/>
        <v>3.9023605729079986</v>
      </c>
      <c r="V41" s="33">
        <f t="shared" si="3"/>
        <v>3.9023605729079986</v>
      </c>
      <c r="W41" s="33">
        <f t="shared" si="3"/>
        <v>3.9023605729079986</v>
      </c>
      <c r="X41" s="33">
        <f t="shared" si="3"/>
        <v>3.9023605729079986</v>
      </c>
      <c r="Y41" s="33">
        <f t="shared" si="3"/>
        <v>3.9023605729079986</v>
      </c>
      <c r="Z41" s="33">
        <f t="shared" si="3"/>
        <v>3.9023605729079986</v>
      </c>
      <c r="AA41" s="33">
        <f t="shared" si="3"/>
        <v>3.9023605729079986</v>
      </c>
    </row>
    <row r="42" spans="3:27" s="11" customFormat="1" ht="13" outlineLevel="1" x14ac:dyDescent="0.3">
      <c r="C42" s="18" t="s">
        <v>257</v>
      </c>
      <c r="D42" s="18">
        <v>4800</v>
      </c>
      <c r="F42" s="4" t="s">
        <v>20</v>
      </c>
      <c r="G42" s="33">
        <f>SUM(H43:AA43)</f>
        <v>12.466452864539999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3:27" s="11" customFormat="1" ht="13" outlineLevel="1" x14ac:dyDescent="0.3">
      <c r="C43" s="18" t="s">
        <v>259</v>
      </c>
      <c r="D43" s="147">
        <f>H20*0.3/D42*D41</f>
        <v>2.6116689399532702</v>
      </c>
      <c r="F43" s="7" t="s">
        <v>21</v>
      </c>
      <c r="G43" s="33"/>
      <c r="H43" s="33">
        <f>(H41-H34-H36)*G29</f>
        <v>0.62332264322699982</v>
      </c>
      <c r="I43" s="33">
        <f>(I41-I34-I36)*G29</f>
        <v>0.62332264322699982</v>
      </c>
      <c r="J43" s="33">
        <f>(J41-J34-J36)*G29</f>
        <v>0.62332264322699982</v>
      </c>
      <c r="K43" s="33">
        <f>(K41-K34-K36)*G29</f>
        <v>0.62332264322699982</v>
      </c>
      <c r="L43" s="33">
        <f>(L41-L34-L36)*G29</f>
        <v>0.62332264322699982</v>
      </c>
      <c r="M43" s="33">
        <f>(M41-M34-M36)*G29</f>
        <v>0.62332264322699982</v>
      </c>
      <c r="N43" s="33">
        <f>(N41-N34-N36)*G29</f>
        <v>0.62332264322699982</v>
      </c>
      <c r="O43" s="33">
        <f>(O41-O34-O36)*G29</f>
        <v>0.62332264322699982</v>
      </c>
      <c r="P43" s="33">
        <f>(P41-P34-P36)*G29</f>
        <v>0.62332264322699982</v>
      </c>
      <c r="Q43" s="33">
        <f>(Q41-Q34-Q36)*G29</f>
        <v>0.62332264322699982</v>
      </c>
      <c r="R43" s="33">
        <f>(R41-R34-R36)*G29</f>
        <v>0.62332264322699982</v>
      </c>
      <c r="S43" s="33">
        <f>(S41-S34-S36)*G29</f>
        <v>0.62332264322699982</v>
      </c>
      <c r="T43" s="33">
        <f>(T41-T34-T36)*G29</f>
        <v>0.62332264322699982</v>
      </c>
      <c r="U43" s="33">
        <f>(U41-U34-U36)*G29</f>
        <v>0.62332264322699982</v>
      </c>
      <c r="V43" s="33">
        <f>(V41-V34-V36)*G29</f>
        <v>0.62332264322699982</v>
      </c>
      <c r="W43" s="33">
        <f>(W41-W34-W36)*G29</f>
        <v>0.62332264322699982</v>
      </c>
      <c r="X43" s="33">
        <f>(X41-X34-X36)*G29</f>
        <v>0.62332264322699982</v>
      </c>
      <c r="Y43" s="33">
        <f>(Y41-Y34-Y36)*G29</f>
        <v>0.62332264322699982</v>
      </c>
      <c r="Z43" s="33">
        <f>(Z41-Z34-Z36)*G29</f>
        <v>0.62332264322699982</v>
      </c>
      <c r="AA43" s="33">
        <f>(AA41-AA34-AA36)*G29</f>
        <v>0.62332264322699982</v>
      </c>
    </row>
    <row r="44" spans="3:27" s="11" customFormat="1" ht="13" outlineLevel="1" x14ac:dyDescent="0.3">
      <c r="C44" s="18" t="s">
        <v>260</v>
      </c>
      <c r="D44" s="147">
        <f>D43/9</f>
        <v>0.2901854377725856</v>
      </c>
      <c r="F44" s="10" t="s">
        <v>22</v>
      </c>
      <c r="G44" s="33">
        <f>-G32</f>
        <v>-27.223668939953264</v>
      </c>
      <c r="H44" s="33">
        <f>H41-H43-H36</f>
        <v>3.0390379296809984</v>
      </c>
      <c r="I44" s="33">
        <f t="shared" ref="I44:AA44" si="4">I41-I43-I36</f>
        <v>3.0390379296809984</v>
      </c>
      <c r="J44" s="33">
        <f t="shared" si="4"/>
        <v>3.0390379296809984</v>
      </c>
      <c r="K44" s="33">
        <f t="shared" si="4"/>
        <v>3.0390379296809984</v>
      </c>
      <c r="L44" s="33">
        <f t="shared" si="4"/>
        <v>3.0390379296809984</v>
      </c>
      <c r="M44" s="33">
        <f t="shared" si="4"/>
        <v>3.0390379296809984</v>
      </c>
      <c r="N44" s="33">
        <f t="shared" si="4"/>
        <v>3.0390379296809984</v>
      </c>
      <c r="O44" s="33">
        <f t="shared" si="4"/>
        <v>3.0390379296809984</v>
      </c>
      <c r="P44" s="33">
        <f t="shared" si="4"/>
        <v>3.0390379296809984</v>
      </c>
      <c r="Q44" s="33">
        <f t="shared" si="4"/>
        <v>3.0390379296809984</v>
      </c>
      <c r="R44" s="33">
        <f t="shared" si="4"/>
        <v>3.0390379296809984</v>
      </c>
      <c r="S44" s="33">
        <f t="shared" si="4"/>
        <v>3.0390379296809984</v>
      </c>
      <c r="T44" s="33">
        <f t="shared" si="4"/>
        <v>3.0390379296809984</v>
      </c>
      <c r="U44" s="33">
        <f t="shared" si="4"/>
        <v>3.0390379296809984</v>
      </c>
      <c r="V44" s="33">
        <f t="shared" si="4"/>
        <v>3.0390379296809984</v>
      </c>
      <c r="W44" s="33">
        <f t="shared" si="4"/>
        <v>3.0390379296809984</v>
      </c>
      <c r="X44" s="33">
        <f t="shared" si="4"/>
        <v>3.0390379296809984</v>
      </c>
      <c r="Y44" s="33">
        <f t="shared" si="4"/>
        <v>3.0390379296809984</v>
      </c>
      <c r="Z44" s="33">
        <f t="shared" si="4"/>
        <v>3.0390379296809984</v>
      </c>
      <c r="AA44" s="33">
        <f t="shared" si="4"/>
        <v>3.0390379296809984</v>
      </c>
    </row>
    <row r="45" spans="3:27" s="11" customFormat="1" ht="13.5" outlineLevel="1" thickBot="1" x14ac:dyDescent="0.35">
      <c r="F45" s="3" t="s">
        <v>68</v>
      </c>
      <c r="G45" s="148">
        <f>IRR(G44:AA44)</f>
        <v>9.2661941883664278E-2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3:27" ht="14.5" thickTop="1" x14ac:dyDescent="0.3"/>
  </sheetData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8931-C2A3-4D0E-B1DF-7DCF60D487F1}">
  <dimension ref="B1:AA46"/>
  <sheetViews>
    <sheetView zoomScale="55" zoomScaleNormal="55" workbookViewId="0">
      <selection sqref="A1:XFD1048576"/>
    </sheetView>
  </sheetViews>
  <sheetFormatPr defaultRowHeight="14" outlineLevelRow="1" x14ac:dyDescent="0.3"/>
  <cols>
    <col min="1" max="1" width="8.6640625" style="82"/>
    <col min="2" max="2" width="4.75" style="82" bestFit="1" customWidth="1"/>
    <col min="3" max="3" width="26.4140625" style="82" bestFit="1" customWidth="1"/>
    <col min="4" max="4" width="7.83203125" style="82" bestFit="1" customWidth="1"/>
    <col min="5" max="5" width="8.6640625" style="82"/>
    <col min="6" max="6" width="40.6640625" style="82" customWidth="1"/>
    <col min="7" max="7" width="8.75" style="82" bestFit="1" customWidth="1"/>
    <col min="8" max="16384" width="8.6640625" style="82"/>
  </cols>
  <sheetData>
    <row r="1" spans="2:27" s="11" customFormat="1" ht="13" x14ac:dyDescent="0.3">
      <c r="B1" s="11" t="s">
        <v>130</v>
      </c>
      <c r="C1" s="11" t="s">
        <v>52</v>
      </c>
    </row>
    <row r="2" spans="2:27" s="11" customFormat="1" ht="13" x14ac:dyDescent="0.3">
      <c r="C2" s="11" t="s">
        <v>141</v>
      </c>
      <c r="D2" s="54">
        <f>D33</f>
        <v>1163</v>
      </c>
    </row>
    <row r="3" spans="2:27" s="11" customFormat="1" ht="13" x14ac:dyDescent="0.3">
      <c r="C3" s="16" t="s">
        <v>78</v>
      </c>
      <c r="D3" s="37">
        <f>G32/G38*1000</f>
        <v>0.21682188105008351</v>
      </c>
    </row>
    <row r="4" spans="2:27" s="11" customFormat="1" ht="13" x14ac:dyDescent="0.3">
      <c r="C4" s="13" t="s">
        <v>77</v>
      </c>
      <c r="D4" s="39">
        <f>G13/G19*1000</f>
        <v>0.40532962713043807</v>
      </c>
    </row>
    <row r="5" spans="2:27" s="11" customFormat="1" ht="13" x14ac:dyDescent="0.3">
      <c r="C5" s="13" t="s">
        <v>61</v>
      </c>
      <c r="D5" s="36">
        <f>G26</f>
        <v>-9.4040169063962176E-2</v>
      </c>
    </row>
    <row r="6" spans="2:27" s="11" customFormat="1" ht="13" x14ac:dyDescent="0.3">
      <c r="C6" s="13" t="s">
        <v>73</v>
      </c>
      <c r="D6" s="25">
        <f>SUM(G25:AA25)</f>
        <v>-2.3145166410022364</v>
      </c>
    </row>
    <row r="7" spans="2:27" s="11" customFormat="1" ht="13.5" thickBot="1" x14ac:dyDescent="0.35">
      <c r="C7" s="23" t="s">
        <v>68</v>
      </c>
      <c r="D7" s="26" t="e">
        <f>G45</f>
        <v>#VALUE!</v>
      </c>
    </row>
    <row r="8" spans="2:27" s="11" customFormat="1" ht="13.5" outlineLevel="1" thickTop="1" x14ac:dyDescent="0.3">
      <c r="E8" s="20"/>
      <c r="F8" s="38" t="s">
        <v>75</v>
      </c>
    </row>
    <row r="9" spans="2:27" s="11" customFormat="1" ht="13" outlineLevel="1" x14ac:dyDescent="0.3">
      <c r="C9" s="11" t="s">
        <v>71</v>
      </c>
      <c r="F9" s="13" t="s">
        <v>25</v>
      </c>
      <c r="G9" s="14">
        <v>7.0000000000000007E-2</v>
      </c>
    </row>
    <row r="10" spans="2:27" s="11" customFormat="1" ht="13" outlineLevel="1" x14ac:dyDescent="0.3">
      <c r="C10" s="18" t="s">
        <v>53</v>
      </c>
      <c r="D10" s="19">
        <f>分布式光伏电站IRR汇总!$B$2</f>
        <v>6</v>
      </c>
      <c r="F10" s="13" t="s">
        <v>26</v>
      </c>
      <c r="G10" s="14">
        <v>0.25</v>
      </c>
    </row>
    <row r="11" spans="2:27" s="11" customFormat="1" ht="13" outlineLevel="1" x14ac:dyDescent="0.3">
      <c r="C11" s="18" t="s">
        <v>56</v>
      </c>
      <c r="D11" s="19">
        <f>分布式光伏电站IRR汇总!$B$3</f>
        <v>120</v>
      </c>
      <c r="F11" s="1" t="s">
        <v>44</v>
      </c>
      <c r="G11" s="4"/>
      <c r="H11" s="5">
        <v>1</v>
      </c>
      <c r="I11" s="5">
        <v>2</v>
      </c>
      <c r="J11" s="5">
        <v>3</v>
      </c>
      <c r="K11" s="5">
        <v>4</v>
      </c>
      <c r="L11" s="5">
        <v>5</v>
      </c>
      <c r="M11" s="5">
        <v>6</v>
      </c>
      <c r="N11" s="5">
        <v>7</v>
      </c>
      <c r="O11" s="5">
        <v>8</v>
      </c>
      <c r="P11" s="5">
        <v>9</v>
      </c>
      <c r="Q11" s="5">
        <v>10</v>
      </c>
      <c r="R11" s="5">
        <v>11</v>
      </c>
      <c r="S11" s="5">
        <v>12</v>
      </c>
      <c r="T11" s="5">
        <v>13</v>
      </c>
      <c r="U11" s="5">
        <v>14</v>
      </c>
      <c r="V11" s="5">
        <v>15</v>
      </c>
      <c r="W11" s="5">
        <v>16</v>
      </c>
      <c r="X11" s="5">
        <v>17</v>
      </c>
      <c r="Y11" s="5">
        <v>18</v>
      </c>
      <c r="Z11" s="5">
        <v>19</v>
      </c>
      <c r="AA11" s="5">
        <v>20</v>
      </c>
    </row>
    <row r="12" spans="2:27" s="11" customFormat="1" ht="13" outlineLevel="1" x14ac:dyDescent="0.3">
      <c r="C12" s="18" t="s">
        <v>57</v>
      </c>
      <c r="D12" s="19">
        <f>分布式光伏电站IRR汇总!$B$4</f>
        <v>3</v>
      </c>
      <c r="F12" s="16"/>
      <c r="G12" s="2" t="s">
        <v>0</v>
      </c>
      <c r="H12" s="2" t="s">
        <v>1</v>
      </c>
      <c r="I12" s="2" t="s">
        <v>2</v>
      </c>
      <c r="J12" s="2" t="s">
        <v>3</v>
      </c>
      <c r="K12" s="2" t="s">
        <v>4</v>
      </c>
      <c r="L12" s="2" t="s">
        <v>5</v>
      </c>
      <c r="M12" s="2" t="s">
        <v>6</v>
      </c>
      <c r="N12" s="2" t="s">
        <v>7</v>
      </c>
      <c r="O12" s="2" t="s">
        <v>8</v>
      </c>
      <c r="P12" s="2" t="s">
        <v>9</v>
      </c>
      <c r="Q12" s="2" t="s">
        <v>10</v>
      </c>
      <c r="R12" s="2" t="s">
        <v>11</v>
      </c>
      <c r="S12" s="2" t="s">
        <v>12</v>
      </c>
      <c r="T12" s="2" t="s">
        <v>13</v>
      </c>
      <c r="U12" s="2" t="s">
        <v>45</v>
      </c>
      <c r="V12" s="2" t="s">
        <v>46</v>
      </c>
      <c r="W12" s="2" t="s">
        <v>47</v>
      </c>
      <c r="X12" s="2" t="s">
        <v>48</v>
      </c>
      <c r="Y12" s="2" t="s">
        <v>49</v>
      </c>
      <c r="Z12" s="2" t="s">
        <v>50</v>
      </c>
      <c r="AA12" s="2" t="s">
        <v>127</v>
      </c>
    </row>
    <row r="13" spans="2:27" s="11" customFormat="1" ht="13" outlineLevel="1" x14ac:dyDescent="0.3">
      <c r="C13" s="18" t="s">
        <v>54</v>
      </c>
      <c r="D13" s="19">
        <f>分布式光伏电站IRR汇总!$B$5</f>
        <v>5</v>
      </c>
      <c r="F13" s="6" t="s">
        <v>14</v>
      </c>
      <c r="G13" s="33">
        <f>D34</f>
        <v>24.611999999999995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27" s="11" customFormat="1" ht="13" outlineLevel="1" x14ac:dyDescent="0.3">
      <c r="C14" s="18" t="s">
        <v>55</v>
      </c>
      <c r="D14" s="19">
        <f>分布式光伏电站IRR汇总!$B$6</f>
        <v>15</v>
      </c>
      <c r="F14" s="6" t="s">
        <v>15</v>
      </c>
      <c r="G14" s="33">
        <f>SUM(H15:AA15)</f>
        <v>12.385144234005573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2:27" s="11" customFormat="1" ht="13" outlineLevel="1" x14ac:dyDescent="0.3">
      <c r="C15" s="18" t="s">
        <v>42</v>
      </c>
      <c r="D15" s="19">
        <f>分布式光伏电站IRR汇总!$B$7</f>
        <v>4.1019999999999994</v>
      </c>
      <c r="F15" s="7" t="s">
        <v>16</v>
      </c>
      <c r="G15" s="33"/>
      <c r="H15" s="33">
        <f>D34*(1-D32)/D28/((1+G9)^H11)</f>
        <v>1.0925887850467286</v>
      </c>
      <c r="I15" s="33">
        <f>D34*(1-D32)/D28/((1+G9)^I11)</f>
        <v>1.0211110140623632</v>
      </c>
      <c r="J15" s="33">
        <f>D34*(1-D32)/D28/((1+G9)^J11)</f>
        <v>0.95430935893678792</v>
      </c>
      <c r="K15" s="33">
        <f>D34*(1-D32)/D28/((1+G9)^K11)</f>
        <v>0.89187790554839996</v>
      </c>
      <c r="L15" s="33">
        <f>D34*(1-D32)/D28/((1+G9)^L11)</f>
        <v>0.83353075284897193</v>
      </c>
      <c r="M15" s="33">
        <f>D34*(1-D32)/D28/((1+G9)^M11)</f>
        <v>0.77900070359717</v>
      </c>
      <c r="N15" s="33">
        <f>D34*(1-D32)/D28/((1+G9)^N11)</f>
        <v>0.72803804074501866</v>
      </c>
      <c r="O15" s="33">
        <f>D34*(1-D32)/D28/((1+G9)^O11)</f>
        <v>0.6804093838738493</v>
      </c>
      <c r="P15" s="33">
        <f>D34*(1-D32)/D28/((1+G9)^P11)</f>
        <v>0.63589662044284967</v>
      </c>
      <c r="Q15" s="33">
        <f>D34*(1-D32)/D28/((1+G9)^Q11)</f>
        <v>0.59429590695593437</v>
      </c>
      <c r="R15" s="33">
        <f>D34*(1-D32)/D28/((1+G9)^R11)</f>
        <v>0.55541673547283577</v>
      </c>
      <c r="S15" s="33">
        <f>D34*(1-D32)/D28/((1+G9)^S11)</f>
        <v>0.51908106118956621</v>
      </c>
      <c r="T15" s="33">
        <f>D34*(1-D32)/D28/((1+G9)^T11)</f>
        <v>0.4851224870930525</v>
      </c>
      <c r="U15" s="33">
        <f>D34*(1-D32)/D28/((1+G9)^U11)</f>
        <v>0.45338550195612387</v>
      </c>
      <c r="V15" s="33">
        <f>D34*(1-D32)/D28/((1+G9)^V11)</f>
        <v>0.4237247681832933</v>
      </c>
      <c r="W15" s="33">
        <f>D34*(1-D32)/D28/((1+G9)^W11)</f>
        <v>0.39600445624606856</v>
      </c>
      <c r="X15" s="33">
        <f>D34*(1-D32)/D28/((1+G9)^X11)</f>
        <v>0.37009762265987711</v>
      </c>
      <c r="Y15" s="33">
        <f>D34*(1-D32)/D28/((1+G9)^Y11)</f>
        <v>0.34588562865409078</v>
      </c>
      <c r="Z15" s="33">
        <f>D34*(1-D32)/D28/((1+G9)^Z11)</f>
        <v>0.323257596872982</v>
      </c>
      <c r="AA15" s="33">
        <f>D34*(1-D32)/D28/((1+G9)^AA11)</f>
        <v>0.30210990361960938</v>
      </c>
    </row>
    <row r="16" spans="2:27" s="11" customFormat="1" ht="13" outlineLevel="1" x14ac:dyDescent="0.3">
      <c r="C16" s="21" t="s">
        <v>32</v>
      </c>
      <c r="D16" s="19">
        <f>分布式光伏电站IRR汇总!$B$8</f>
        <v>1.8870000000000002</v>
      </c>
      <c r="F16" s="6" t="s">
        <v>17</v>
      </c>
      <c r="G16" s="33">
        <f>SUM(H17:AA17)</f>
        <v>2.5425634189238777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3:27" s="11" customFormat="1" ht="13" outlineLevel="1" x14ac:dyDescent="0.3">
      <c r="C17" s="21" t="s">
        <v>33</v>
      </c>
      <c r="D17" s="19">
        <f>分布式光伏电站IRR汇总!$B$9</f>
        <v>0.18500000000000003</v>
      </c>
      <c r="F17" s="7" t="s">
        <v>18</v>
      </c>
      <c r="G17" s="33"/>
      <c r="H17" s="33">
        <f>D31*D10/((1+G9)^H11)</f>
        <v>0.22429906542056072</v>
      </c>
      <c r="I17" s="33">
        <f>D31*D10/((1+G9)^I11)</f>
        <v>0.20962529478557079</v>
      </c>
      <c r="J17" s="33">
        <f>D31*D10/((1+G9)^J11)</f>
        <v>0.19591149045380446</v>
      </c>
      <c r="K17" s="33">
        <f>D31*D10/((1+G9)^K11)</f>
        <v>0.18309485089140604</v>
      </c>
      <c r="L17" s="33">
        <f>D31*D10/((1+G9)^L11)</f>
        <v>0.17111668307608041</v>
      </c>
      <c r="M17" s="33">
        <f>D31*D10/((1+G9)^M11)</f>
        <v>0.15992213371596301</v>
      </c>
      <c r="N17" s="33">
        <f>D31*D10/((1+G9)^N11)</f>
        <v>0.14945993805230187</v>
      </c>
      <c r="O17" s="33">
        <f>D31*D10/((1+G9)^O11)</f>
        <v>0.13968218509560923</v>
      </c>
      <c r="P17" s="33">
        <f>D31*D10/((1+G9)^P11)</f>
        <v>0.13054409822019553</v>
      </c>
      <c r="Q17" s="33">
        <f>D31*D10/((1+G9)^Q11)</f>
        <v>0.12200383011233226</v>
      </c>
      <c r="R17" s="33">
        <f>D31*D10/((1+G9)^R11)</f>
        <v>0.1140222711330208</v>
      </c>
      <c r="S17" s="33">
        <f>D31*D10/((1+G9)^S11)</f>
        <v>0.10656287021777647</v>
      </c>
      <c r="T17" s="33">
        <f>D31*D10/((1+G9)^T11)</f>
        <v>9.9591467493249028E-2</v>
      </c>
      <c r="U17" s="33">
        <f>D31*D10/((1+G9)^U11)</f>
        <v>9.3076137844157969E-2</v>
      </c>
      <c r="V17" s="33">
        <f>D31*D10/((1+G9)^V11)</f>
        <v>8.6987044714166323E-2</v>
      </c>
      <c r="W17" s="33">
        <f>D31*D10/((1+G9)^W11)</f>
        <v>8.1296303471183481E-2</v>
      </c>
      <c r="X17" s="33">
        <f>D31*D10/((1+G9)^X11)</f>
        <v>7.5977853711386434E-2</v>
      </c>
      <c r="Y17" s="33">
        <f>D31*D10/((1+G9)^Y11)</f>
        <v>7.1007339917183582E-2</v>
      </c>
      <c r="Z17" s="33">
        <f>D31*D10/((1+G9)^Z11)</f>
        <v>6.6361999922601472E-2</v>
      </c>
      <c r="AA17" s="33">
        <f>D31*D10/((1+G9)^AA11)</f>
        <v>6.2020560675328483E-2</v>
      </c>
    </row>
    <row r="18" spans="3:27" s="11" customFormat="1" ht="13" outlineLevel="1" x14ac:dyDescent="0.3">
      <c r="C18" s="21" t="s">
        <v>34</v>
      </c>
      <c r="D18" s="19">
        <f>分布式光伏电站IRR汇总!$B$10</f>
        <v>0.222</v>
      </c>
      <c r="F18" s="6" t="s">
        <v>19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>
        <f>D31*D34/((1+G9)^AA11)</f>
        <v>0.2544083398901974</v>
      </c>
    </row>
    <row r="19" spans="3:27" s="11" customFormat="1" ht="13" outlineLevel="1" x14ac:dyDescent="0.3">
      <c r="C19" s="21" t="s">
        <v>35</v>
      </c>
      <c r="D19" s="19">
        <f>分布式光伏电站IRR汇总!$B$11</f>
        <v>0.44400000000000001</v>
      </c>
      <c r="F19" s="8" t="s">
        <v>64</v>
      </c>
      <c r="G19" s="33">
        <f>SUM(H20:AA20)</f>
        <v>60720.949944474873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spans="3:27" s="11" customFormat="1" ht="13" outlineLevel="1" x14ac:dyDescent="0.3">
      <c r="C20" s="21" t="s">
        <v>36</v>
      </c>
      <c r="D20" s="19">
        <f>分布式光伏电站IRR汇总!$B$12</f>
        <v>0.222</v>
      </c>
      <c r="F20" s="9" t="s">
        <v>65</v>
      </c>
      <c r="G20" s="33"/>
      <c r="H20" s="33">
        <f>D10*D27*(1-D29)*D33/((1+G9)^H11)</f>
        <v>5534.6626542056065</v>
      </c>
      <c r="I20" s="33">
        <f>D10*D27*(1-D29)*(1-D30)^(I11-1)*D33/((1+G9)^I11)</f>
        <v>5149.3053011791417</v>
      </c>
      <c r="J20" s="33">
        <f>D10*D27*(1-D29)*(1-D30)^(J11-1)*D33/((1+G9)^J11)</f>
        <v>4790.778904040968</v>
      </c>
      <c r="K20" s="33">
        <f>D10*D27*(1-D29)*(1-D30)^(K11-1)*D33/((1+G9)^K11)</f>
        <v>4457.2153261427893</v>
      </c>
      <c r="L20" s="33">
        <f>D10*D27*(1-D29)*(1-D30)^(L11-1)*D33/((1+G9)^L11)</f>
        <v>4146.8765020328474</v>
      </c>
      <c r="M20" s="33">
        <f>D10*D27*(1-D29)*(1-D30)^(M11-1)*D33/((1+G9)^M11)</f>
        <v>3858.1453810969156</v>
      </c>
      <c r="N20" s="33">
        <f>D10*D27*(1-D29)*(1-D30)^(N11-1)*D33/((1+G9)^N11)</f>
        <v>3589.5175017588595</v>
      </c>
      <c r="O20" s="33">
        <f>D10*D27*(1-D29)*(1-D30)^(O11-1)*D33/((1+G9)^O11)</f>
        <v>3339.5931523373315</v>
      </c>
      <c r="P20" s="33">
        <f>D10*D27*(1-D29)*(1-D30)^(P11-1)*D33/((1+G9)^P11)</f>
        <v>3107.070077711975</v>
      </c>
      <c r="Q20" s="33">
        <f>D10*D27*(1-D29)*(1-D30)^(Q11-1)*D33/((1+G9)^Q11)</f>
        <v>2890.7366937965157</v>
      </c>
      <c r="R20" s="33">
        <f>D10*D27*(1-D29)*(1-D30)^(R11-1)*D33/((1+G9)^R11)</f>
        <v>2689.4657744620854</v>
      </c>
      <c r="S20" s="33">
        <f>D10*D27*(1-D29)*(1-D30)^(S11-1)*D33/((1+G9)^S11)</f>
        <v>2502.2085780158936</v>
      </c>
      <c r="T20" s="33">
        <f>D10*D27*(1-D29)*(1-D30)^(T11-1)*D33/((1+G9)^T11)</f>
        <v>2327.9893826306752</v>
      </c>
      <c r="U20" s="33">
        <f>D10*D27*(1-D29)*(1-D30)^(U11-1)*D33/((1+G9)^U11)</f>
        <v>2165.9004022512495</v>
      </c>
      <c r="V20" s="33">
        <f>D10*D27*(1-D29)*(1-D30)^(V11-1)*D33/((1+G9)^V11)</f>
        <v>2015.0970564870267</v>
      </c>
      <c r="W20" s="33">
        <f>D10*D27*(1-D29)*(1-D30)^(W11-1)*D33/((1+G9)^W11)</f>
        <v>1874.793569843772</v>
      </c>
      <c r="X20" s="33">
        <f>D10*D27*(1-D29)*(1-D30)^(X11-1)*D33/((1+G9)^X11)</f>
        <v>1744.2588773639952</v>
      </c>
      <c r="Y20" s="33">
        <f>D10*D27*(1-D29)*(1-D30)^(Y11-1)*D33/((1+G9)^Y11)</f>
        <v>1622.8128153419225</v>
      </c>
      <c r="Z20" s="33">
        <f>D10*D27*(1-D29)*(1-D30)^(Z11-1)*D33/((1+G9)^Z11)</f>
        <v>1509.822577264378</v>
      </c>
      <c r="AA20" s="33">
        <f>D10*D27*(1-D29)*(1-D30)^(AA11-1)*D33/((1+G9)^AA11)</f>
        <v>1404.6994165109238</v>
      </c>
    </row>
    <row r="21" spans="3:27" s="11" customFormat="1" ht="13" outlineLevel="1" x14ac:dyDescent="0.3">
      <c r="C21" s="21" t="s">
        <v>37</v>
      </c>
      <c r="D21" s="19">
        <f>分布式光伏电站IRR汇总!$B$13</f>
        <v>0.15</v>
      </c>
      <c r="F21" s="4" t="s">
        <v>66</v>
      </c>
      <c r="G21" s="33">
        <f>SUM(H22:AA22)</f>
        <v>35.882438160187981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3:27" s="11" customFormat="1" ht="13" outlineLevel="1" x14ac:dyDescent="0.3">
      <c r="C22" s="21" t="s">
        <v>38</v>
      </c>
      <c r="D22" s="19">
        <f>分布式光伏电站IRR汇总!$B$14</f>
        <v>3.7000000000000005E-2</v>
      </c>
      <c r="F22" s="7" t="s">
        <v>67</v>
      </c>
      <c r="G22" s="33"/>
      <c r="H22" s="33">
        <f>H20*$D$38/1000*$D$40+H20*$D$35/1000*(1-$D$40)</f>
        <v>3.2706535488762611</v>
      </c>
      <c r="I22" s="33">
        <f t="shared" ref="I22:AA22" si="0">I20*$D$38/1000*$D$40+I20*$D$35/1000*(1-$D$40)</f>
        <v>3.0429304746788017</v>
      </c>
      <c r="J22" s="33">
        <f t="shared" si="0"/>
        <v>2.8310628855539695</v>
      </c>
      <c r="K22" s="33">
        <f t="shared" si="0"/>
        <v>2.6339468248308195</v>
      </c>
      <c r="L22" s="33">
        <f t="shared" si="0"/>
        <v>2.4505552001112902</v>
      </c>
      <c r="M22" s="33">
        <f t="shared" si="0"/>
        <v>2.2799324315054115</v>
      </c>
      <c r="N22" s="33">
        <f t="shared" si="0"/>
        <v>2.1211894724893798</v>
      </c>
      <c r="O22" s="33">
        <f t="shared" si="0"/>
        <v>1.9734991774422226</v>
      </c>
      <c r="P22" s="33">
        <f t="shared" si="0"/>
        <v>1.8360919917231147</v>
      </c>
      <c r="Q22" s="33">
        <f t="shared" si="0"/>
        <v>1.7082519418321129</v>
      </c>
      <c r="R22" s="33">
        <f t="shared" si="0"/>
        <v>1.5893129047606247</v>
      </c>
      <c r="S22" s="33">
        <f t="shared" si="0"/>
        <v>1.4786551370927121</v>
      </c>
      <c r="T22" s="33">
        <f t="shared" si="0"/>
        <v>1.3757020457717712</v>
      </c>
      <c r="U22" s="33">
        <f t="shared" si="0"/>
        <v>1.2799171837063532</v>
      </c>
      <c r="V22" s="33">
        <f t="shared" si="0"/>
        <v>1.1908014545604435</v>
      </c>
      <c r="W22" s="33">
        <f t="shared" si="0"/>
        <v>1.1078905121634786</v>
      </c>
      <c r="X22" s="33">
        <f t="shared" si="0"/>
        <v>1.0307523409894792</v>
      </c>
      <c r="Y22" s="33">
        <f t="shared" si="0"/>
        <v>0.95898500509815554</v>
      </c>
      <c r="Z22" s="33">
        <f t="shared" si="0"/>
        <v>0.89221455380861148</v>
      </c>
      <c r="AA22" s="33">
        <f t="shared" si="0"/>
        <v>0.83009307319296533</v>
      </c>
    </row>
    <row r="23" spans="3:27" s="11" customFormat="1" ht="13" outlineLevel="1" x14ac:dyDescent="0.3">
      <c r="C23" s="21" t="s">
        <v>39</v>
      </c>
      <c r="D23" s="19">
        <f>分布式光伏电站IRR汇总!$B$15</f>
        <v>0.25900000000000006</v>
      </c>
      <c r="F23" s="4" t="s">
        <v>20</v>
      </c>
      <c r="G23" s="33">
        <f>SUM(H24:V24)</f>
        <v>4.5572035719390378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3:27" s="11" customFormat="1" ht="13" outlineLevel="1" x14ac:dyDescent="0.3">
      <c r="C24" s="21" t="s">
        <v>40</v>
      </c>
      <c r="D24" s="19">
        <f>分布式光伏电站IRR汇总!$B$16</f>
        <v>7.400000000000001E-2</v>
      </c>
      <c r="F24" s="7" t="s">
        <v>21</v>
      </c>
      <c r="G24" s="33"/>
      <c r="H24" s="33">
        <f>(H22-H15-H17)*G10</f>
        <v>0.48844142460224294</v>
      </c>
      <c r="I24" s="33">
        <f>(I22-I15-I17)*G10</f>
        <v>0.45304854145771695</v>
      </c>
      <c r="J24" s="33">
        <f>(J22-J15-J17)*G10</f>
        <v>0.42021050904084428</v>
      </c>
      <c r="K24" s="33">
        <f>(K22-K15-K17)*G10</f>
        <v>0.3897435170977534</v>
      </c>
      <c r="L24" s="33">
        <f>(L22-L15-L17)*G10</f>
        <v>0.36147694104655947</v>
      </c>
      <c r="M24" s="33">
        <f>(M22-M15-M17)*G10</f>
        <v>0.3352523985480696</v>
      </c>
      <c r="N24" s="33">
        <f>(N22-N15-N17)*G10</f>
        <v>0.31092287342301483</v>
      </c>
      <c r="O24" s="33">
        <f>(O22-O15-O17)*G10</f>
        <v>0.28835190211819106</v>
      </c>
      <c r="P24" s="33">
        <f>(P22-P15-P17)*G10</f>
        <v>0.26741281826501739</v>
      </c>
      <c r="Q24" s="33">
        <f>(Q22-Q15-Q17)*G10</f>
        <v>0.24798805119096157</v>
      </c>
      <c r="R24" s="33">
        <f>(R22-R15-R17)*G10</f>
        <v>0.22996847453869207</v>
      </c>
      <c r="S24" s="33">
        <f>(S22-S15-S17)*G10</f>
        <v>0.21325280142134237</v>
      </c>
      <c r="T24" s="33">
        <f>(T22-T15-T17)*G10</f>
        <v>0.19774702279636744</v>
      </c>
      <c r="U24" s="33">
        <f>(U22-U15-U17)*G10</f>
        <v>0.18336388597651782</v>
      </c>
      <c r="V24" s="33">
        <f>(V22-V15-V17)*G10</f>
        <v>0.17002241041574598</v>
      </c>
      <c r="W24" s="33">
        <f>(W22-W15-W17)*G10</f>
        <v>0.15764743811155665</v>
      </c>
      <c r="X24" s="33">
        <f>(X22-X15-X17)*G10</f>
        <v>0.14616921615455392</v>
      </c>
      <c r="Y24" s="33">
        <f>(Y22-Y15-Y17)*G10</f>
        <v>0.1355230091317203</v>
      </c>
      <c r="Z24" s="33">
        <f>(Z22-Z15-Z17)*G10</f>
        <v>0.12564873925325698</v>
      </c>
      <c r="AA24" s="33">
        <f>(AA22-AA15-AA17)*G10</f>
        <v>0.11649065222450686</v>
      </c>
    </row>
    <row r="25" spans="3:27" s="11" customFormat="1" ht="13" outlineLevel="1" x14ac:dyDescent="0.3">
      <c r="C25" s="21" t="s">
        <v>41</v>
      </c>
      <c r="D25" s="19">
        <f>分布式光伏电站IRR汇总!$B$17</f>
        <v>0.222</v>
      </c>
      <c r="F25" s="10" t="s">
        <v>22</v>
      </c>
      <c r="G25" s="33">
        <f>-G13</f>
        <v>-24.611999999999995</v>
      </c>
      <c r="H25" s="33">
        <f>H22-H24-H17-'自发自用比例=100%（结合储能-自投）'!$D$44</f>
        <v>2.2677276210808719</v>
      </c>
      <c r="I25" s="33">
        <f>I22-I24-I17-'自发自用比例=100%（结合储能-自投）'!$D$44</f>
        <v>2.090071200662929</v>
      </c>
      <c r="J25" s="33">
        <f>J22-J24-J17-'自发自用比例=100%（结合储能-自投）'!$D$44</f>
        <v>1.9247554482867353</v>
      </c>
      <c r="K25" s="33">
        <f>K22-K24-K17-'自发自用比例=100%（结合储能-自投）'!$D$44</f>
        <v>1.7709230190690748</v>
      </c>
      <c r="L25" s="33">
        <f>L22-L24-L17-'自发自用比例=100%（结合储能-自投）'!$D$44</f>
        <v>1.6277761382160647</v>
      </c>
      <c r="M25" s="33">
        <f>M22-M24-M17-'自发自用比例=100%（结合储能-自投）'!$D$44</f>
        <v>1.4945724614687932</v>
      </c>
      <c r="N25" s="33">
        <f>N22-N24-N17-'自发自用比例=100%（结合储能-自投）'!$D$44</f>
        <v>1.3706212232414774</v>
      </c>
      <c r="O25" s="33">
        <f>O22-O24-O17-'自发自用比例=100%（结合储能-自投）'!$D$44</f>
        <v>1.2552796524558367</v>
      </c>
      <c r="P25" s="33">
        <f>P22-P24-P17-'自发自用比例=100%（结合储能-自投）'!$D$44</f>
        <v>1.147949637465316</v>
      </c>
      <c r="Q25" s="33">
        <f>Q22-Q24-Q17-'自发自用比例=100%（结合储能-自投）'!$D$44</f>
        <v>1.0480746227562334</v>
      </c>
      <c r="R25" s="33">
        <f>R22-R24-R17-'自发自用比例=100%（结合储能-自投）'!$D$44</f>
        <v>0.95513672131632621</v>
      </c>
      <c r="S25" s="33">
        <f>S22-S24-S17-'自发自用比例=100%（结合储能-自投）'!$D$44</f>
        <v>0.86865402768100752</v>
      </c>
      <c r="T25" s="33">
        <f>T22-T24-T17-'自发自用比例=100%（结合储能-自投）'!$D$44</f>
        <v>0.78817811770956925</v>
      </c>
      <c r="U25" s="33">
        <f>U22-U24-U17-'自发自用比例=100%（结合储能-自投）'!$D$44</f>
        <v>0.71329172211309166</v>
      </c>
      <c r="V25" s="33">
        <f>V22-V24-V17-'自发自用比例=100%（结合储能-自投）'!$D$44</f>
        <v>0.64360656165794561</v>
      </c>
      <c r="W25" s="33">
        <f>W22-W24-W17-'自发自用比例=100%（结合储能-自投）'!$D$44</f>
        <v>0.5787613328081529</v>
      </c>
      <c r="X25" s="33">
        <f>X22-X24-X17-'自发自用比例=100%（结合储能-自投）'!$D$44</f>
        <v>0.51841983335095332</v>
      </c>
      <c r="Y25" s="33">
        <f>Y22-Y24-Y17-'自发自用比例=100%（结合储能-自投）'!$D$44</f>
        <v>0.46226921827666606</v>
      </c>
      <c r="Z25" s="33">
        <f>Z22-Z24-Z17-'自发自用比例=100%（结合储能-自投）'!$D$44</f>
        <v>0.41001837686016734</v>
      </c>
      <c r="AA25" s="33">
        <f>AA22-AA24-AA17-'自发自用比例=100%（结合储能-自投）'!$D$44</f>
        <v>0.36139642252054444</v>
      </c>
    </row>
    <row r="26" spans="3:27" s="11" customFormat="1" ht="13.5" outlineLevel="1" thickBot="1" x14ac:dyDescent="0.35">
      <c r="C26" s="21" t="s">
        <v>74</v>
      </c>
      <c r="D26" s="19">
        <f>分布式光伏电站IRR汇总!$B$18</f>
        <v>0.4</v>
      </c>
      <c r="F26" s="3" t="s">
        <v>61</v>
      </c>
      <c r="G26" s="35">
        <f>SUM(G25:AA25)/G13</f>
        <v>-9.4040169063962176E-2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3:27" s="11" customFormat="1" ht="13.5" outlineLevel="1" thickTop="1" x14ac:dyDescent="0.3">
      <c r="C27" s="18" t="s">
        <v>58</v>
      </c>
      <c r="D27" s="19">
        <f>分布式光伏电站IRR汇总!$B$19</f>
        <v>0.86599999999999999</v>
      </c>
    </row>
    <row r="28" spans="3:27" s="11" customFormat="1" ht="13" outlineLevel="1" x14ac:dyDescent="0.3">
      <c r="C28" s="18" t="s">
        <v>62</v>
      </c>
      <c r="D28" s="19">
        <f>分布式光伏电站IRR汇总!$B$20</f>
        <v>20</v>
      </c>
      <c r="F28" s="13" t="s">
        <v>25</v>
      </c>
      <c r="G28" s="14">
        <v>0</v>
      </c>
    </row>
    <row r="29" spans="3:27" s="11" customFormat="1" ht="13" outlineLevel="1" x14ac:dyDescent="0.3">
      <c r="C29" s="18" t="s">
        <v>59</v>
      </c>
      <c r="D29" s="52">
        <f>分布式光伏电站IRR汇总!$B$21</f>
        <v>0.02</v>
      </c>
      <c r="F29" s="13" t="s">
        <v>26</v>
      </c>
      <c r="G29" s="14">
        <v>0.25</v>
      </c>
      <c r="Q29" s="15"/>
    </row>
    <row r="30" spans="3:27" s="11" customFormat="1" ht="13" outlineLevel="1" x14ac:dyDescent="0.3">
      <c r="C30" s="18" t="s">
        <v>60</v>
      </c>
      <c r="D30" s="52">
        <f>分布式光伏电站IRR汇总!$B$22</f>
        <v>4.4999999999999997E-3</v>
      </c>
      <c r="F30" s="1" t="s">
        <v>44</v>
      </c>
      <c r="G30" s="4"/>
      <c r="H30" s="5">
        <v>1</v>
      </c>
      <c r="I30" s="5">
        <v>2</v>
      </c>
      <c r="J30" s="5">
        <v>3</v>
      </c>
      <c r="K30" s="5">
        <v>4</v>
      </c>
      <c r="L30" s="5">
        <v>5</v>
      </c>
      <c r="M30" s="5">
        <v>6</v>
      </c>
      <c r="N30" s="5">
        <v>7</v>
      </c>
      <c r="O30" s="5">
        <v>8</v>
      </c>
      <c r="P30" s="5">
        <v>9</v>
      </c>
      <c r="Q30" s="5">
        <v>10</v>
      </c>
      <c r="R30" s="5">
        <v>11</v>
      </c>
      <c r="S30" s="5">
        <v>12</v>
      </c>
      <c r="T30" s="5">
        <v>13</v>
      </c>
      <c r="U30" s="5">
        <v>14</v>
      </c>
      <c r="V30" s="5">
        <v>15</v>
      </c>
      <c r="W30" s="5">
        <v>16</v>
      </c>
      <c r="X30" s="5">
        <v>17</v>
      </c>
      <c r="Y30" s="5">
        <v>18</v>
      </c>
      <c r="Z30" s="5">
        <v>19</v>
      </c>
      <c r="AA30" s="5">
        <v>20</v>
      </c>
    </row>
    <row r="31" spans="3:27" s="11" customFormat="1" ht="13" outlineLevel="1" x14ac:dyDescent="0.3">
      <c r="C31" s="18" t="s">
        <v>28</v>
      </c>
      <c r="D31" s="29">
        <f>分布式光伏电站IRR汇总!$B$23</f>
        <v>0.04</v>
      </c>
      <c r="F31" s="16"/>
      <c r="G31" s="2" t="s">
        <v>0</v>
      </c>
      <c r="H31" s="2" t="s">
        <v>1</v>
      </c>
      <c r="I31" s="2" t="s">
        <v>2</v>
      </c>
      <c r="J31" s="2" t="s">
        <v>3</v>
      </c>
      <c r="K31" s="2" t="s">
        <v>4</v>
      </c>
      <c r="L31" s="2" t="s">
        <v>5</v>
      </c>
      <c r="M31" s="2" t="s">
        <v>6</v>
      </c>
      <c r="N31" s="2" t="s">
        <v>7</v>
      </c>
      <c r="O31" s="2" t="s">
        <v>8</v>
      </c>
      <c r="P31" s="2" t="s">
        <v>9</v>
      </c>
      <c r="Q31" s="2" t="s">
        <v>10</v>
      </c>
      <c r="R31" s="2" t="s">
        <v>11</v>
      </c>
      <c r="S31" s="2" t="s">
        <v>12</v>
      </c>
      <c r="T31" s="2" t="s">
        <v>13</v>
      </c>
      <c r="U31" s="2" t="s">
        <v>45</v>
      </c>
      <c r="V31" s="2" t="s">
        <v>46</v>
      </c>
      <c r="W31" s="2" t="s">
        <v>47</v>
      </c>
      <c r="X31" s="2" t="s">
        <v>48</v>
      </c>
      <c r="Y31" s="2" t="s">
        <v>49</v>
      </c>
      <c r="Z31" s="2" t="s">
        <v>50</v>
      </c>
      <c r="AA31" s="2" t="s">
        <v>51</v>
      </c>
    </row>
    <row r="32" spans="3:27" s="11" customFormat="1" ht="13" outlineLevel="1" x14ac:dyDescent="0.3">
      <c r="C32" s="18" t="s">
        <v>43</v>
      </c>
      <c r="D32" s="19">
        <f>分布式光伏电站IRR汇总!$B$24</f>
        <v>0.05</v>
      </c>
      <c r="F32" s="6" t="s">
        <v>14</v>
      </c>
      <c r="G32" s="33">
        <f>D34</f>
        <v>24.611999999999995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3:27" s="11" customFormat="1" ht="13" outlineLevel="1" x14ac:dyDescent="0.3">
      <c r="C33" s="18" t="s">
        <v>126</v>
      </c>
      <c r="D33" s="28">
        <v>1163</v>
      </c>
      <c r="F33" s="6" t="s">
        <v>15</v>
      </c>
      <c r="G33" s="33">
        <f>SUM(H34:AA34)</f>
        <v>23.381399999999985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3:27" s="11" customFormat="1" ht="13" outlineLevel="1" x14ac:dyDescent="0.3">
      <c r="C34" s="24" t="s">
        <v>14</v>
      </c>
      <c r="D34" s="30">
        <f>D10*D15</f>
        <v>24.611999999999995</v>
      </c>
      <c r="F34" s="7" t="s">
        <v>16</v>
      </c>
      <c r="G34" s="33"/>
      <c r="H34" s="33">
        <f>D34*(1-D32)/D28/((1+G28)^H30)</f>
        <v>1.1690699999999996</v>
      </c>
      <c r="I34" s="33">
        <f>D34*(1-D32)/D28/((1+G28)^I30)</f>
        <v>1.1690699999999996</v>
      </c>
      <c r="J34" s="33">
        <f>D34*(1-D32)/D28/((1+G28)^J30)</f>
        <v>1.1690699999999996</v>
      </c>
      <c r="K34" s="33">
        <f>D34*(1-D32)/D28/((1+G28)^K30)</f>
        <v>1.1690699999999996</v>
      </c>
      <c r="L34" s="33">
        <f>D34*(1-D32)/D28/((1+G28)^L30)</f>
        <v>1.1690699999999996</v>
      </c>
      <c r="M34" s="33">
        <f>D34*(1-D32)/D28/((1+G28)^M30)</f>
        <v>1.1690699999999996</v>
      </c>
      <c r="N34" s="33">
        <f>D34*(1-D32)/D28/((1+G28)^N30)</f>
        <v>1.1690699999999996</v>
      </c>
      <c r="O34" s="33">
        <f>D34*(1-D32)/D28/((1+G28)^O30)</f>
        <v>1.1690699999999996</v>
      </c>
      <c r="P34" s="33">
        <f>D34*(1-D32)/D28/((1+G28)^P30)</f>
        <v>1.1690699999999996</v>
      </c>
      <c r="Q34" s="33">
        <f>D34*(1-D32)/D28/((1+G28)^Q30)</f>
        <v>1.1690699999999996</v>
      </c>
      <c r="R34" s="33">
        <f>D34*(1-D32)/D28/((1+G28)^R30)</f>
        <v>1.1690699999999996</v>
      </c>
      <c r="S34" s="33">
        <f>D34*(1-D32)/D28/((1+G28)^S30)</f>
        <v>1.1690699999999996</v>
      </c>
      <c r="T34" s="33">
        <f>D34*(1-D32)/D28/((1+G28)^T30)</f>
        <v>1.1690699999999996</v>
      </c>
      <c r="U34" s="33">
        <f>D34*(1-D32)/D28/((1+G28)^U30)</f>
        <v>1.1690699999999996</v>
      </c>
      <c r="V34" s="33">
        <f>D34*(1-D32)/D28/((1+G28)^V30)</f>
        <v>1.1690699999999996</v>
      </c>
      <c r="W34" s="33">
        <f>D34*(1-D32)/D28/((1+G28)^W30)</f>
        <v>1.1690699999999996</v>
      </c>
      <c r="X34" s="33">
        <f>D34*(1-D32)/D28/((1+G28)^X30)</f>
        <v>1.1690699999999996</v>
      </c>
      <c r="Y34" s="33">
        <f>D34*(1-D32)/D28/((1+G28)^Y30)</f>
        <v>1.1690699999999996</v>
      </c>
      <c r="Z34" s="33">
        <f>D34*(1-D32)/D28/((1+G28)^Z30)</f>
        <v>1.1690699999999996</v>
      </c>
      <c r="AA34" s="33">
        <f>D34*(1-D32)/D28/((1+G28)^AA30)</f>
        <v>1.1690699999999996</v>
      </c>
    </row>
    <row r="35" spans="3:27" s="11" customFormat="1" ht="13" outlineLevel="1" x14ac:dyDescent="0.3">
      <c r="C35" s="18" t="s">
        <v>29</v>
      </c>
      <c r="D35" s="29">
        <v>0.35980000000000001</v>
      </c>
      <c r="F35" s="6" t="s">
        <v>17</v>
      </c>
      <c r="G35" s="33">
        <f>SUM(H36:AA36)</f>
        <v>4.8000000000000025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3:27" s="11" customFormat="1" ht="13" outlineLevel="1" x14ac:dyDescent="0.3">
      <c r="C36" s="18" t="s">
        <v>30</v>
      </c>
      <c r="D36" s="31">
        <v>0.69</v>
      </c>
      <c r="F36" s="7" t="s">
        <v>18</v>
      </c>
      <c r="G36" s="33"/>
      <c r="H36" s="33">
        <f>D31*D10/((1+G28)^H30)</f>
        <v>0.24</v>
      </c>
      <c r="I36" s="33">
        <f>D31*D10/((1+G28)^I30)</f>
        <v>0.24</v>
      </c>
      <c r="J36" s="33">
        <f>D31*D10/((1+G28)^J30)</f>
        <v>0.24</v>
      </c>
      <c r="K36" s="33">
        <f>D31*D10/((1+G28)^K30)</f>
        <v>0.24</v>
      </c>
      <c r="L36" s="33">
        <f>D31*D10/((1+G28)^L30)</f>
        <v>0.24</v>
      </c>
      <c r="M36" s="33">
        <f>D31*D10/((1+G28)^M30)</f>
        <v>0.24</v>
      </c>
      <c r="N36" s="33">
        <f>D31*D10/((1+G28)^N30)</f>
        <v>0.24</v>
      </c>
      <c r="O36" s="33">
        <f>D31*D10/((1+G28)^O30)</f>
        <v>0.24</v>
      </c>
      <c r="P36" s="33">
        <f>D31*D10/((1+G28)^P30)</f>
        <v>0.24</v>
      </c>
      <c r="Q36" s="33">
        <f>D31*D10/((1+G28)^Q30)</f>
        <v>0.24</v>
      </c>
      <c r="R36" s="33">
        <f>D31*D10/((1+G28)^R30)</f>
        <v>0.24</v>
      </c>
      <c r="S36" s="33">
        <f>D31*D10/((1+G28)^S30)</f>
        <v>0.24</v>
      </c>
      <c r="T36" s="33">
        <f>D31*D10/((1+G28)^T30)</f>
        <v>0.24</v>
      </c>
      <c r="U36" s="33">
        <f>D31*D10/((1+G28)^U30)</f>
        <v>0.24</v>
      </c>
      <c r="V36" s="33">
        <f>D31*D10/((1+G28)^V30)</f>
        <v>0.24</v>
      </c>
      <c r="W36" s="33">
        <f>D31*D10/((1+G28)^W30)</f>
        <v>0.24</v>
      </c>
      <c r="X36" s="33">
        <f>D31*D10/((1+G28)^X30)</f>
        <v>0.24</v>
      </c>
      <c r="Y36" s="33">
        <f>D31*D10/((1+G28)^Y30)</f>
        <v>0.24</v>
      </c>
      <c r="Z36" s="33">
        <f>D31*D10/((1+G28)^Z30)</f>
        <v>0.24</v>
      </c>
      <c r="AA36" s="33">
        <f>D31*D10/((1+G28)^AA30)</f>
        <v>0.24</v>
      </c>
    </row>
    <row r="37" spans="3:27" s="11" customFormat="1" ht="13" outlineLevel="1" x14ac:dyDescent="0.3">
      <c r="C37" s="18" t="s">
        <v>70</v>
      </c>
      <c r="D37" s="32">
        <f>分布式光伏电站IRR汇总!$B$27</f>
        <v>1</v>
      </c>
      <c r="F37" s="6" t="s">
        <v>19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>
        <f>D31*D34/((1+G28)^AA30)</f>
        <v>0.9844799999999998</v>
      </c>
    </row>
    <row r="38" spans="3:27" s="11" customFormat="1" ht="13" outlineLevel="1" x14ac:dyDescent="0.3">
      <c r="C38" s="18" t="s">
        <v>69</v>
      </c>
      <c r="D38" s="31">
        <f>D37*D36</f>
        <v>0.69</v>
      </c>
      <c r="F38" s="8" t="s">
        <v>64</v>
      </c>
      <c r="G38" s="150">
        <f>SUM(H39:AA39)</f>
        <v>113512.52872082079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3:27" s="11" customFormat="1" ht="13" outlineLevel="1" x14ac:dyDescent="0.3">
      <c r="C39" s="18" t="s">
        <v>31</v>
      </c>
      <c r="D39" s="27">
        <v>0</v>
      </c>
      <c r="F39" s="9" t="s">
        <v>65</v>
      </c>
      <c r="G39" s="33"/>
      <c r="H39" s="33">
        <f>D10*D27*(1-D29)*D33/((1+G28)^H30)</f>
        <v>5922.0890399999989</v>
      </c>
      <c r="I39" s="33">
        <f>D10*D27*(1-D29)*(1-D30)^(I30-1)*D33/((1+G28)^I30)</f>
        <v>5895.4396393199995</v>
      </c>
      <c r="J39" s="33">
        <f>D10*D27*(1-D29)*(1-D30)^(J30-1)*D33/((1+G28)^J30)</f>
        <v>5868.91016094306</v>
      </c>
      <c r="K39" s="33">
        <f>D10*D27*(1-D29)*(1-D30)^(K30-1)*D33/((1+G28)^K30)</f>
        <v>5842.5000652188173</v>
      </c>
      <c r="L39" s="33">
        <f>D10*D27*(1-D29)*(1-D30)^(L30-1)*D33/((1+G28)^L30)</f>
        <v>5816.2088149253323</v>
      </c>
      <c r="M39" s="33">
        <f>D10*D27*(1-D29)*(1-D30)^(M30-1)*D33/((1+G28)^M30)</f>
        <v>5790.0358752581687</v>
      </c>
      <c r="N39" s="33">
        <f>D10*D27*(1-D29)*(1-D30)^(N30-1)*D33/((1+G28)^N30)</f>
        <v>5763.9807138195074</v>
      </c>
      <c r="O39" s="33">
        <f>D10*D27*(1-D29)*(1-D30)^(O30-1)*D33/((1+G28)^O30)</f>
        <v>5738.0428006073198</v>
      </c>
      <c r="P39" s="33">
        <f>D10*D27*(1-D29)*(1-D30)^(P30-1)*D33/((1+G28)^P30)</f>
        <v>5712.2216080045873</v>
      </c>
      <c r="Q39" s="33">
        <f>D10*D27*(1-D29)*(1-D30)^(Q30-1)*D33/((1+G28)^Q30)</f>
        <v>5686.5166107685673</v>
      </c>
      <c r="R39" s="33">
        <f>D10*D27*(1-D29)*(1-D30)^(R30-1)*D33/((1+G28)^R30)</f>
        <v>5660.927286020109</v>
      </c>
      <c r="S39" s="33">
        <f>D10*D27*(1-D29)*(1-D30)^(S30-1)*D33/((1+G28)^S30)</f>
        <v>5635.4531132330185</v>
      </c>
      <c r="T39" s="33">
        <f>D10*D27*(1-D29)*(1-D30)^(T30-1)*D33/((1+G28)^T30)</f>
        <v>5610.0935742234706</v>
      </c>
      <c r="U39" s="33">
        <f>D10*D27*(1-D29)*(1-D30)^(U30-1)*D33/((1+G28)^U30)</f>
        <v>5584.8481531394646</v>
      </c>
      <c r="V39" s="33">
        <f>D10*D27*(1-D29)*(1-D30)^(V30-1)*D33/((1+G28)^V30)</f>
        <v>5559.7163364503367</v>
      </c>
      <c r="W39" s="33">
        <f>D10*D27*(1-D29)*(1-D30)^(W30-1)*D33/((1+G28)^W30)</f>
        <v>5534.697612936312</v>
      </c>
      <c r="X39" s="33">
        <f>D10*D27*(1-D29)*(1-D30)^(X30-1)*D33/((1+G28)^X30)</f>
        <v>5509.7914736780986</v>
      </c>
      <c r="Y39" s="33">
        <f>D10*D27*(1-D29)*(1-D30)^(Y30-1)*D33/((1+G28)^Y30)</f>
        <v>5484.9974120465467</v>
      </c>
      <c r="Z39" s="33">
        <f>D10*D27*(1-D29)*(1-D30)^(Z30-1)*D33/((1+G28)^Z30)</f>
        <v>5460.3149236923391</v>
      </c>
      <c r="AA39" s="33">
        <f>D10*D27*(1-D29)*(1-D30)^(AA30-1)*D33/((1+G28)^AA30)</f>
        <v>5435.743506535724</v>
      </c>
    </row>
    <row r="40" spans="3:27" s="11" customFormat="1" ht="13" outlineLevel="1" x14ac:dyDescent="0.3">
      <c r="C40" s="18" t="s">
        <v>256</v>
      </c>
      <c r="D40" s="32">
        <v>0.7</v>
      </c>
      <c r="F40" s="4" t="s">
        <v>66</v>
      </c>
      <c r="G40" s="33">
        <f>SUM(H41:AA41)</f>
        <v>67.079093722281826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3:27" s="11" customFormat="1" ht="13" outlineLevel="1" x14ac:dyDescent="0.3">
      <c r="D41" s="20"/>
      <c r="F41" s="7" t="s">
        <v>67</v>
      </c>
      <c r="G41" s="33"/>
      <c r="H41" s="33">
        <f>H39*$D$38/1000*$D$40+H39*$D$35/1000*(1-$D$40)</f>
        <v>3.4995992972975989</v>
      </c>
      <c r="I41" s="33">
        <f>I39*$D$38/1000*$D$40+I39*$D$35/1000*(1-$D$40)</f>
        <v>3.4838511004597601</v>
      </c>
      <c r="J41" s="33">
        <f t="shared" ref="J41:AA41" si="1">J39*$D$38/1000*$D$40+J39*$D$35/1000*(1-$D$40)</f>
        <v>3.4681737705076916</v>
      </c>
      <c r="K41" s="33">
        <f t="shared" si="1"/>
        <v>3.4525669885404078</v>
      </c>
      <c r="L41" s="33">
        <f t="shared" si="1"/>
        <v>3.4370304370919755</v>
      </c>
      <c r="M41" s="33">
        <f t="shared" si="1"/>
        <v>3.4215638001250621</v>
      </c>
      <c r="N41" s="33">
        <f t="shared" si="1"/>
        <v>3.4061667630244994</v>
      </c>
      <c r="O41" s="33">
        <f t="shared" si="1"/>
        <v>3.3908390125908894</v>
      </c>
      <c r="P41" s="33">
        <f t="shared" si="1"/>
        <v>3.3755802370342307</v>
      </c>
      <c r="Q41" s="33">
        <f t="shared" si="1"/>
        <v>3.3603901259675766</v>
      </c>
      <c r="R41" s="33">
        <f t="shared" si="1"/>
        <v>3.3452683704007229</v>
      </c>
      <c r="S41" s="33">
        <f t="shared" si="1"/>
        <v>3.3302146627339195</v>
      </c>
      <c r="T41" s="33">
        <f t="shared" si="1"/>
        <v>3.3152286967516176</v>
      </c>
      <c r="U41" s="33">
        <f t="shared" si="1"/>
        <v>3.3003101676162347</v>
      </c>
      <c r="V41" s="33">
        <f t="shared" si="1"/>
        <v>3.2854587718619617</v>
      </c>
      <c r="W41" s="33">
        <f t="shared" si="1"/>
        <v>3.2706742073885842</v>
      </c>
      <c r="X41" s="33">
        <f t="shared" si="1"/>
        <v>3.2559561734553353</v>
      </c>
      <c r="Y41" s="33">
        <f t="shared" si="1"/>
        <v>3.2413043706747864</v>
      </c>
      <c r="Z41" s="33">
        <f t="shared" si="1"/>
        <v>3.2267185010067507</v>
      </c>
      <c r="AA41" s="33">
        <f t="shared" si="1"/>
        <v>3.2121982677522203</v>
      </c>
    </row>
    <row r="42" spans="3:27" s="11" customFormat="1" ht="13" outlineLevel="1" x14ac:dyDescent="0.3">
      <c r="D42" s="152"/>
      <c r="F42" s="4" t="s">
        <v>20</v>
      </c>
      <c r="G42" s="33">
        <f>SUM(H43:AA43)</f>
        <v>9.7244234305704591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3:27" s="11" customFormat="1" ht="13" outlineLevel="1" x14ac:dyDescent="0.3">
      <c r="F43" s="7" t="s">
        <v>21</v>
      </c>
      <c r="G43" s="33"/>
      <c r="H43" s="33">
        <f>(H41-H34-H36)*G29</f>
        <v>0.52263232432439977</v>
      </c>
      <c r="I43" s="33">
        <f>(I41-I34-I36)*G29</f>
        <v>0.51869527511494007</v>
      </c>
      <c r="J43" s="33">
        <f>(J41-J34-J36)*G29</f>
        <v>0.51477594262692294</v>
      </c>
      <c r="K43" s="33">
        <f>(K41-K34-K36)*G29</f>
        <v>0.51087424713510199</v>
      </c>
      <c r="L43" s="33">
        <f>(L41-L34-L36)*G29</f>
        <v>0.50699010927299404</v>
      </c>
      <c r="M43" s="33">
        <f>(M41-M34-M36)*G29</f>
        <v>0.50312345003126557</v>
      </c>
      <c r="N43" s="33">
        <f>(N41-N34-N36)*G29</f>
        <v>0.49927419075612495</v>
      </c>
      <c r="O43" s="33">
        <f>(O41-O34-O36)*G29</f>
        <v>0.49544225314772244</v>
      </c>
      <c r="P43" s="33">
        <f>(P41-P34-P36)*G29</f>
        <v>0.49162755925855778</v>
      </c>
      <c r="Q43" s="33">
        <f>(Q41-Q34-Q36)*G29</f>
        <v>0.48783003149189424</v>
      </c>
      <c r="R43" s="33">
        <f>(R41-R34-R36)*G29</f>
        <v>0.48404959260018082</v>
      </c>
      <c r="S43" s="33">
        <f>(S41-S34-S36)*G29</f>
        <v>0.48028616568347998</v>
      </c>
      <c r="T43" s="33">
        <f>(T41-T34-T36)*G29</f>
        <v>0.47653967418790449</v>
      </c>
      <c r="U43" s="33">
        <f>(U41-U34-U36)*G29</f>
        <v>0.47281004190405879</v>
      </c>
      <c r="V43" s="33">
        <f>(V41-V34-V36)*G29</f>
        <v>0.46909719296549052</v>
      </c>
      <c r="W43" s="33">
        <f>(W41-W34-W36)*G29</f>
        <v>0.46540105184714614</v>
      </c>
      <c r="X43" s="33">
        <f>(X41-X34-X36)*G29</f>
        <v>0.46172154336383392</v>
      </c>
      <c r="Y43" s="33">
        <f>(Y41-Y34-Y36)*G29</f>
        <v>0.4580585926686967</v>
      </c>
      <c r="Z43" s="33">
        <f>(Z41-Z34-Z36)*G29</f>
        <v>0.45441212525168778</v>
      </c>
      <c r="AA43" s="33">
        <f>(AA41-AA34-AA36)*G29</f>
        <v>0.45078206693805517</v>
      </c>
    </row>
    <row r="44" spans="3:27" s="11" customFormat="1" ht="13" outlineLevel="1" x14ac:dyDescent="0.3">
      <c r="F44" s="10" t="s">
        <v>22</v>
      </c>
      <c r="G44" s="33">
        <f>-G32</f>
        <v>-24.611999999999995</v>
      </c>
      <c r="H44" s="33" t="e">
        <f>H41-H43-H36-'自发自用比例=100%（结合储能-自投）'!$D$44+#REF!</f>
        <v>#REF!</v>
      </c>
      <c r="I44" s="33" t="e">
        <f>I41-I43-I36-'自发自用比例=100%（结合储能-自投）'!$D$44+#REF!</f>
        <v>#REF!</v>
      </c>
      <c r="J44" s="33" t="e">
        <f>J41-J43-J36-'自发自用比例=100%（结合储能-自投）'!$D$44+#REF!</f>
        <v>#REF!</v>
      </c>
      <c r="K44" s="33" t="e">
        <f>K41-K43-K36-'自发自用比例=100%（结合储能-自投）'!$D$44+#REF!</f>
        <v>#REF!</v>
      </c>
      <c r="L44" s="33" t="e">
        <f>L41-L43-L36-'自发自用比例=100%（结合储能-自投）'!$D$44+#REF!</f>
        <v>#REF!</v>
      </c>
      <c r="M44" s="33" t="e">
        <f>M41-M43-M36-'自发自用比例=100%（结合储能-自投）'!$D$44+#REF!</f>
        <v>#REF!</v>
      </c>
      <c r="N44" s="33" t="e">
        <f>N41-N43-N36-'自发自用比例=100%（结合储能-自投）'!$D$44+#REF!</f>
        <v>#REF!</v>
      </c>
      <c r="O44" s="33" t="e">
        <f>O41-O43-O36-'自发自用比例=100%（结合储能-自投）'!$D$44+#REF!</f>
        <v>#REF!</v>
      </c>
      <c r="P44" s="33" t="e">
        <f>P41-P43-P36-'自发自用比例=100%（结合储能-自投）'!$D$44+#REF!</f>
        <v>#REF!</v>
      </c>
      <c r="Q44" s="33" t="e">
        <f>Q41-Q43-Q36-'自发自用比例=100%（结合储能-自投）'!$D$44++#REF!</f>
        <v>#REF!</v>
      </c>
      <c r="R44" s="33" t="e">
        <f>R41-R43-R36-'自发自用比例=100%（结合储能-自投）'!$D$44++#REF!</f>
        <v>#REF!</v>
      </c>
      <c r="S44" s="33" t="e">
        <f>S41-S43-S36-'自发自用比例=100%（结合储能-自投）'!$D$44++#REF!</f>
        <v>#REF!</v>
      </c>
      <c r="T44" s="33" t="e">
        <f>T41-T43-T36-'自发自用比例=100%（结合储能-自投）'!$D$44++#REF!</f>
        <v>#REF!</v>
      </c>
      <c r="U44" s="33" t="e">
        <f>U41-U43-U36-'自发自用比例=100%（结合储能-自投）'!$D$44++#REF!</f>
        <v>#REF!</v>
      </c>
      <c r="V44" s="33" t="e">
        <f>V41-V43-V36-'自发自用比例=100%（结合储能-自投）'!$D$44++#REF!</f>
        <v>#REF!</v>
      </c>
      <c r="W44" s="33" t="e">
        <f>W41-W43-W36-'自发自用比例=100%（结合储能-自投）'!$D$44++#REF!</f>
        <v>#REF!</v>
      </c>
      <c r="X44" s="33" t="e">
        <f>X41-X43-X36-'自发自用比例=100%（结合储能-自投）'!$D$44++#REF!</f>
        <v>#REF!</v>
      </c>
      <c r="Y44" s="33" t="e">
        <f>Y41-Y43-Y36-'自发自用比例=100%（结合储能-自投）'!$D$44++#REF!</f>
        <v>#REF!</v>
      </c>
      <c r="Z44" s="33" t="e">
        <f>Z41-Z43-Z36-'自发自用比例=100%（结合储能-自投）'!$D$44++#REF!</f>
        <v>#REF!</v>
      </c>
      <c r="AA44" s="33" t="e">
        <f>AA41-AA43-AA36-'自发自用比例=100%（结合储能-自投）'!$D$44++#REF!</f>
        <v>#REF!</v>
      </c>
    </row>
    <row r="45" spans="3:27" s="11" customFormat="1" ht="13.5" outlineLevel="1" thickBot="1" x14ac:dyDescent="0.35">
      <c r="F45" s="3" t="s">
        <v>68</v>
      </c>
      <c r="G45" s="148" t="e">
        <f>IRR(G44:AA44)</f>
        <v>#VALUE!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3:27" ht="14.5" thickTop="1" x14ac:dyDescent="0.3"/>
  </sheetData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C807-7FE8-438E-B504-B66B44367415}">
  <dimension ref="A1:Z44"/>
  <sheetViews>
    <sheetView tabSelected="1" zoomScale="70" zoomScaleNormal="70" workbookViewId="0">
      <selection activeCell="D56" sqref="D56"/>
    </sheetView>
  </sheetViews>
  <sheetFormatPr defaultColWidth="9" defaultRowHeight="13" x14ac:dyDescent="0.3"/>
  <cols>
    <col min="1" max="1" width="43.75" style="89" bestFit="1" customWidth="1"/>
    <col min="2" max="2" width="10.6640625" style="89" customWidth="1"/>
    <col min="3" max="3" width="9" style="89"/>
    <col min="4" max="4" width="45.4140625" style="89" bestFit="1" customWidth="1"/>
    <col min="5" max="5" width="8.6640625" style="89" bestFit="1" customWidth="1"/>
    <col min="6" max="14" width="7.75" style="89" bestFit="1" customWidth="1"/>
    <col min="15" max="15" width="13.25" style="89" bestFit="1" customWidth="1"/>
    <col min="16" max="16" width="45.4140625" style="89" bestFit="1" customWidth="1"/>
    <col min="17" max="17" width="8.6640625" style="89" bestFit="1" customWidth="1"/>
    <col min="18" max="26" width="7.75" style="89" bestFit="1" customWidth="1"/>
    <col min="27" max="16384" width="9" style="89"/>
  </cols>
  <sheetData>
    <row r="1" spans="1:26" ht="14" x14ac:dyDescent="0.3">
      <c r="A1" s="88"/>
      <c r="B1" s="89" t="s">
        <v>185</v>
      </c>
      <c r="C1" s="90" t="s">
        <v>186</v>
      </c>
      <c r="D1" s="91"/>
      <c r="E1" s="91"/>
      <c r="F1" s="91"/>
      <c r="G1" s="91"/>
    </row>
    <row r="2" spans="1:26" ht="14" x14ac:dyDescent="0.3">
      <c r="A2" s="92"/>
      <c r="B2" s="89" t="s">
        <v>187</v>
      </c>
      <c r="C2" s="93" t="s">
        <v>188</v>
      </c>
      <c r="D2" s="91"/>
      <c r="E2" s="91"/>
      <c r="F2" s="91"/>
      <c r="G2" s="91"/>
    </row>
    <row r="3" spans="1:26" ht="14" x14ac:dyDescent="0.3">
      <c r="A3" s="94"/>
      <c r="B3" s="89" t="s">
        <v>189</v>
      </c>
      <c r="C3" s="95" t="s">
        <v>190</v>
      </c>
      <c r="D3" s="91"/>
      <c r="E3" s="91"/>
      <c r="F3" s="91"/>
      <c r="G3" s="91"/>
    </row>
    <row r="4" spans="1:26" ht="14" x14ac:dyDescent="0.3">
      <c r="C4" s="95" t="s">
        <v>191</v>
      </c>
      <c r="D4" s="91"/>
      <c r="E4" s="91"/>
      <c r="F4" s="91"/>
      <c r="G4" s="91"/>
    </row>
    <row r="5" spans="1:26" s="97" customFormat="1" ht="20" x14ac:dyDescent="0.3">
      <c r="A5" s="96" t="s">
        <v>192</v>
      </c>
      <c r="C5" s="98" t="s">
        <v>193</v>
      </c>
      <c r="D5" s="99"/>
      <c r="E5" s="99"/>
      <c r="F5" s="99"/>
      <c r="G5" s="99"/>
    </row>
    <row r="6" spans="1:26" x14ac:dyDescent="0.3">
      <c r="A6" s="100" t="s">
        <v>194</v>
      </c>
      <c r="D6" s="100" t="s">
        <v>195</v>
      </c>
    </row>
    <row r="7" spans="1:26" x14ac:dyDescent="0.3">
      <c r="A7" s="89" t="s">
        <v>196</v>
      </c>
      <c r="D7" s="101" t="s">
        <v>197</v>
      </c>
      <c r="E7" s="102">
        <f>E38</f>
        <v>0.44080801410952969</v>
      </c>
    </row>
    <row r="8" spans="1:26" ht="14.5" x14ac:dyDescent="0.3">
      <c r="A8" s="153" t="s">
        <v>198</v>
      </c>
      <c r="B8" s="154"/>
      <c r="D8" s="89" t="s">
        <v>199</v>
      </c>
      <c r="E8" s="103">
        <f>E43</f>
        <v>-0.11238786306712427</v>
      </c>
    </row>
    <row r="9" spans="1:26" ht="14.5" x14ac:dyDescent="0.3">
      <c r="A9" s="104" t="s">
        <v>200</v>
      </c>
      <c r="B9" s="105">
        <v>1200</v>
      </c>
      <c r="D9" s="89" t="s">
        <v>201</v>
      </c>
      <c r="E9" s="106">
        <f>SUM(E42:N42)</f>
        <v>-0.84852836615678817</v>
      </c>
    </row>
    <row r="10" spans="1:26" ht="15" thickBot="1" x14ac:dyDescent="0.35">
      <c r="A10" s="104" t="s">
        <v>202</v>
      </c>
      <c r="B10" s="105">
        <v>300</v>
      </c>
      <c r="D10" s="107" t="s">
        <v>203</v>
      </c>
      <c r="E10" s="108">
        <f>Q43</f>
        <v>4.2605859689077263E-2</v>
      </c>
    </row>
    <row r="11" spans="1:26" ht="15" thickTop="1" x14ac:dyDescent="0.3">
      <c r="A11" s="104" t="s">
        <v>204</v>
      </c>
      <c r="B11" s="105">
        <v>4800</v>
      </c>
      <c r="D11" s="89" t="s">
        <v>205</v>
      </c>
      <c r="E11" s="109">
        <v>7.0000000000000007E-2</v>
      </c>
      <c r="P11" s="89" t="s">
        <v>205</v>
      </c>
      <c r="Q11" s="109">
        <v>0</v>
      </c>
    </row>
    <row r="12" spans="1:26" ht="14.5" x14ac:dyDescent="0.3">
      <c r="A12" s="104" t="s">
        <v>206</v>
      </c>
      <c r="B12" s="110">
        <v>1400</v>
      </c>
      <c r="D12" s="89" t="s">
        <v>207</v>
      </c>
      <c r="E12" s="109">
        <v>0.25</v>
      </c>
      <c r="P12" s="89" t="s">
        <v>207</v>
      </c>
      <c r="Q12" s="109">
        <v>0.25</v>
      </c>
    </row>
    <row r="13" spans="1:26" ht="14.5" x14ac:dyDescent="0.3">
      <c r="A13" s="104" t="s">
        <v>208</v>
      </c>
      <c r="B13" s="111">
        <v>0.98</v>
      </c>
      <c r="D13" s="112" t="s">
        <v>209</v>
      </c>
      <c r="E13" s="113">
        <v>0</v>
      </c>
      <c r="F13" s="89" t="s">
        <v>210</v>
      </c>
      <c r="P13" s="112" t="s">
        <v>209</v>
      </c>
      <c r="Q13" s="113">
        <v>0</v>
      </c>
      <c r="R13" s="89" t="s">
        <v>210</v>
      </c>
    </row>
    <row r="14" spans="1:26" ht="14.5" x14ac:dyDescent="0.3">
      <c r="A14" s="104" t="s">
        <v>211</v>
      </c>
      <c r="B14" s="111">
        <v>0.98</v>
      </c>
      <c r="D14" s="114" t="s">
        <v>212</v>
      </c>
      <c r="L14" s="115"/>
      <c r="P14" s="114" t="s">
        <v>212</v>
      </c>
      <c r="X14" s="115"/>
    </row>
    <row r="15" spans="1:26" ht="14.5" x14ac:dyDescent="0.3">
      <c r="A15" s="104" t="s">
        <v>213</v>
      </c>
      <c r="B15" s="116">
        <v>0.99099999999999999</v>
      </c>
      <c r="D15" s="114" t="s">
        <v>214</v>
      </c>
      <c r="F15" s="117">
        <v>1</v>
      </c>
      <c r="G15" s="117">
        <v>2</v>
      </c>
      <c r="H15" s="117">
        <v>3</v>
      </c>
      <c r="I15" s="117">
        <v>4</v>
      </c>
      <c r="J15" s="117">
        <v>5</v>
      </c>
      <c r="K15" s="117">
        <v>6</v>
      </c>
      <c r="L15" s="117">
        <v>7</v>
      </c>
      <c r="M15" s="117">
        <v>8</v>
      </c>
      <c r="N15" s="117">
        <v>9</v>
      </c>
      <c r="P15" s="114" t="s">
        <v>214</v>
      </c>
      <c r="R15" s="117">
        <v>1</v>
      </c>
      <c r="S15" s="117">
        <v>2</v>
      </c>
      <c r="T15" s="117">
        <v>3</v>
      </c>
      <c r="U15" s="117">
        <v>4</v>
      </c>
      <c r="V15" s="117">
        <v>5</v>
      </c>
      <c r="W15" s="117">
        <v>6</v>
      </c>
      <c r="X15" s="117">
        <v>7</v>
      </c>
      <c r="Y15" s="117">
        <v>8</v>
      </c>
      <c r="Z15" s="117">
        <v>9</v>
      </c>
    </row>
    <row r="16" spans="1:26" ht="14.5" x14ac:dyDescent="0.3">
      <c r="A16" s="104" t="s">
        <v>215</v>
      </c>
      <c r="B16" s="118">
        <v>0.59699999999999998</v>
      </c>
      <c r="D16" s="101"/>
      <c r="E16" s="119" t="s">
        <v>0</v>
      </c>
      <c r="F16" s="119" t="s">
        <v>1</v>
      </c>
      <c r="G16" s="119" t="s">
        <v>2</v>
      </c>
      <c r="H16" s="119" t="s">
        <v>3</v>
      </c>
      <c r="I16" s="119" t="s">
        <v>4</v>
      </c>
      <c r="J16" s="119" t="s">
        <v>5</v>
      </c>
      <c r="K16" s="119" t="s">
        <v>6</v>
      </c>
      <c r="L16" s="119" t="s">
        <v>7</v>
      </c>
      <c r="M16" s="119" t="s">
        <v>8</v>
      </c>
      <c r="N16" s="119" t="s">
        <v>9</v>
      </c>
      <c r="P16" s="101"/>
      <c r="Q16" s="119" t="s">
        <v>0</v>
      </c>
      <c r="R16" s="119" t="s">
        <v>1</v>
      </c>
      <c r="S16" s="119" t="s">
        <v>2</v>
      </c>
      <c r="T16" s="119" t="s">
        <v>3</v>
      </c>
      <c r="U16" s="119" t="s">
        <v>4</v>
      </c>
      <c r="V16" s="119" t="s">
        <v>5</v>
      </c>
      <c r="W16" s="119" t="s">
        <v>6</v>
      </c>
      <c r="X16" s="119" t="s">
        <v>7</v>
      </c>
      <c r="Y16" s="119" t="s">
        <v>8</v>
      </c>
      <c r="Z16" s="119" t="s">
        <v>9</v>
      </c>
    </row>
    <row r="17" spans="1:26" ht="14.5" x14ac:dyDescent="0.3">
      <c r="A17" s="104" t="s">
        <v>216</v>
      </c>
      <c r="B17" s="118">
        <v>0.28899999999999998</v>
      </c>
      <c r="D17" s="120" t="s">
        <v>14</v>
      </c>
      <c r="E17" s="121">
        <f>B37/1000000</f>
        <v>7.55</v>
      </c>
      <c r="F17" s="106"/>
      <c r="G17" s="106"/>
      <c r="H17" s="106"/>
      <c r="I17" s="106"/>
      <c r="J17" s="106"/>
      <c r="K17" s="106"/>
      <c r="L17" s="106"/>
      <c r="M17" s="106"/>
      <c r="N17" s="106"/>
      <c r="P17" s="120" t="s">
        <v>14</v>
      </c>
      <c r="Q17" s="121">
        <f>B37/1000000</f>
        <v>7.55</v>
      </c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4.5" x14ac:dyDescent="0.3">
      <c r="A18" s="104" t="s">
        <v>217</v>
      </c>
      <c r="B18" s="122">
        <v>350</v>
      </c>
      <c r="C18" s="123">
        <f>B15-B17</f>
        <v>0.70199999999999996</v>
      </c>
      <c r="D18" s="124" t="s">
        <v>15</v>
      </c>
      <c r="E18" s="125">
        <f>SUM(F19:N19)</f>
        <v>4.9334807709982735</v>
      </c>
      <c r="F18" s="106"/>
      <c r="G18" s="106"/>
      <c r="H18" s="106"/>
      <c r="I18" s="106"/>
      <c r="J18" s="106"/>
      <c r="K18" s="106"/>
      <c r="L18" s="106"/>
      <c r="M18" s="106"/>
      <c r="N18" s="106"/>
      <c r="P18" s="124" t="s">
        <v>15</v>
      </c>
      <c r="Q18" s="125">
        <f>SUM(R19:Z19)</f>
        <v>6.8150029413267506</v>
      </c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4.5" x14ac:dyDescent="0.3">
      <c r="A19" s="104" t="s">
        <v>218</v>
      </c>
      <c r="B19" s="126">
        <v>0.95</v>
      </c>
      <c r="D19" s="127" t="s">
        <v>16</v>
      </c>
      <c r="E19" s="106"/>
      <c r="F19" s="125">
        <f t="shared" ref="F19:N19" si="0">($B$33+$B$34+$B$24)*(1-$B$27)/$B$32/1000000/(1+$E$11)^F15</f>
        <v>0.70768462526757514</v>
      </c>
      <c r="G19" s="125">
        <f t="shared" si="0"/>
        <v>0.66138750025007031</v>
      </c>
      <c r="H19" s="125">
        <f t="shared" si="0"/>
        <v>0.61811915911221516</v>
      </c>
      <c r="I19" s="125">
        <f t="shared" si="0"/>
        <v>0.57768145711421981</v>
      </c>
      <c r="J19" s="125">
        <f t="shared" si="0"/>
        <v>0.53988921225628017</v>
      </c>
      <c r="K19" s="125">
        <f t="shared" si="0"/>
        <v>0.50456935724885998</v>
      </c>
      <c r="L19" s="125">
        <f t="shared" si="0"/>
        <v>0.47156014696155135</v>
      </c>
      <c r="M19" s="125">
        <f t="shared" si="0"/>
        <v>0.44071041772107605</v>
      </c>
      <c r="N19" s="125">
        <f t="shared" si="0"/>
        <v>0.41187889506642616</v>
      </c>
      <c r="P19" s="127" t="s">
        <v>16</v>
      </c>
      <c r="Q19" s="106"/>
      <c r="R19" s="125">
        <f t="shared" ref="R19:Z19" si="1">($B$33+$B$34+$B$24)*(1-$B$27)/$B$32/1000000/(1+$Q$11)^R15</f>
        <v>0.75722254903630548</v>
      </c>
      <c r="S19" s="125">
        <f t="shared" si="1"/>
        <v>0.75722254903630548</v>
      </c>
      <c r="T19" s="125">
        <f t="shared" si="1"/>
        <v>0.75722254903630548</v>
      </c>
      <c r="U19" s="125">
        <f t="shared" si="1"/>
        <v>0.75722254903630548</v>
      </c>
      <c r="V19" s="125">
        <f t="shared" si="1"/>
        <v>0.75722254903630548</v>
      </c>
      <c r="W19" s="125">
        <f t="shared" si="1"/>
        <v>0.75722254903630548</v>
      </c>
      <c r="X19" s="125">
        <f t="shared" si="1"/>
        <v>0.75722254903630548</v>
      </c>
      <c r="Y19" s="125">
        <f t="shared" si="1"/>
        <v>0.75722254903630548</v>
      </c>
      <c r="Z19" s="125">
        <f t="shared" si="1"/>
        <v>0.75722254903630548</v>
      </c>
    </row>
    <row r="20" spans="1:26" ht="14.5" x14ac:dyDescent="0.3">
      <c r="A20" s="104" t="s">
        <v>219</v>
      </c>
      <c r="B20" s="128">
        <v>4.6799999999999999E-5</v>
      </c>
      <c r="D20" s="120" t="s">
        <v>17</v>
      </c>
      <c r="E20" s="121">
        <f>SUM(F21:N21)</f>
        <v>4.9190003478424026E-2</v>
      </c>
      <c r="P20" s="120" t="s">
        <v>17</v>
      </c>
      <c r="Q20" s="121">
        <f>SUM(R21:Z21)</f>
        <v>6.7949999999999997E-2</v>
      </c>
    </row>
    <row r="21" spans="1:26" ht="14.5" x14ac:dyDescent="0.3">
      <c r="A21" s="104" t="s">
        <v>220</v>
      </c>
      <c r="B21" s="111">
        <v>0.7</v>
      </c>
      <c r="D21" s="127" t="s">
        <v>18</v>
      </c>
      <c r="F21" s="106">
        <f>($B$26*$E$17)/((1+$E$11)^F15)</f>
        <v>7.0560747663551398E-3</v>
      </c>
      <c r="G21" s="106">
        <f t="shared" ref="G21:N21" si="2">($B$26*$E$17)/((1+$E$11)^G15)</f>
        <v>6.5944623984627478E-3</v>
      </c>
      <c r="H21" s="106">
        <f t="shared" si="2"/>
        <v>6.1630489705259322E-3</v>
      </c>
      <c r="I21" s="106">
        <f t="shared" si="2"/>
        <v>5.7598588509588161E-3</v>
      </c>
      <c r="J21" s="106">
        <f t="shared" si="2"/>
        <v>5.3830456551016963E-3</v>
      </c>
      <c r="K21" s="106">
        <f t="shared" si="2"/>
        <v>5.0308837898146701E-3</v>
      </c>
      <c r="L21" s="106">
        <f t="shared" si="2"/>
        <v>4.7017605512286627E-3</v>
      </c>
      <c r="M21" s="106">
        <f t="shared" si="2"/>
        <v>4.39416873946604E-3</v>
      </c>
      <c r="N21" s="106">
        <f t="shared" si="2"/>
        <v>4.106699756510318E-3</v>
      </c>
      <c r="P21" s="127" t="s">
        <v>18</v>
      </c>
      <c r="R21" s="106">
        <f t="shared" ref="R21:Z21" si="3">($B$26*$Q$17)/((1+$Q$11)^R15)</f>
        <v>7.5500000000000003E-3</v>
      </c>
      <c r="S21" s="106">
        <f t="shared" si="3"/>
        <v>7.5500000000000003E-3</v>
      </c>
      <c r="T21" s="106">
        <f t="shared" si="3"/>
        <v>7.5500000000000003E-3</v>
      </c>
      <c r="U21" s="106">
        <f t="shared" si="3"/>
        <v>7.5500000000000003E-3</v>
      </c>
      <c r="V21" s="106">
        <f t="shared" si="3"/>
        <v>7.5500000000000003E-3</v>
      </c>
      <c r="W21" s="106">
        <f t="shared" si="3"/>
        <v>7.5500000000000003E-3</v>
      </c>
      <c r="X21" s="106">
        <f t="shared" si="3"/>
        <v>7.5500000000000003E-3</v>
      </c>
      <c r="Y21" s="106">
        <f t="shared" si="3"/>
        <v>7.5500000000000003E-3</v>
      </c>
      <c r="Z21" s="106">
        <f t="shared" si="3"/>
        <v>7.5500000000000003E-3</v>
      </c>
    </row>
    <row r="22" spans="1:26" ht="14.5" x14ac:dyDescent="0.3">
      <c r="A22" s="104" t="s">
        <v>221</v>
      </c>
      <c r="B22" s="129">
        <v>1.4999999999999999E-2</v>
      </c>
      <c r="D22" s="124" t="s">
        <v>19</v>
      </c>
      <c r="E22" s="94"/>
      <c r="F22" s="130"/>
      <c r="G22" s="130"/>
      <c r="H22" s="130"/>
      <c r="I22" s="130"/>
      <c r="J22" s="130"/>
      <c r="K22" s="130"/>
      <c r="L22" s="130"/>
      <c r="M22" s="130"/>
      <c r="N22" s="130">
        <f>(B33+B34)*B27/((1+E11)^N15)/1000000</f>
        <v>0.1925525448747884</v>
      </c>
      <c r="P22" s="124" t="s">
        <v>19</v>
      </c>
      <c r="Q22" s="94"/>
      <c r="R22" s="130"/>
      <c r="S22" s="130"/>
      <c r="T22" s="130"/>
      <c r="U22" s="130"/>
      <c r="V22" s="130"/>
      <c r="W22" s="130"/>
      <c r="X22" s="130"/>
      <c r="Y22" s="130"/>
      <c r="Z22" s="130">
        <f>(B33+B34)*B27/((1+Q11)^Z15)/1000000</f>
        <v>0.35399999999999998</v>
      </c>
    </row>
    <row r="23" spans="1:26" ht="14.5" x14ac:dyDescent="0.3">
      <c r="A23" s="104" t="s">
        <v>222</v>
      </c>
      <c r="B23" s="111">
        <v>0</v>
      </c>
      <c r="D23" s="131" t="s">
        <v>223</v>
      </c>
      <c r="E23" s="132">
        <f>SUM(F24:N24)</f>
        <v>20148870.294884048</v>
      </c>
      <c r="F23" s="133"/>
      <c r="G23" s="133"/>
      <c r="H23" s="133"/>
      <c r="I23" s="133"/>
      <c r="J23" s="133"/>
      <c r="K23" s="133"/>
      <c r="L23" s="133"/>
      <c r="M23" s="133"/>
      <c r="N23" s="133"/>
      <c r="P23" s="131" t="s">
        <v>223</v>
      </c>
      <c r="Q23" s="132">
        <f>SUM(R24:Z24)</f>
        <v>27429841.838013075</v>
      </c>
      <c r="R23" s="133"/>
      <c r="S23" s="133"/>
      <c r="T23" s="133"/>
      <c r="U23" s="133"/>
      <c r="V23" s="133"/>
      <c r="W23" s="133"/>
      <c r="X23" s="133"/>
      <c r="Y23" s="133"/>
      <c r="Z23" s="133"/>
    </row>
    <row r="24" spans="1:26" ht="14.5" x14ac:dyDescent="0.3">
      <c r="A24" s="104" t="s">
        <v>224</v>
      </c>
      <c r="B24" s="105">
        <v>350000</v>
      </c>
      <c r="D24" s="134" t="s">
        <v>225</v>
      </c>
      <c r="E24" s="132"/>
      <c r="F24" s="132">
        <f t="shared" ref="F24:N24" si="4">$B$11*$B$28*$B$18/$B$29*($B$19*(1-$B$20)^((F15-1)*$B$18*$B$28))/$B$13/$B$14/((1+$E$11)^F15)</f>
        <v>3235606.659219095</v>
      </c>
      <c r="G24" s="132">
        <f t="shared" si="4"/>
        <v>2926470.3120903373</v>
      </c>
      <c r="H24" s="132">
        <f t="shared" si="4"/>
        <v>2646869.4713383582</v>
      </c>
      <c r="I24" s="132">
        <f t="shared" si="4"/>
        <v>2393982.2554696519</v>
      </c>
      <c r="J24" s="132">
        <f t="shared" si="4"/>
        <v>2165256.3912060503</v>
      </c>
      <c r="K24" s="132">
        <f t="shared" si="4"/>
        <v>1958383.45457531</v>
      </c>
      <c r="L24" s="132">
        <f t="shared" si="4"/>
        <v>1771275.5730595386</v>
      </c>
      <c r="M24" s="132">
        <f t="shared" si="4"/>
        <v>1602044.353667075</v>
      </c>
      <c r="N24" s="132">
        <f t="shared" si="4"/>
        <v>1448981.8242586276</v>
      </c>
      <c r="P24" s="134" t="s">
        <v>225</v>
      </c>
      <c r="Q24" s="132"/>
      <c r="R24" s="132">
        <f t="shared" ref="R24:Z24" si="5">$B$11*$B$28*$B$18/$B$29*($B$19*(1-$B$20)^((R15-1)*$B$18*$B$28))/$B$13/$B$14/((1+$Q$11)^R15)</f>
        <v>3462099.1253644316</v>
      </c>
      <c r="S24" s="132">
        <f t="shared" si="5"/>
        <v>3350515.8603122272</v>
      </c>
      <c r="T24" s="132">
        <f t="shared" si="5"/>
        <v>3242528.9177767569</v>
      </c>
      <c r="U24" s="132">
        <f t="shared" si="5"/>
        <v>3138022.3884804202</v>
      </c>
      <c r="V24" s="132">
        <f t="shared" si="5"/>
        <v>3036884.0988952825</v>
      </c>
      <c r="W24" s="132">
        <f t="shared" si="5"/>
        <v>2939005.4908400653</v>
      </c>
      <c r="X24" s="132">
        <f t="shared" si="5"/>
        <v>2844281.5049577234</v>
      </c>
      <c r="Y24" s="132">
        <f t="shared" si="5"/>
        <v>2752610.4679485294</v>
      </c>
      <c r="Z24" s="132">
        <f t="shared" si="5"/>
        <v>2663893.9834376359</v>
      </c>
    </row>
    <row r="25" spans="1:26" ht="14.5" x14ac:dyDescent="0.3">
      <c r="A25" s="104" t="s">
        <v>226</v>
      </c>
      <c r="B25" s="129">
        <v>0.01</v>
      </c>
      <c r="D25" s="131" t="s">
        <v>227</v>
      </c>
      <c r="E25" s="132">
        <f>SUM(F26:N26)</f>
        <v>17127637.788645137</v>
      </c>
      <c r="F25" s="133"/>
      <c r="G25" s="133"/>
      <c r="H25" s="133"/>
      <c r="I25" s="133"/>
      <c r="J25" s="133"/>
      <c r="K25" s="133"/>
      <c r="L25" s="133"/>
      <c r="M25" s="133"/>
      <c r="N25" s="133"/>
      <c r="P25" s="131" t="s">
        <v>227</v>
      </c>
      <c r="Q25" s="132">
        <f>SUM(R26:Z26)</f>
        <v>23316860.385993954</v>
      </c>
      <c r="R25" s="133"/>
      <c r="S25" s="133"/>
      <c r="T25" s="133"/>
      <c r="U25" s="133"/>
      <c r="V25" s="133"/>
      <c r="W25" s="133"/>
      <c r="X25" s="133"/>
      <c r="Y25" s="133"/>
      <c r="Z25" s="133"/>
    </row>
    <row r="26" spans="1:26" ht="14.5" x14ac:dyDescent="0.3">
      <c r="A26" s="104" t="s">
        <v>228</v>
      </c>
      <c r="B26" s="126">
        <v>1E-3</v>
      </c>
      <c r="D26" s="134" t="s">
        <v>229</v>
      </c>
      <c r="E26" s="133"/>
      <c r="F26" s="132">
        <f t="shared" ref="F26:N26" si="6">$B$11*$B$28*$B$18*$B$29*($B$19*(1-$B$20)^((F15-1)*$B$18*$B$28))*$B$13*$B$14/((1+$E$11)^F15)</f>
        <v>2750441.9887850466</v>
      </c>
      <c r="G26" s="132">
        <f t="shared" si="6"/>
        <v>2487659.2469520904</v>
      </c>
      <c r="H26" s="132">
        <f t="shared" si="6"/>
        <v>2249983.2951139132</v>
      </c>
      <c r="I26" s="132">
        <f t="shared" si="6"/>
        <v>2035015.3802190574</v>
      </c>
      <c r="J26" s="132">
        <f t="shared" si="6"/>
        <v>1840585.9308917436</v>
      </c>
      <c r="K26" s="132">
        <f t="shared" si="6"/>
        <v>1664732.6609551001</v>
      </c>
      <c r="L26" s="132">
        <f t="shared" si="6"/>
        <v>1505680.7649876839</v>
      </c>
      <c r="M26" s="132">
        <f t="shared" si="6"/>
        <v>1361825.0060362346</v>
      </c>
      <c r="N26" s="132">
        <f t="shared" si="6"/>
        <v>1231713.5147042675</v>
      </c>
      <c r="P26" s="134" t="s">
        <v>229</v>
      </c>
      <c r="Q26" s="133"/>
      <c r="R26" s="132">
        <f t="shared" ref="R26:Z26" si="7">$B$11*$B$28*$B$18*$B$29*($B$19*(1-$B$20)^((R15-1)*$B$18*$B$28))*$B$13*$B$14/((1+$Q$11)^R15)</f>
        <v>2942972.9279999998</v>
      </c>
      <c r="S26" s="132">
        <f t="shared" si="7"/>
        <v>2848121.0718354485</v>
      </c>
      <c r="T26" s="132">
        <f t="shared" si="7"/>
        <v>2756326.2857962339</v>
      </c>
      <c r="U26" s="132">
        <f t="shared" si="7"/>
        <v>2667490.0406797733</v>
      </c>
      <c r="V26" s="132">
        <f t="shared" si="7"/>
        <v>2581516.9828742859</v>
      </c>
      <c r="W26" s="132">
        <f t="shared" si="7"/>
        <v>2498314.8320096694</v>
      </c>
      <c r="X26" s="132">
        <f t="shared" si="7"/>
        <v>2417794.2819070951</v>
      </c>
      <c r="Y26" s="132">
        <f t="shared" si="7"/>
        <v>2339868.9047209797</v>
      </c>
      <c r="Z26" s="132">
        <f t="shared" si="7"/>
        <v>2264455.0581704685</v>
      </c>
    </row>
    <row r="27" spans="1:26" ht="14.5" x14ac:dyDescent="0.3">
      <c r="A27" s="104" t="s">
        <v>230</v>
      </c>
      <c r="B27" s="111">
        <v>0.05</v>
      </c>
      <c r="D27" s="92" t="s">
        <v>231</v>
      </c>
      <c r="E27" s="135">
        <f>SUM(F28:N28)</f>
        <v>8.9259495406336313</v>
      </c>
      <c r="P27" s="92" t="s">
        <v>231</v>
      </c>
      <c r="Q27" s="135">
        <f>SUM(R28:Z28)</f>
        <v>12.15141993423979</v>
      </c>
    </row>
    <row r="28" spans="1:26" ht="14.5" x14ac:dyDescent="0.3">
      <c r="A28" s="104" t="s">
        <v>232</v>
      </c>
      <c r="B28" s="122">
        <v>2</v>
      </c>
      <c r="D28" s="127" t="s">
        <v>233</v>
      </c>
      <c r="F28" s="106">
        <f t="shared" ref="F28:N28" si="8">($B$17+$B$16)*F24/2/1000000</f>
        <v>1.4333737500340589</v>
      </c>
      <c r="G28" s="106">
        <f t="shared" si="8"/>
        <v>1.2964263482560192</v>
      </c>
      <c r="H28" s="106">
        <f t="shared" si="8"/>
        <v>1.1725631758028925</v>
      </c>
      <c r="I28" s="106">
        <f t="shared" si="8"/>
        <v>1.0605341391730558</v>
      </c>
      <c r="J28" s="106">
        <f t="shared" si="8"/>
        <v>0.95920858130428022</v>
      </c>
      <c r="K28" s="106">
        <f t="shared" si="8"/>
        <v>0.86756387037686222</v>
      </c>
      <c r="L28" s="106">
        <f t="shared" si="8"/>
        <v>0.78467507886537546</v>
      </c>
      <c r="M28" s="106">
        <f t="shared" si="8"/>
        <v>0.70970564867451413</v>
      </c>
      <c r="N28" s="106">
        <f t="shared" si="8"/>
        <v>0.641898948146572</v>
      </c>
      <c r="P28" s="127" t="s">
        <v>233</v>
      </c>
      <c r="R28" s="106">
        <f>($B$17+$B$16)*R24/2/1000000</f>
        <v>1.5337099125364431</v>
      </c>
      <c r="S28" s="106">
        <f t="shared" ref="S28:Z28" si="9">($B$17+$B$16)*S24/2/1000000</f>
        <v>1.4842785261183165</v>
      </c>
      <c r="T28" s="106">
        <f t="shared" si="9"/>
        <v>1.4364403105751031</v>
      </c>
      <c r="U28" s="106">
        <f t="shared" si="9"/>
        <v>1.390143918096826</v>
      </c>
      <c r="V28" s="106">
        <f t="shared" si="9"/>
        <v>1.3453396558106099</v>
      </c>
      <c r="W28" s="106">
        <f t="shared" si="9"/>
        <v>1.3019794324421488</v>
      </c>
      <c r="X28" s="106">
        <f t="shared" si="9"/>
        <v>1.2600167066962715</v>
      </c>
      <c r="Y28" s="106">
        <f t="shared" si="9"/>
        <v>1.2194064373011986</v>
      </c>
      <c r="Z28" s="106">
        <f t="shared" si="9"/>
        <v>1.1801050346628725</v>
      </c>
    </row>
    <row r="29" spans="1:26" ht="14.5" x14ac:dyDescent="0.3">
      <c r="A29" s="104" t="s">
        <v>234</v>
      </c>
      <c r="B29" s="111">
        <v>0.96</v>
      </c>
      <c r="D29" s="94" t="s">
        <v>235</v>
      </c>
      <c r="E29" s="136">
        <f>SUM(F30:N30)</f>
        <v>16.973489048547332</v>
      </c>
      <c r="P29" s="94" t="s">
        <v>235</v>
      </c>
      <c r="Q29" s="136">
        <f>SUM(R30:Z30)</f>
        <v>23.107008642520007</v>
      </c>
    </row>
    <row r="30" spans="1:26" ht="14.5" x14ac:dyDescent="0.3">
      <c r="A30" s="104" t="s">
        <v>236</v>
      </c>
      <c r="B30" s="111">
        <v>0.1</v>
      </c>
      <c r="D30" s="127" t="s">
        <v>237</v>
      </c>
      <c r="F30" s="106">
        <f t="shared" ref="F30:N30" si="10">F26*$B$15/1000000</f>
        <v>2.7256880108859813</v>
      </c>
      <c r="G30" s="106">
        <f t="shared" si="10"/>
        <v>2.4652703137295213</v>
      </c>
      <c r="H30" s="106">
        <f t="shared" si="10"/>
        <v>2.2297334454578879</v>
      </c>
      <c r="I30" s="106">
        <f t="shared" si="10"/>
        <v>2.0167002417970861</v>
      </c>
      <c r="J30" s="106">
        <f t="shared" si="10"/>
        <v>1.8240206575137179</v>
      </c>
      <c r="K30" s="106">
        <f t="shared" si="10"/>
        <v>1.6497500670065042</v>
      </c>
      <c r="L30" s="106">
        <f t="shared" si="10"/>
        <v>1.4921296381027949</v>
      </c>
      <c r="M30" s="106">
        <f t="shared" si="10"/>
        <v>1.3495685809819085</v>
      </c>
      <c r="N30" s="106">
        <f t="shared" si="10"/>
        <v>1.2206280930719291</v>
      </c>
      <c r="P30" s="127" t="s">
        <v>237</v>
      </c>
      <c r="R30" s="106">
        <f>R26*$B$15/1000000</f>
        <v>2.9164861716479997</v>
      </c>
      <c r="S30" s="106">
        <f t="shared" ref="S30:Z30" si="11">S26*$B$15/1000000</f>
        <v>2.8224879821889295</v>
      </c>
      <c r="T30" s="106">
        <f t="shared" si="11"/>
        <v>2.7315193492240679</v>
      </c>
      <c r="U30" s="106">
        <f t="shared" si="11"/>
        <v>2.6434826303136552</v>
      </c>
      <c r="V30" s="106">
        <f t="shared" si="11"/>
        <v>2.5582833300284173</v>
      </c>
      <c r="W30" s="106">
        <f t="shared" si="11"/>
        <v>2.4758299985215824</v>
      </c>
      <c r="X30" s="106">
        <f t="shared" si="11"/>
        <v>2.3960341333699309</v>
      </c>
      <c r="Y30" s="106">
        <f t="shared" si="11"/>
        <v>2.3188100845784909</v>
      </c>
      <c r="Z30" s="106">
        <f t="shared" si="11"/>
        <v>2.2440749626469341</v>
      </c>
    </row>
    <row r="31" spans="1:26" ht="14.5" x14ac:dyDescent="0.3">
      <c r="A31" s="104" t="s">
        <v>238</v>
      </c>
      <c r="B31" s="122">
        <f>LOG(B21/B19,(1-B20))</f>
        <v>6525.0962300161282</v>
      </c>
      <c r="D31" s="92" t="s">
        <v>20</v>
      </c>
      <c r="E31" s="121">
        <f>SUM(F32:N32)</f>
        <v>0.76621718335925082</v>
      </c>
      <c r="P31" s="92" t="s">
        <v>20</v>
      </c>
      <c r="Q31" s="121">
        <f>SUM(R32:Z32)</f>
        <v>1.0181589417383672</v>
      </c>
    </row>
    <row r="32" spans="1:26" ht="14.5" x14ac:dyDescent="0.3">
      <c r="A32" s="104" t="s">
        <v>239</v>
      </c>
      <c r="B32" s="129">
        <f>B31/B28/B18</f>
        <v>9.3215660428801836</v>
      </c>
      <c r="D32" s="127" t="s">
        <v>21</v>
      </c>
      <c r="F32" s="125">
        <f t="shared" ref="F32:N32" si="12">(F30-F28-F21-F19)*$E$12</f>
        <v>0.14439339020449807</v>
      </c>
      <c r="G32" s="125">
        <f t="shared" si="12"/>
        <v>0.12521550070624224</v>
      </c>
      <c r="H32" s="125">
        <f t="shared" si="12"/>
        <v>0.10822201539306356</v>
      </c>
      <c r="I32" s="125">
        <f t="shared" si="12"/>
        <v>9.318119666471289E-2</v>
      </c>
      <c r="J32" s="125">
        <f t="shared" si="12"/>
        <v>7.9884954574513944E-2</v>
      </c>
      <c r="K32" s="125">
        <f t="shared" si="12"/>
        <v>6.814648889774183E-2</v>
      </c>
      <c r="L32" s="125">
        <f t="shared" si="12"/>
        <v>5.7798162931159858E-2</v>
      </c>
      <c r="M32" s="125">
        <f t="shared" si="12"/>
        <v>4.868958646171305E-2</v>
      </c>
      <c r="N32" s="125">
        <f t="shared" si="12"/>
        <v>4.0685887525605147E-2</v>
      </c>
      <c r="P32" s="127" t="s">
        <v>21</v>
      </c>
      <c r="R32" s="125">
        <f t="shared" ref="R32:Z32" si="13">(R30-R28-R21-R19)*$Q$12</f>
        <v>0.15450092751881281</v>
      </c>
      <c r="S32" s="125">
        <f t="shared" si="13"/>
        <v>0.1433592267585769</v>
      </c>
      <c r="T32" s="125">
        <f t="shared" si="13"/>
        <v>0.13257662240316484</v>
      </c>
      <c r="U32" s="125">
        <f t="shared" si="13"/>
        <v>0.12214154079513093</v>
      </c>
      <c r="V32" s="125">
        <f t="shared" si="13"/>
        <v>0.11204278129537551</v>
      </c>
      <c r="W32" s="125">
        <f t="shared" si="13"/>
        <v>0.10226950426078205</v>
      </c>
      <c r="X32" s="125">
        <f t="shared" si="13"/>
        <v>9.281121940933848E-2</v>
      </c>
      <c r="Y32" s="125">
        <f t="shared" si="13"/>
        <v>8.3657774560246728E-2</v>
      </c>
      <c r="Z32" s="125">
        <f t="shared" si="13"/>
        <v>7.4799344736939027E-2</v>
      </c>
    </row>
    <row r="33" spans="1:26" ht="14.5" x14ac:dyDescent="0.3">
      <c r="A33" s="137" t="s">
        <v>240</v>
      </c>
      <c r="B33" s="138">
        <f>B10*B9</f>
        <v>360000</v>
      </c>
      <c r="D33" s="139" t="s">
        <v>241</v>
      </c>
      <c r="E33" s="121">
        <f>SUM(F34:N34)</f>
        <v>0</v>
      </c>
      <c r="P33" s="139" t="s">
        <v>241</v>
      </c>
      <c r="Q33" s="121">
        <f>SUM(R34:Z34)</f>
        <v>0</v>
      </c>
    </row>
    <row r="34" spans="1:26" ht="14.5" x14ac:dyDescent="0.3">
      <c r="A34" s="137" t="s">
        <v>242</v>
      </c>
      <c r="B34" s="138">
        <f>B11*B12</f>
        <v>6720000</v>
      </c>
      <c r="D34" s="127" t="s">
        <v>243</v>
      </c>
      <c r="F34" s="140">
        <f t="shared" ref="F34:N34" si="14">(F30-F28)*$E$13</f>
        <v>0</v>
      </c>
      <c r="G34" s="140">
        <f t="shared" si="14"/>
        <v>0</v>
      </c>
      <c r="H34" s="140">
        <f t="shared" si="14"/>
        <v>0</v>
      </c>
      <c r="I34" s="140">
        <f t="shared" si="14"/>
        <v>0</v>
      </c>
      <c r="J34" s="140">
        <f t="shared" si="14"/>
        <v>0</v>
      </c>
      <c r="K34" s="140">
        <f t="shared" si="14"/>
        <v>0</v>
      </c>
      <c r="L34" s="140">
        <f t="shared" si="14"/>
        <v>0</v>
      </c>
      <c r="M34" s="140">
        <f t="shared" si="14"/>
        <v>0</v>
      </c>
      <c r="N34" s="140">
        <f t="shared" si="14"/>
        <v>0</v>
      </c>
      <c r="P34" s="127" t="s">
        <v>243</v>
      </c>
      <c r="R34" s="140">
        <f t="shared" ref="R34:Z34" si="15">(R30-R28)*$Q$13</f>
        <v>0</v>
      </c>
      <c r="S34" s="140">
        <f t="shared" si="15"/>
        <v>0</v>
      </c>
      <c r="T34" s="140">
        <f t="shared" si="15"/>
        <v>0</v>
      </c>
      <c r="U34" s="140">
        <f t="shared" si="15"/>
        <v>0</v>
      </c>
      <c r="V34" s="140">
        <f t="shared" si="15"/>
        <v>0</v>
      </c>
      <c r="W34" s="140">
        <f t="shared" si="15"/>
        <v>0</v>
      </c>
      <c r="X34" s="140">
        <f t="shared" si="15"/>
        <v>0</v>
      </c>
      <c r="Y34" s="140">
        <f t="shared" si="15"/>
        <v>0</v>
      </c>
      <c r="Z34" s="140">
        <f t="shared" si="15"/>
        <v>0</v>
      </c>
    </row>
    <row r="35" spans="1:26" ht="14.5" x14ac:dyDescent="0.3">
      <c r="A35" s="137" t="s">
        <v>244</v>
      </c>
      <c r="B35" s="138">
        <f>B22*B11*1000</f>
        <v>72000</v>
      </c>
      <c r="D35" s="89" t="s">
        <v>245</v>
      </c>
      <c r="E35" s="106">
        <f>SUM(F36:N36)</f>
        <v>7.2321323210760253</v>
      </c>
      <c r="P35" s="89" t="s">
        <v>245</v>
      </c>
      <c r="Q35" s="106">
        <f>SUM(R36:Z36)</f>
        <v>9.8694797665418506</v>
      </c>
    </row>
    <row r="36" spans="1:26" ht="14.5" x14ac:dyDescent="0.3">
      <c r="A36" s="137" t="s">
        <v>246</v>
      </c>
      <c r="B36" s="141">
        <f>B25*B11*1000</f>
        <v>48000</v>
      </c>
      <c r="D36" s="127" t="s">
        <v>245</v>
      </c>
      <c r="F36" s="142">
        <f>F30-F28-F32-F34-F21</f>
        <v>1.1408647958810694</v>
      </c>
      <c r="G36" s="140">
        <f t="shared" ref="G36:N36" si="16">G30-G28-G32-G34-G21</f>
        <v>1.0370340023687969</v>
      </c>
      <c r="H36" s="140">
        <f t="shared" si="16"/>
        <v>0.94278520529140597</v>
      </c>
      <c r="I36" s="140">
        <f t="shared" si="16"/>
        <v>0.85722504710835845</v>
      </c>
      <c r="J36" s="140">
        <f t="shared" si="16"/>
        <v>0.779544075979822</v>
      </c>
      <c r="K36" s="140">
        <f t="shared" si="16"/>
        <v>0.70900882394208542</v>
      </c>
      <c r="L36" s="140">
        <f t="shared" si="16"/>
        <v>0.64495463575503098</v>
      </c>
      <c r="M36" s="140">
        <f t="shared" si="16"/>
        <v>0.58677917710621519</v>
      </c>
      <c r="N36" s="140">
        <f t="shared" si="16"/>
        <v>0.53393655764324166</v>
      </c>
      <c r="P36" s="127" t="s">
        <v>245</v>
      </c>
      <c r="R36" s="142">
        <f>R30-R28-R32-R34-R21</f>
        <v>1.220725331592744</v>
      </c>
      <c r="S36" s="140">
        <f t="shared" ref="S36:Y36" si="17">S30-S28-S32-S34-S21</f>
        <v>1.1873002293120363</v>
      </c>
      <c r="T36" s="140">
        <f t="shared" si="17"/>
        <v>1.1549524162458</v>
      </c>
      <c r="U36" s="140">
        <f t="shared" si="17"/>
        <v>1.1236471714216982</v>
      </c>
      <c r="V36" s="140">
        <f t="shared" si="17"/>
        <v>1.093350892922432</v>
      </c>
      <c r="W36" s="140">
        <f t="shared" si="17"/>
        <v>1.0640310618186517</v>
      </c>
      <c r="X36" s="140">
        <f t="shared" si="17"/>
        <v>1.0356562072643209</v>
      </c>
      <c r="Y36" s="140">
        <f t="shared" si="17"/>
        <v>1.0081958727170457</v>
      </c>
      <c r="Z36" s="140">
        <f>Z30-Z28-Z32-Z34-Z21</f>
        <v>0.98162058324712254</v>
      </c>
    </row>
    <row r="37" spans="1:26" ht="14.5" x14ac:dyDescent="0.3">
      <c r="A37" s="137" t="s">
        <v>247</v>
      </c>
      <c r="B37" s="143">
        <f>B36+B35+B34+B33+B24</f>
        <v>7550000</v>
      </c>
      <c r="D37" s="89" t="s">
        <v>248</v>
      </c>
      <c r="E37" s="106">
        <f>B15</f>
        <v>0.99099999999999999</v>
      </c>
      <c r="P37" s="89" t="s">
        <v>248</v>
      </c>
      <c r="Q37" s="106">
        <f>B15</f>
        <v>0.99099999999999999</v>
      </c>
    </row>
    <row r="38" spans="1:26" ht="14.5" x14ac:dyDescent="0.3">
      <c r="A38" s="137" t="s">
        <v>249</v>
      </c>
      <c r="B38" s="144" t="s">
        <v>250</v>
      </c>
      <c r="D38" s="89" t="s">
        <v>197</v>
      </c>
      <c r="E38" s="106">
        <f>E17/E25*1000000</f>
        <v>0.44080801410952969</v>
      </c>
      <c r="P38" s="89" t="s">
        <v>197</v>
      </c>
      <c r="Q38" s="106">
        <f>Q17/Q25*1000000</f>
        <v>0.32380002603331443</v>
      </c>
    </row>
    <row r="39" spans="1:26" ht="14.5" x14ac:dyDescent="0.3">
      <c r="A39" s="137" t="s">
        <v>251</v>
      </c>
      <c r="B39" s="145">
        <f>E43</f>
        <v>-0.11238786306712427</v>
      </c>
      <c r="D39" s="89" t="s">
        <v>252</v>
      </c>
      <c r="E39" s="106">
        <f>E27*1000000/E25</f>
        <v>0.52114305841703046</v>
      </c>
      <c r="P39" s="89" t="s">
        <v>252</v>
      </c>
      <c r="Q39" s="106">
        <f>Q27*1000000/Q25</f>
        <v>0.52114305841703046</v>
      </c>
    </row>
    <row r="40" spans="1:26" x14ac:dyDescent="0.3">
      <c r="B40" s="151">
        <f>B37/B11</f>
        <v>1572.9166666666667</v>
      </c>
      <c r="D40" s="89" t="s">
        <v>253</v>
      </c>
      <c r="E40" s="106">
        <f>SUM(F41:N41)</f>
        <v>0.72321323210760258</v>
      </c>
      <c r="P40" s="89" t="s">
        <v>253</v>
      </c>
      <c r="Q40" s="106">
        <f>SUM(R41:Z41)</f>
        <v>0.98694797665418532</v>
      </c>
    </row>
    <row r="41" spans="1:26" x14ac:dyDescent="0.3">
      <c r="D41" s="89" t="s">
        <v>254</v>
      </c>
      <c r="F41" s="106">
        <f>F36*$B$30</f>
        <v>0.11408647958810694</v>
      </c>
      <c r="G41" s="106">
        <f t="shared" ref="G41:N41" si="18">G36*$B$30</f>
        <v>0.1037034002368797</v>
      </c>
      <c r="H41" s="106">
        <f t="shared" si="18"/>
        <v>9.4278520529140597E-2</v>
      </c>
      <c r="I41" s="106">
        <f t="shared" si="18"/>
        <v>8.5722504710835853E-2</v>
      </c>
      <c r="J41" s="106">
        <f t="shared" si="18"/>
        <v>7.7954407597982209E-2</v>
      </c>
      <c r="K41" s="106">
        <f t="shared" si="18"/>
        <v>7.0900882394208539E-2</v>
      </c>
      <c r="L41" s="106">
        <f t="shared" si="18"/>
        <v>6.4495463575503106E-2</v>
      </c>
      <c r="M41" s="106">
        <f t="shared" si="18"/>
        <v>5.8677917710621523E-2</v>
      </c>
      <c r="N41" s="106">
        <f t="shared" si="18"/>
        <v>5.3393655764324172E-2</v>
      </c>
      <c r="P41" s="89" t="s">
        <v>254</v>
      </c>
      <c r="R41" s="106">
        <f>R36*$B$30</f>
        <v>0.12207253315927441</v>
      </c>
      <c r="S41" s="106">
        <f t="shared" ref="S41:Z41" si="19">S36*$B$30</f>
        <v>0.11873002293120363</v>
      </c>
      <c r="T41" s="106">
        <f t="shared" si="19"/>
        <v>0.11549524162458001</v>
      </c>
      <c r="U41" s="106">
        <f t="shared" si="19"/>
        <v>0.11236471714216983</v>
      </c>
      <c r="V41" s="106">
        <f t="shared" si="19"/>
        <v>0.10933508929224321</v>
      </c>
      <c r="W41" s="106">
        <f t="shared" si="19"/>
        <v>0.10640310618186517</v>
      </c>
      <c r="X41" s="106">
        <f t="shared" si="19"/>
        <v>0.10356562072643211</v>
      </c>
      <c r="Y41" s="106">
        <f t="shared" si="19"/>
        <v>0.10081958727170458</v>
      </c>
      <c r="Z41" s="106">
        <f t="shared" si="19"/>
        <v>9.8162058324712254E-2</v>
      </c>
    </row>
    <row r="42" spans="1:26" x14ac:dyDescent="0.3">
      <c r="D42" s="100" t="s">
        <v>22</v>
      </c>
      <c r="E42" s="106">
        <f>-(E17)</f>
        <v>-7.55</v>
      </c>
      <c r="F42" s="140">
        <f t="shared" ref="F42:M42" si="20">F30-F28-F41-F32-F34-F21</f>
        <v>1.0267783162929625</v>
      </c>
      <c r="G42" s="140">
        <f t="shared" si="20"/>
        <v>0.93333060213191743</v>
      </c>
      <c r="H42" s="140">
        <f t="shared" si="20"/>
        <v>0.84850668476226543</v>
      </c>
      <c r="I42" s="140">
        <f t="shared" si="20"/>
        <v>0.77150254239752258</v>
      </c>
      <c r="J42" s="140">
        <f t="shared" si="20"/>
        <v>0.70158966838183978</v>
      </c>
      <c r="K42" s="140">
        <f t="shared" si="20"/>
        <v>0.63810794154787687</v>
      </c>
      <c r="L42" s="140">
        <f t="shared" si="20"/>
        <v>0.58045917217952792</v>
      </c>
      <c r="M42" s="140">
        <f t="shared" si="20"/>
        <v>0.52810125939559371</v>
      </c>
      <c r="N42" s="140">
        <f>N30-N28-N41-N32-N34-N21+N22</f>
        <v>0.67309544675370581</v>
      </c>
      <c r="P42" s="100" t="s">
        <v>22</v>
      </c>
      <c r="Q42" s="106">
        <f>-(Q17)</f>
        <v>-7.55</v>
      </c>
      <c r="R42" s="140">
        <f>R30-R28-R41-R32-R34-R21</f>
        <v>1.0986527984334695</v>
      </c>
      <c r="S42" s="140">
        <f t="shared" ref="S42:Y42" si="21">S30-S28-S41-S32-S34-S21</f>
        <v>1.0685702063808327</v>
      </c>
      <c r="T42" s="140">
        <f t="shared" si="21"/>
        <v>1.03945717462122</v>
      </c>
      <c r="U42" s="140">
        <f t="shared" si="21"/>
        <v>1.0112824542795285</v>
      </c>
      <c r="V42" s="140">
        <f t="shared" si="21"/>
        <v>0.98401580363018892</v>
      </c>
      <c r="W42" s="140">
        <f t="shared" si="21"/>
        <v>0.95762795563678649</v>
      </c>
      <c r="X42" s="140">
        <f t="shared" si="21"/>
        <v>0.93209058653788879</v>
      </c>
      <c r="Y42" s="140">
        <f t="shared" si="21"/>
        <v>0.9073762854453411</v>
      </c>
      <c r="Z42" s="140">
        <f>Z30-Z28-Z41-Z32-Z34-Z21+Z22</f>
        <v>1.2374585249224102</v>
      </c>
    </row>
    <row r="43" spans="1:26" ht="13.5" thickBot="1" x14ac:dyDescent="0.35">
      <c r="D43" s="146" t="s">
        <v>255</v>
      </c>
      <c r="E43" s="108">
        <f>SUM(E42:N42)/E17</f>
        <v>-0.11238786306712427</v>
      </c>
      <c r="F43" s="146"/>
      <c r="G43" s="146"/>
      <c r="H43" s="146"/>
      <c r="I43" s="146"/>
      <c r="J43" s="146"/>
      <c r="K43" s="146"/>
      <c r="L43" s="146"/>
      <c r="M43" s="146"/>
      <c r="N43" s="146"/>
      <c r="P43" s="146" t="s">
        <v>203</v>
      </c>
      <c r="Q43" s="108">
        <f>IRR(Q42:Z42)</f>
        <v>4.2605859689077263E-2</v>
      </c>
      <c r="R43" s="146"/>
      <c r="S43" s="146"/>
      <c r="T43" s="146"/>
      <c r="U43" s="146"/>
      <c r="V43" s="146"/>
      <c r="W43" s="146"/>
      <c r="X43" s="146"/>
      <c r="Y43" s="146"/>
      <c r="Z43" s="146"/>
    </row>
    <row r="44" spans="1:26" ht="13.5" thickTop="1" x14ac:dyDescent="0.3"/>
  </sheetData>
  <mergeCells count="1">
    <mergeCell ref="A8:B8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CB65-16DC-426C-8B3F-28086AEDE073}">
  <dimension ref="A1:J41"/>
  <sheetViews>
    <sheetView zoomScale="115" zoomScaleNormal="115" workbookViewId="0">
      <selection activeCell="C14" sqref="C14"/>
    </sheetView>
  </sheetViews>
  <sheetFormatPr defaultRowHeight="13" x14ac:dyDescent="0.3"/>
  <cols>
    <col min="1" max="2" width="8.6640625" style="41"/>
    <col min="3" max="3" width="44.33203125" style="41" customWidth="1"/>
    <col min="4" max="4" width="12.33203125" style="41" customWidth="1"/>
    <col min="5" max="5" width="11.5" style="41" customWidth="1"/>
    <col min="6" max="8" width="8.6640625" style="41"/>
    <col min="9" max="9" width="9.33203125" style="41" bestFit="1" customWidth="1"/>
    <col min="10" max="16384" width="8.6640625" style="41"/>
  </cols>
  <sheetData>
    <row r="1" spans="1:9" x14ac:dyDescent="0.3">
      <c r="A1" s="41" t="s">
        <v>117</v>
      </c>
    </row>
    <row r="2" spans="1:9" x14ac:dyDescent="0.3">
      <c r="B2" s="41" t="s">
        <v>118</v>
      </c>
      <c r="F2" s="155" t="s">
        <v>134</v>
      </c>
      <c r="G2" s="155"/>
      <c r="H2" s="155"/>
    </row>
    <row r="3" spans="1:9" x14ac:dyDescent="0.3">
      <c r="A3" s="161" t="s">
        <v>81</v>
      </c>
      <c r="B3" s="161" t="s">
        <v>82</v>
      </c>
      <c r="C3" s="161" t="s">
        <v>83</v>
      </c>
      <c r="D3" s="159" t="s">
        <v>116</v>
      </c>
      <c r="E3" s="159" t="s">
        <v>79</v>
      </c>
      <c r="F3" s="159" t="s">
        <v>131</v>
      </c>
      <c r="G3" s="159" t="s">
        <v>132</v>
      </c>
      <c r="H3" s="159" t="s">
        <v>133</v>
      </c>
      <c r="I3" s="156" t="s">
        <v>135</v>
      </c>
    </row>
    <row r="4" spans="1:9" x14ac:dyDescent="0.3">
      <c r="A4" s="162"/>
      <c r="B4" s="162"/>
      <c r="C4" s="162"/>
      <c r="D4" s="160"/>
      <c r="E4" s="160"/>
      <c r="F4" s="160"/>
      <c r="G4" s="160"/>
      <c r="H4" s="160"/>
      <c r="I4" s="157"/>
    </row>
    <row r="5" spans="1:9" x14ac:dyDescent="0.3">
      <c r="A5" s="158" t="s">
        <v>80</v>
      </c>
      <c r="B5" s="43" t="s">
        <v>119</v>
      </c>
      <c r="C5" s="44" t="s">
        <v>115</v>
      </c>
      <c r="D5" s="43">
        <v>1500</v>
      </c>
      <c r="E5" s="43">
        <v>1626</v>
      </c>
      <c r="F5" s="50">
        <v>0.90501320000000018</v>
      </c>
      <c r="G5" s="50">
        <v>0.61081700000000005</v>
      </c>
      <c r="H5" s="50">
        <v>0.31662119999999999</v>
      </c>
      <c r="I5" s="77">
        <f>(G5+H5+F5)/3</f>
        <v>0.61081713333333343</v>
      </c>
    </row>
    <row r="6" spans="1:9" x14ac:dyDescent="0.3">
      <c r="A6" s="158"/>
      <c r="B6" s="43" t="s">
        <v>120</v>
      </c>
      <c r="C6" s="45" t="s">
        <v>84</v>
      </c>
      <c r="D6" s="43">
        <v>1400</v>
      </c>
      <c r="E6" s="43">
        <v>1619</v>
      </c>
      <c r="F6" s="50">
        <v>0.90501320000000018</v>
      </c>
      <c r="G6" s="50">
        <v>0.61081700000000005</v>
      </c>
      <c r="H6" s="50">
        <v>0.31662119999999999</v>
      </c>
      <c r="I6" s="77">
        <f t="shared" ref="I6:I40" si="0">(G6+H6+F6)/3</f>
        <v>0.61081713333333343</v>
      </c>
    </row>
    <row r="7" spans="1:9" x14ac:dyDescent="0.3">
      <c r="A7" s="158" t="s">
        <v>138</v>
      </c>
      <c r="B7" s="43" t="s">
        <v>121</v>
      </c>
      <c r="C7" s="45" t="s">
        <v>85</v>
      </c>
      <c r="D7" s="43">
        <v>1500</v>
      </c>
      <c r="E7" s="43">
        <v>1655</v>
      </c>
      <c r="F7" s="43">
        <v>0.65739999999999998</v>
      </c>
      <c r="G7" s="43">
        <v>0.41570000000000001</v>
      </c>
      <c r="H7" s="43">
        <v>0.17399999999999999</v>
      </c>
      <c r="I7" s="77">
        <f>(G7+H7+F7)/3</f>
        <v>0.41570000000000001</v>
      </c>
    </row>
    <row r="8" spans="1:9" x14ac:dyDescent="0.3">
      <c r="A8" s="158"/>
      <c r="B8" s="43" t="s">
        <v>122</v>
      </c>
      <c r="C8" s="45" t="s">
        <v>123</v>
      </c>
      <c r="D8" s="43">
        <v>1350</v>
      </c>
      <c r="E8" s="43">
        <v>1414</v>
      </c>
      <c r="F8" s="43">
        <v>0.65739999999999998</v>
      </c>
      <c r="G8" s="43">
        <v>0.41570000000000001</v>
      </c>
      <c r="H8" s="43">
        <v>0.17399999999999999</v>
      </c>
      <c r="I8" s="77">
        <f>(G8+H8+F8)/3</f>
        <v>0.41570000000000001</v>
      </c>
    </row>
    <row r="9" spans="1:9" x14ac:dyDescent="0.3">
      <c r="A9" s="158" t="s">
        <v>142</v>
      </c>
      <c r="B9" s="43" t="s">
        <v>121</v>
      </c>
      <c r="C9" s="45" t="s">
        <v>184</v>
      </c>
      <c r="D9" s="43">
        <v>1500</v>
      </c>
      <c r="E9" s="43">
        <v>1535</v>
      </c>
      <c r="F9" s="50">
        <v>0.87291500000000011</v>
      </c>
      <c r="G9" s="50">
        <v>0.6691649999999999</v>
      </c>
      <c r="H9" s="50">
        <v>0.49213500000000004</v>
      </c>
      <c r="I9" s="77">
        <f t="shared" si="0"/>
        <v>0.67807166666666674</v>
      </c>
    </row>
    <row r="10" spans="1:9" x14ac:dyDescent="0.3">
      <c r="A10" s="158"/>
      <c r="B10" s="43" t="s">
        <v>122</v>
      </c>
      <c r="C10" s="45" t="s">
        <v>123</v>
      </c>
      <c r="D10" s="43">
        <v>1400</v>
      </c>
      <c r="E10" s="43">
        <v>1263</v>
      </c>
      <c r="F10" s="50">
        <v>0.87291500000000011</v>
      </c>
      <c r="G10" s="50">
        <v>0.6691649999999999</v>
      </c>
      <c r="H10" s="50">
        <v>0.49213500000000004</v>
      </c>
      <c r="I10" s="77">
        <f t="shared" si="0"/>
        <v>0.67807166666666674</v>
      </c>
    </row>
    <row r="11" spans="1:9" x14ac:dyDescent="0.3">
      <c r="A11" s="158" t="s">
        <v>145</v>
      </c>
      <c r="B11" s="43" t="s">
        <v>121</v>
      </c>
      <c r="C11" s="45" t="s">
        <v>86</v>
      </c>
      <c r="D11" s="43">
        <v>1500</v>
      </c>
      <c r="E11" s="43">
        <v>1436</v>
      </c>
      <c r="F11" s="50">
        <v>0.5593766</v>
      </c>
      <c r="G11" s="50">
        <v>0.41560499999999995</v>
      </c>
      <c r="H11" s="50">
        <v>0.27183340000000006</v>
      </c>
      <c r="I11" s="77">
        <f t="shared" si="0"/>
        <v>0.415605</v>
      </c>
    </row>
    <row r="12" spans="1:9" x14ac:dyDescent="0.3">
      <c r="A12" s="158"/>
      <c r="B12" s="43" t="s">
        <v>122</v>
      </c>
      <c r="C12" s="45" t="s">
        <v>123</v>
      </c>
      <c r="D12" s="43">
        <v>1450</v>
      </c>
      <c r="E12" s="43">
        <v>1387</v>
      </c>
      <c r="F12" s="50">
        <v>0.5593766</v>
      </c>
      <c r="G12" s="50">
        <v>0.41560499999999995</v>
      </c>
      <c r="H12" s="50">
        <v>0.27183340000000006</v>
      </c>
      <c r="I12" s="77">
        <f t="shared" si="0"/>
        <v>0.415605</v>
      </c>
    </row>
    <row r="13" spans="1:9" x14ac:dyDescent="0.3">
      <c r="A13" s="46" t="s">
        <v>148</v>
      </c>
      <c r="B13" s="43" t="s">
        <v>121</v>
      </c>
      <c r="C13" s="45" t="s">
        <v>87</v>
      </c>
      <c r="D13" s="43">
        <v>1500</v>
      </c>
      <c r="E13" s="43">
        <v>1390</v>
      </c>
      <c r="F13" s="50">
        <v>0.71606500000000006</v>
      </c>
      <c r="G13" s="50">
        <v>0.484485</v>
      </c>
      <c r="H13" s="50">
        <v>0.24696499999999996</v>
      </c>
      <c r="I13" s="77">
        <f>(G13+H13+F13)/3</f>
        <v>0.48250500000000002</v>
      </c>
    </row>
    <row r="14" spans="1:9" x14ac:dyDescent="0.3">
      <c r="A14" s="46" t="s">
        <v>150</v>
      </c>
      <c r="B14" s="43" t="s">
        <v>122</v>
      </c>
      <c r="C14" s="45" t="s">
        <v>88</v>
      </c>
      <c r="D14" s="43">
        <v>1300</v>
      </c>
      <c r="E14" s="43">
        <v>1466</v>
      </c>
      <c r="F14" s="50">
        <v>0.85200500000000001</v>
      </c>
      <c r="G14" s="50">
        <v>0.58344499999999999</v>
      </c>
      <c r="H14" s="50">
        <v>0.31488499999999997</v>
      </c>
      <c r="I14" s="77">
        <f t="shared" si="0"/>
        <v>0.58344499999999999</v>
      </c>
    </row>
    <row r="15" spans="1:9" x14ac:dyDescent="0.3">
      <c r="A15" s="46" t="s">
        <v>152</v>
      </c>
      <c r="B15" s="43" t="s">
        <v>122</v>
      </c>
      <c r="C15" s="45" t="s">
        <v>89</v>
      </c>
      <c r="D15" s="43">
        <v>1300</v>
      </c>
      <c r="E15" s="43">
        <v>1507</v>
      </c>
      <c r="F15" s="50">
        <v>1.0889902</v>
      </c>
      <c r="G15" s="50">
        <v>0.73426820000000004</v>
      </c>
      <c r="H15" s="50">
        <v>0.37954699999999997</v>
      </c>
      <c r="I15" s="77">
        <f t="shared" si="0"/>
        <v>0.73426846666666667</v>
      </c>
    </row>
    <row r="16" spans="1:9" x14ac:dyDescent="0.3">
      <c r="A16" s="46" t="s">
        <v>154</v>
      </c>
      <c r="B16" s="43" t="s">
        <v>122</v>
      </c>
      <c r="C16" s="45" t="s">
        <v>90</v>
      </c>
      <c r="D16" s="43">
        <v>1300</v>
      </c>
      <c r="E16" s="43">
        <v>1477</v>
      </c>
      <c r="F16" s="50">
        <v>1.1122810000000001</v>
      </c>
      <c r="G16" s="50">
        <v>0.75652900000000001</v>
      </c>
      <c r="H16" s="50">
        <v>0.40077700000000005</v>
      </c>
      <c r="I16" s="77">
        <f t="shared" si="0"/>
        <v>0.75652900000000012</v>
      </c>
    </row>
    <row r="17" spans="1:10" x14ac:dyDescent="0.3">
      <c r="A17" s="46" t="s">
        <v>156</v>
      </c>
      <c r="B17" s="43" t="s">
        <v>122</v>
      </c>
      <c r="C17" s="45" t="s">
        <v>91</v>
      </c>
      <c r="D17" s="43">
        <v>1300</v>
      </c>
      <c r="E17" s="43">
        <v>1388</v>
      </c>
      <c r="F17" s="50">
        <v>1.0122360000000001</v>
      </c>
      <c r="G17" s="50">
        <v>0.68609900000000001</v>
      </c>
      <c r="H17" s="50">
        <v>0.359962</v>
      </c>
      <c r="I17" s="77">
        <f t="shared" si="0"/>
        <v>0.68609900000000001</v>
      </c>
      <c r="J17" s="42"/>
    </row>
    <row r="18" spans="1:10" x14ac:dyDescent="0.3">
      <c r="A18" s="46" t="s">
        <v>95</v>
      </c>
      <c r="B18" s="43" t="s">
        <v>122</v>
      </c>
      <c r="C18" s="45" t="s">
        <v>92</v>
      </c>
      <c r="D18" s="43">
        <v>1400</v>
      </c>
      <c r="E18" s="43">
        <v>1485</v>
      </c>
      <c r="F18" s="50">
        <v>0.81162800000000002</v>
      </c>
      <c r="G18" s="50">
        <v>0.60764799999999997</v>
      </c>
      <c r="H18" s="50">
        <v>0.40366800000000003</v>
      </c>
      <c r="I18" s="77">
        <f t="shared" si="0"/>
        <v>0.60764799999999997</v>
      </c>
      <c r="J18" s="42"/>
    </row>
    <row r="19" spans="1:10" x14ac:dyDescent="0.3">
      <c r="A19" s="46" t="s">
        <v>158</v>
      </c>
      <c r="B19" s="43" t="s">
        <v>122</v>
      </c>
      <c r="C19" s="45" t="s">
        <v>93</v>
      </c>
      <c r="D19" s="43">
        <v>1400</v>
      </c>
      <c r="E19" s="43">
        <v>1470</v>
      </c>
      <c r="F19" s="50">
        <v>0.80417039999999995</v>
      </c>
      <c r="G19" s="50">
        <v>0.53346899999999997</v>
      </c>
      <c r="H19" s="50">
        <v>0.28470640000000003</v>
      </c>
      <c r="I19" s="77">
        <f t="shared" si="0"/>
        <v>0.54078193333333335</v>
      </c>
      <c r="J19" s="42"/>
    </row>
    <row r="20" spans="1:10" x14ac:dyDescent="0.3">
      <c r="A20" s="46" t="s">
        <v>94</v>
      </c>
      <c r="B20" s="43" t="s">
        <v>122</v>
      </c>
      <c r="C20" s="45"/>
      <c r="D20" s="43"/>
      <c r="E20" s="43">
        <v>1466</v>
      </c>
      <c r="F20" s="50">
        <v>1.0764819999999999</v>
      </c>
      <c r="G20" s="50">
        <v>0.70727600000000002</v>
      </c>
      <c r="H20" s="50">
        <v>0.33805000000000002</v>
      </c>
      <c r="I20" s="77">
        <f t="shared" si="0"/>
        <v>0.70726933333333319</v>
      </c>
      <c r="J20" s="42"/>
    </row>
    <row r="21" spans="1:10" x14ac:dyDescent="0.3">
      <c r="A21" s="46" t="s">
        <v>95</v>
      </c>
      <c r="B21" s="43" t="s">
        <v>124</v>
      </c>
      <c r="C21" s="45"/>
      <c r="D21" s="43"/>
      <c r="E21" s="43">
        <v>1336</v>
      </c>
      <c r="F21" s="50">
        <v>0.81162800000000002</v>
      </c>
      <c r="G21" s="50">
        <v>0.60764799999999997</v>
      </c>
      <c r="H21" s="50">
        <v>0.40366800000000003</v>
      </c>
      <c r="I21" s="77">
        <f t="shared" si="0"/>
        <v>0.60764799999999997</v>
      </c>
      <c r="J21" s="42"/>
    </row>
    <row r="22" spans="1:10" x14ac:dyDescent="0.3">
      <c r="A22" s="46" t="s">
        <v>96</v>
      </c>
      <c r="B22" s="43" t="s">
        <v>125</v>
      </c>
      <c r="C22" s="45"/>
      <c r="D22" s="43"/>
      <c r="E22" s="43">
        <v>1332</v>
      </c>
      <c r="F22" s="50">
        <v>0.76659999999999995</v>
      </c>
      <c r="G22" s="50">
        <v>0.53252500000000003</v>
      </c>
      <c r="H22" s="50">
        <v>0.29844999999999999</v>
      </c>
      <c r="I22" s="77">
        <f t="shared" si="0"/>
        <v>0.53252500000000003</v>
      </c>
      <c r="J22" s="42"/>
    </row>
    <row r="23" spans="1:10" x14ac:dyDescent="0.3">
      <c r="A23" s="46" t="s">
        <v>97</v>
      </c>
      <c r="B23" s="43" t="s">
        <v>125</v>
      </c>
      <c r="C23" s="45"/>
      <c r="D23" s="43"/>
      <c r="E23" s="43">
        <v>1265</v>
      </c>
      <c r="F23" s="50">
        <v>1.015368</v>
      </c>
      <c r="G23" s="50">
        <v>0.69288800000000006</v>
      </c>
      <c r="H23" s="50">
        <v>0.36596799999999996</v>
      </c>
      <c r="I23" s="77">
        <f t="shared" si="0"/>
        <v>0.69140800000000002</v>
      </c>
      <c r="J23" s="42"/>
    </row>
    <row r="24" spans="1:10" x14ac:dyDescent="0.3">
      <c r="A24" s="46" t="s">
        <v>98</v>
      </c>
      <c r="B24" s="43" t="s">
        <v>122</v>
      </c>
      <c r="C24" s="45"/>
      <c r="D24" s="43"/>
      <c r="E24" s="43">
        <v>1242</v>
      </c>
      <c r="F24" s="50">
        <v>1.1102066000000002</v>
      </c>
      <c r="G24" s="50">
        <v>0.81066159999999987</v>
      </c>
      <c r="H24" s="50">
        <v>0.5398404</v>
      </c>
      <c r="I24" s="77">
        <f t="shared" si="0"/>
        <v>0.82023620000000008</v>
      </c>
      <c r="J24" s="42"/>
    </row>
    <row r="25" spans="1:10" x14ac:dyDescent="0.3">
      <c r="A25" s="46" t="s">
        <v>99</v>
      </c>
      <c r="B25" s="43" t="s">
        <v>125</v>
      </c>
      <c r="C25" s="45"/>
      <c r="D25" s="43"/>
      <c r="E25" s="43">
        <v>1225</v>
      </c>
      <c r="F25" s="50">
        <v>0.9557087299999999</v>
      </c>
      <c r="G25" s="50">
        <v>0.67784875</v>
      </c>
      <c r="H25" s="50">
        <v>0.40002873</v>
      </c>
      <c r="I25" s="77">
        <f t="shared" si="0"/>
        <v>0.67786206999999987</v>
      </c>
      <c r="J25" s="42"/>
    </row>
    <row r="26" spans="1:10" x14ac:dyDescent="0.3">
      <c r="A26" s="46" t="s">
        <v>100</v>
      </c>
      <c r="B26" s="43" t="s">
        <v>125</v>
      </c>
      <c r="C26" s="45"/>
      <c r="D26" s="43"/>
      <c r="E26" s="43">
        <v>1165</v>
      </c>
      <c r="F26" s="50">
        <v>1.1261599999999998</v>
      </c>
      <c r="G26" s="50">
        <v>0.67357999999999996</v>
      </c>
      <c r="H26" s="50">
        <v>0.30432000000000003</v>
      </c>
      <c r="I26" s="77">
        <f t="shared" si="0"/>
        <v>0.70135333333333316</v>
      </c>
      <c r="J26" s="42"/>
    </row>
    <row r="27" spans="1:10" x14ac:dyDescent="0.3">
      <c r="A27" s="46" t="s">
        <v>101</v>
      </c>
      <c r="B27" s="43" t="s">
        <v>125</v>
      </c>
      <c r="C27" s="45"/>
      <c r="D27" s="43"/>
      <c r="E27" s="43">
        <v>1116</v>
      </c>
      <c r="F27" s="43"/>
      <c r="G27" s="43"/>
      <c r="H27" s="43"/>
      <c r="I27" s="77">
        <v>0.55359999999999998</v>
      </c>
      <c r="J27" s="42"/>
    </row>
    <row r="28" spans="1:10" x14ac:dyDescent="0.3">
      <c r="A28" s="46" t="s">
        <v>102</v>
      </c>
      <c r="B28" s="43" t="s">
        <v>125</v>
      </c>
      <c r="C28" s="45"/>
      <c r="D28" s="43"/>
      <c r="E28" s="43">
        <v>1103</v>
      </c>
      <c r="F28" s="50">
        <v>0.9251614199999999</v>
      </c>
      <c r="G28" s="50">
        <v>0.65747999999999995</v>
      </c>
      <c r="H28" s="50">
        <v>0.38981798000000001</v>
      </c>
      <c r="I28" s="77">
        <f t="shared" si="0"/>
        <v>0.65748646666666666</v>
      </c>
      <c r="J28" s="42"/>
    </row>
    <row r="29" spans="1:10" x14ac:dyDescent="0.3">
      <c r="A29" s="46" t="s">
        <v>103</v>
      </c>
      <c r="B29" s="43" t="s">
        <v>125</v>
      </c>
      <c r="C29" s="45"/>
      <c r="D29" s="43"/>
      <c r="E29" s="43">
        <v>1071</v>
      </c>
      <c r="F29" s="50">
        <v>1.0600200000000002</v>
      </c>
      <c r="G29" s="50">
        <v>0.67225999999999997</v>
      </c>
      <c r="H29" s="50">
        <v>0.36147999999999997</v>
      </c>
      <c r="I29" s="77">
        <f t="shared" si="0"/>
        <v>0.69791999999999998</v>
      </c>
      <c r="J29" s="42"/>
    </row>
    <row r="30" spans="1:10" x14ac:dyDescent="0.3">
      <c r="A30" s="46" t="s">
        <v>104</v>
      </c>
      <c r="B30" s="43" t="s">
        <v>125</v>
      </c>
      <c r="C30" s="45"/>
      <c r="D30" s="43"/>
      <c r="E30" s="43">
        <v>1063</v>
      </c>
      <c r="F30" s="50">
        <v>1.08182</v>
      </c>
      <c r="G30" s="50">
        <v>0.67542000000000013</v>
      </c>
      <c r="H30" s="50">
        <v>0.33880000000000005</v>
      </c>
      <c r="I30" s="77">
        <f t="shared" si="0"/>
        <v>0.69868000000000008</v>
      </c>
      <c r="J30" s="42"/>
    </row>
    <row r="31" spans="1:10" x14ac:dyDescent="0.3">
      <c r="A31" s="46" t="s">
        <v>105</v>
      </c>
      <c r="B31" s="43" t="s">
        <v>125</v>
      </c>
      <c r="C31" s="45"/>
      <c r="D31" s="43"/>
      <c r="E31" s="43">
        <v>1063</v>
      </c>
      <c r="F31" s="50">
        <v>0.88044875</v>
      </c>
      <c r="G31" s="50">
        <v>0.59618874999999993</v>
      </c>
      <c r="H31" s="50">
        <v>0.31192877000000002</v>
      </c>
      <c r="I31" s="77">
        <f t="shared" si="0"/>
        <v>0.59618875666666671</v>
      </c>
      <c r="J31" s="42"/>
    </row>
    <row r="32" spans="1:10" x14ac:dyDescent="0.3">
      <c r="A32" s="46" t="s">
        <v>106</v>
      </c>
      <c r="B32" s="43" t="s">
        <v>125</v>
      </c>
      <c r="C32" s="45"/>
      <c r="D32" s="43"/>
      <c r="E32" s="43">
        <v>1055</v>
      </c>
      <c r="F32" s="50">
        <v>1.0026561999999999</v>
      </c>
      <c r="G32" s="50">
        <v>0.64912300000000001</v>
      </c>
      <c r="H32" s="50">
        <v>0.33900600000000003</v>
      </c>
      <c r="I32" s="77">
        <f t="shared" si="0"/>
        <v>0.66359506666666668</v>
      </c>
      <c r="J32" s="42"/>
    </row>
    <row r="33" spans="1:10" x14ac:dyDescent="0.3">
      <c r="A33" s="46" t="s">
        <v>107</v>
      </c>
      <c r="B33" s="43" t="s">
        <v>125</v>
      </c>
      <c r="C33" s="45"/>
      <c r="D33" s="43"/>
      <c r="E33" s="43">
        <v>1032</v>
      </c>
      <c r="F33" s="50">
        <v>0.76762000000000008</v>
      </c>
      <c r="G33" s="50">
        <v>0.52866000000000002</v>
      </c>
      <c r="H33" s="50">
        <v>0.28969999999999996</v>
      </c>
      <c r="I33" s="77">
        <f t="shared" si="0"/>
        <v>0.52866000000000002</v>
      </c>
      <c r="J33" s="42"/>
    </row>
    <row r="34" spans="1:10" x14ac:dyDescent="0.3">
      <c r="A34" s="46" t="s">
        <v>108</v>
      </c>
      <c r="B34" s="43" t="s">
        <v>125</v>
      </c>
      <c r="C34" s="45"/>
      <c r="D34" s="43"/>
      <c r="E34" s="43">
        <v>1013</v>
      </c>
      <c r="F34" s="50">
        <v>1.0727338</v>
      </c>
      <c r="G34" s="50">
        <v>0.73482000000000003</v>
      </c>
      <c r="H34" s="50">
        <v>0.37621759999999999</v>
      </c>
      <c r="I34" s="77">
        <f t="shared" si="0"/>
        <v>0.72792380000000001</v>
      </c>
      <c r="J34" s="42"/>
    </row>
    <row r="35" spans="1:10" x14ac:dyDescent="0.3">
      <c r="A35" s="46" t="s">
        <v>109</v>
      </c>
      <c r="B35" s="43" t="s">
        <v>125</v>
      </c>
      <c r="C35" s="45"/>
      <c r="D35" s="43"/>
      <c r="E35" s="43">
        <v>998</v>
      </c>
      <c r="F35" s="50">
        <v>1.3236399999999999</v>
      </c>
      <c r="G35" s="50">
        <v>0.98521999999999998</v>
      </c>
      <c r="H35" s="50">
        <v>0.39089999999999997</v>
      </c>
      <c r="I35" s="77">
        <f t="shared" si="0"/>
        <v>0.89991999999999994</v>
      </c>
      <c r="J35" s="42"/>
    </row>
    <row r="36" spans="1:10" x14ac:dyDescent="0.3">
      <c r="A36" s="46" t="s">
        <v>110</v>
      </c>
      <c r="B36" s="43" t="s">
        <v>125</v>
      </c>
      <c r="C36" s="45"/>
      <c r="D36" s="43"/>
      <c r="E36" s="43">
        <v>993</v>
      </c>
      <c r="F36" s="50">
        <v>1.2380087500000001</v>
      </c>
      <c r="G36" s="50">
        <v>0.73962877000000005</v>
      </c>
      <c r="H36" s="50">
        <v>0.29820877000000001</v>
      </c>
      <c r="I36" s="77">
        <f t="shared" si="0"/>
        <v>0.75861542999999998</v>
      </c>
      <c r="J36" s="42"/>
    </row>
    <row r="37" spans="1:10" x14ac:dyDescent="0.3">
      <c r="A37" s="46" t="s">
        <v>111</v>
      </c>
      <c r="B37" s="43" t="s">
        <v>125</v>
      </c>
      <c r="C37" s="45"/>
      <c r="D37" s="43"/>
      <c r="E37" s="43">
        <v>917</v>
      </c>
      <c r="F37" s="50">
        <v>0.86885089999999998</v>
      </c>
      <c r="G37" s="50">
        <v>0.67452050000000008</v>
      </c>
      <c r="H37" s="50">
        <v>0.48019010000000001</v>
      </c>
      <c r="I37" s="77">
        <f t="shared" si="0"/>
        <v>0.67452049999999997</v>
      </c>
    </row>
    <row r="38" spans="1:10" x14ac:dyDescent="0.3">
      <c r="A38" s="46" t="s">
        <v>112</v>
      </c>
      <c r="B38" s="43" t="s">
        <v>125</v>
      </c>
      <c r="C38" s="45"/>
      <c r="D38" s="43"/>
      <c r="E38" s="43">
        <v>902</v>
      </c>
      <c r="F38" s="50">
        <v>1.1217979999999999</v>
      </c>
      <c r="G38" s="50">
        <v>0.73019199999999995</v>
      </c>
      <c r="H38" s="50">
        <v>0.338588</v>
      </c>
      <c r="I38" s="77">
        <f t="shared" si="0"/>
        <v>0.73019266666666649</v>
      </c>
    </row>
    <row r="39" spans="1:10" x14ac:dyDescent="0.3">
      <c r="A39" s="46" t="s">
        <v>113</v>
      </c>
      <c r="B39" s="43" t="s">
        <v>125</v>
      </c>
      <c r="C39" s="45"/>
      <c r="D39" s="43"/>
      <c r="E39" s="43">
        <v>861</v>
      </c>
      <c r="F39" s="50">
        <v>0.88575999999999999</v>
      </c>
      <c r="G39" s="50">
        <v>0.80232000000000014</v>
      </c>
      <c r="H39" s="50">
        <v>0.39610000000000001</v>
      </c>
      <c r="I39" s="77">
        <f t="shared" si="0"/>
        <v>0.6947266666666666</v>
      </c>
    </row>
    <row r="40" spans="1:10" ht="13.5" thickBot="1" x14ac:dyDescent="0.35">
      <c r="A40" s="47" t="s">
        <v>114</v>
      </c>
      <c r="B40" s="48" t="s">
        <v>125</v>
      </c>
      <c r="C40" s="49"/>
      <c r="D40" s="48"/>
      <c r="E40" s="48">
        <v>655</v>
      </c>
      <c r="F40" s="51">
        <v>1.1272753999999998</v>
      </c>
      <c r="G40" s="51">
        <v>0.73213585999999997</v>
      </c>
      <c r="H40" s="51">
        <v>0.3264127</v>
      </c>
      <c r="I40" s="78">
        <f t="shared" si="0"/>
        <v>0.72860798666666649</v>
      </c>
    </row>
    <row r="41" spans="1:10" ht="13.5" thickTop="1" x14ac:dyDescent="0.3"/>
  </sheetData>
  <mergeCells count="14">
    <mergeCell ref="F2:H2"/>
    <mergeCell ref="I3:I4"/>
    <mergeCell ref="A11:A12"/>
    <mergeCell ref="D3:D4"/>
    <mergeCell ref="E3:E4"/>
    <mergeCell ref="F3:F4"/>
    <mergeCell ref="G3:G4"/>
    <mergeCell ref="H3:H4"/>
    <mergeCell ref="A3:A4"/>
    <mergeCell ref="B3:B4"/>
    <mergeCell ref="C3:C4"/>
    <mergeCell ref="A5:A6"/>
    <mergeCell ref="A7:A8"/>
    <mergeCell ref="A9:A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16E2-65CE-4722-A7A2-B7E4F8BB052D}">
  <dimension ref="B1:AA1840"/>
  <sheetViews>
    <sheetView topLeftCell="A10" zoomScale="55" zoomScaleNormal="55" workbookViewId="0">
      <selection sqref="A1:XFD45"/>
    </sheetView>
  </sheetViews>
  <sheetFormatPr defaultRowHeight="13" outlineLevelRow="1" x14ac:dyDescent="0.3"/>
  <cols>
    <col min="1" max="2" width="8.6640625" style="11"/>
    <col min="3" max="3" width="26.58203125" style="11" bestFit="1" customWidth="1"/>
    <col min="4" max="4" width="9" style="11" customWidth="1"/>
    <col min="5" max="5" width="8.83203125" style="11" customWidth="1"/>
    <col min="6" max="6" width="24.4140625" style="11" customWidth="1"/>
    <col min="7" max="7" width="9.6640625" style="11" bestFit="1" customWidth="1"/>
    <col min="8" max="22" width="7.83203125" style="11" bestFit="1" customWidth="1"/>
    <col min="23" max="16384" width="8.6640625" style="11"/>
  </cols>
  <sheetData>
    <row r="1" spans="2:27" x14ac:dyDescent="0.3">
      <c r="B1" s="11" t="s">
        <v>130</v>
      </c>
      <c r="C1" s="11" t="s">
        <v>52</v>
      </c>
    </row>
    <row r="2" spans="2:27" x14ac:dyDescent="0.3">
      <c r="C2" s="11" t="s">
        <v>141</v>
      </c>
      <c r="D2" s="54">
        <f>D33</f>
        <v>1163</v>
      </c>
    </row>
    <row r="3" spans="2:27" x14ac:dyDescent="0.3">
      <c r="C3" s="16" t="s">
        <v>78</v>
      </c>
      <c r="D3" s="37">
        <f>G32/G38*1000</f>
        <v>0.21682188105008351</v>
      </c>
    </row>
    <row r="4" spans="2:27" x14ac:dyDescent="0.3">
      <c r="C4" s="13" t="s">
        <v>77</v>
      </c>
      <c r="D4" s="39">
        <f>G13/G19*1000</f>
        <v>0.40532962713043807</v>
      </c>
    </row>
    <row r="5" spans="2:27" x14ac:dyDescent="0.3">
      <c r="C5" s="13" t="s">
        <v>61</v>
      </c>
      <c r="D5" s="36">
        <f>G26</f>
        <v>0.3250631842424116</v>
      </c>
    </row>
    <row r="6" spans="2:27" x14ac:dyDescent="0.3">
      <c r="C6" s="13" t="s">
        <v>73</v>
      </c>
      <c r="D6" s="25">
        <f>SUM(G25:AA25)</f>
        <v>8.0004550905742331</v>
      </c>
    </row>
    <row r="7" spans="2:27" ht="13.5" thickBot="1" x14ac:dyDescent="0.35">
      <c r="C7" s="23" t="s">
        <v>68</v>
      </c>
      <c r="D7" s="26">
        <f>G45</f>
        <v>0.11009020010723458</v>
      </c>
    </row>
    <row r="8" spans="2:27" ht="13.5" outlineLevel="1" thickTop="1" x14ac:dyDescent="0.3">
      <c r="E8" s="20"/>
      <c r="F8" s="38" t="s">
        <v>75</v>
      </c>
    </row>
    <row r="9" spans="2:27" outlineLevel="1" x14ac:dyDescent="0.3">
      <c r="C9" s="11" t="s">
        <v>71</v>
      </c>
      <c r="F9" s="13" t="s">
        <v>25</v>
      </c>
      <c r="G9" s="14">
        <v>7.0000000000000007E-2</v>
      </c>
    </row>
    <row r="10" spans="2:27" outlineLevel="1" x14ac:dyDescent="0.3">
      <c r="C10" s="18" t="s">
        <v>53</v>
      </c>
      <c r="D10" s="19">
        <f>分布式光伏电站IRR汇总!$B$2</f>
        <v>6</v>
      </c>
      <c r="F10" s="13" t="s">
        <v>26</v>
      </c>
      <c r="G10" s="14">
        <v>0.25</v>
      </c>
    </row>
    <row r="11" spans="2:27" outlineLevel="1" x14ac:dyDescent="0.3">
      <c r="C11" s="18" t="s">
        <v>56</v>
      </c>
      <c r="D11" s="19">
        <f>分布式光伏电站IRR汇总!$B$3</f>
        <v>120</v>
      </c>
      <c r="F11" s="1" t="s">
        <v>44</v>
      </c>
      <c r="G11" s="4"/>
      <c r="H11" s="5">
        <v>1</v>
      </c>
      <c r="I11" s="5">
        <v>2</v>
      </c>
      <c r="J11" s="5">
        <v>3</v>
      </c>
      <c r="K11" s="5">
        <v>4</v>
      </c>
      <c r="L11" s="5">
        <v>5</v>
      </c>
      <c r="M11" s="5">
        <v>6</v>
      </c>
      <c r="N11" s="5">
        <v>7</v>
      </c>
      <c r="O11" s="5">
        <v>8</v>
      </c>
      <c r="P11" s="5">
        <v>9</v>
      </c>
      <c r="Q11" s="5">
        <v>10</v>
      </c>
      <c r="R11" s="5">
        <v>11</v>
      </c>
      <c r="S11" s="5">
        <v>12</v>
      </c>
      <c r="T11" s="5">
        <v>13</v>
      </c>
      <c r="U11" s="5">
        <v>14</v>
      </c>
      <c r="V11" s="5">
        <v>15</v>
      </c>
      <c r="W11" s="5">
        <v>16</v>
      </c>
      <c r="X11" s="5">
        <v>17</v>
      </c>
      <c r="Y11" s="5">
        <v>18</v>
      </c>
      <c r="Z11" s="5">
        <v>19</v>
      </c>
      <c r="AA11" s="5">
        <v>20</v>
      </c>
    </row>
    <row r="12" spans="2:27" outlineLevel="1" x14ac:dyDescent="0.3">
      <c r="C12" s="18" t="s">
        <v>57</v>
      </c>
      <c r="D12" s="19">
        <f>分布式光伏电站IRR汇总!$B$4</f>
        <v>3</v>
      </c>
      <c r="F12" s="16"/>
      <c r="G12" s="2" t="s">
        <v>0</v>
      </c>
      <c r="H12" s="2" t="s">
        <v>1</v>
      </c>
      <c r="I12" s="2" t="s">
        <v>2</v>
      </c>
      <c r="J12" s="2" t="s">
        <v>3</v>
      </c>
      <c r="K12" s="2" t="s">
        <v>4</v>
      </c>
      <c r="L12" s="2" t="s">
        <v>5</v>
      </c>
      <c r="M12" s="2" t="s">
        <v>6</v>
      </c>
      <c r="N12" s="2" t="s">
        <v>7</v>
      </c>
      <c r="O12" s="2" t="s">
        <v>8</v>
      </c>
      <c r="P12" s="2" t="s">
        <v>9</v>
      </c>
      <c r="Q12" s="2" t="s">
        <v>10</v>
      </c>
      <c r="R12" s="2" t="s">
        <v>11</v>
      </c>
      <c r="S12" s="2" t="s">
        <v>12</v>
      </c>
      <c r="T12" s="2" t="s">
        <v>13</v>
      </c>
      <c r="U12" s="2" t="s">
        <v>45</v>
      </c>
      <c r="V12" s="2" t="s">
        <v>46</v>
      </c>
      <c r="W12" s="2" t="s">
        <v>47</v>
      </c>
      <c r="X12" s="2" t="s">
        <v>48</v>
      </c>
      <c r="Y12" s="2" t="s">
        <v>49</v>
      </c>
      <c r="Z12" s="2" t="s">
        <v>50</v>
      </c>
      <c r="AA12" s="2" t="s">
        <v>127</v>
      </c>
    </row>
    <row r="13" spans="2:27" outlineLevel="1" x14ac:dyDescent="0.3">
      <c r="C13" s="18" t="s">
        <v>54</v>
      </c>
      <c r="D13" s="19">
        <f>分布式光伏电站IRR汇总!$B$5</f>
        <v>5</v>
      </c>
      <c r="F13" s="6" t="s">
        <v>14</v>
      </c>
      <c r="G13" s="33">
        <f>D34</f>
        <v>24.611999999999995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27" outlineLevel="1" x14ac:dyDescent="0.3">
      <c r="C14" s="18" t="s">
        <v>55</v>
      </c>
      <c r="D14" s="19">
        <f>分布式光伏电站IRR汇总!$B$6</f>
        <v>15</v>
      </c>
      <c r="F14" s="6" t="s">
        <v>15</v>
      </c>
      <c r="G14" s="33">
        <f>SUM(H15:AA15)</f>
        <v>12.385144234005573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2:27" outlineLevel="1" x14ac:dyDescent="0.3">
      <c r="C15" s="18" t="s">
        <v>42</v>
      </c>
      <c r="D15" s="19">
        <f>分布式光伏电站IRR汇总!$B$7</f>
        <v>4.1019999999999994</v>
      </c>
      <c r="F15" s="7" t="s">
        <v>16</v>
      </c>
      <c r="G15" s="33"/>
      <c r="H15" s="33">
        <f>D34*(1-D32)/D28/((1+G9)^H11)</f>
        <v>1.0925887850467286</v>
      </c>
      <c r="I15" s="33">
        <f>D34*(1-D32)/D28/((1+G9)^I11)</f>
        <v>1.0211110140623632</v>
      </c>
      <c r="J15" s="33">
        <f>D34*(1-D32)/D28/((1+G9)^J11)</f>
        <v>0.95430935893678792</v>
      </c>
      <c r="K15" s="33">
        <f>D34*(1-D32)/D28/((1+G9)^K11)</f>
        <v>0.89187790554839996</v>
      </c>
      <c r="L15" s="33">
        <f>D34*(1-D32)/D28/((1+G9)^L11)</f>
        <v>0.83353075284897193</v>
      </c>
      <c r="M15" s="33">
        <f>D34*(1-D32)/D28/((1+G9)^M11)</f>
        <v>0.77900070359717</v>
      </c>
      <c r="N15" s="33">
        <f>D34*(1-D32)/D28/((1+G9)^N11)</f>
        <v>0.72803804074501866</v>
      </c>
      <c r="O15" s="33">
        <f>D34*(1-D32)/D28/((1+G9)^O11)</f>
        <v>0.6804093838738493</v>
      </c>
      <c r="P15" s="33">
        <f>D34*(1-D32)/D28/((1+G9)^P11)</f>
        <v>0.63589662044284967</v>
      </c>
      <c r="Q15" s="33">
        <f>D34*(1-D32)/D28/((1+G9)^Q11)</f>
        <v>0.59429590695593437</v>
      </c>
      <c r="R15" s="33">
        <f>D34*(1-D32)/D28/((1+G9)^R11)</f>
        <v>0.55541673547283577</v>
      </c>
      <c r="S15" s="33">
        <f>D34*(1-D32)/D28/((1+G9)^S11)</f>
        <v>0.51908106118956621</v>
      </c>
      <c r="T15" s="33">
        <f>D34*(1-D32)/D28/((1+G9)^T11)</f>
        <v>0.4851224870930525</v>
      </c>
      <c r="U15" s="33">
        <f>D34*(1-D32)/D28/((1+G9)^U11)</f>
        <v>0.45338550195612387</v>
      </c>
      <c r="V15" s="33">
        <f>D34*(1-D32)/D28/((1+G9)^V11)</f>
        <v>0.4237247681832933</v>
      </c>
      <c r="W15" s="33">
        <f>D34*(1-D32)/D28/((1+G9)^W11)</f>
        <v>0.39600445624606856</v>
      </c>
      <c r="X15" s="33">
        <f>D34*(1-D32)/D28/((1+G9)^X11)</f>
        <v>0.37009762265987711</v>
      </c>
      <c r="Y15" s="33">
        <f>D34*(1-D32)/D28/((1+G9)^Y11)</f>
        <v>0.34588562865409078</v>
      </c>
      <c r="Z15" s="33">
        <f>D34*(1-D32)/D28/((1+G9)^Z11)</f>
        <v>0.323257596872982</v>
      </c>
      <c r="AA15" s="33">
        <f>D34*(1-D32)/D28/((1+G9)^AA11)</f>
        <v>0.30210990361960938</v>
      </c>
    </row>
    <row r="16" spans="2:27" outlineLevel="1" x14ac:dyDescent="0.3">
      <c r="C16" s="21" t="s">
        <v>32</v>
      </c>
      <c r="D16" s="19">
        <f>分布式光伏电站IRR汇总!$B$8</f>
        <v>1.8870000000000002</v>
      </c>
      <c r="F16" s="6" t="s">
        <v>17</v>
      </c>
      <c r="G16" s="33">
        <f>SUM(H17:AA17)</f>
        <v>2.5425634189238777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3:27" outlineLevel="1" x14ac:dyDescent="0.3">
      <c r="C17" s="21" t="s">
        <v>33</v>
      </c>
      <c r="D17" s="19">
        <f>分布式光伏电站IRR汇总!$B$9</f>
        <v>0.18500000000000003</v>
      </c>
      <c r="F17" s="7" t="s">
        <v>18</v>
      </c>
      <c r="G17" s="33"/>
      <c r="H17" s="33">
        <f>D31*D10/((1+G9)^H11)</f>
        <v>0.22429906542056072</v>
      </c>
      <c r="I17" s="33">
        <f>D31*D10/((1+G9)^I11)</f>
        <v>0.20962529478557079</v>
      </c>
      <c r="J17" s="33">
        <f>D31*D10/((1+G9)^J11)</f>
        <v>0.19591149045380446</v>
      </c>
      <c r="K17" s="33">
        <f>D31*D10/((1+G9)^K11)</f>
        <v>0.18309485089140604</v>
      </c>
      <c r="L17" s="33">
        <f>D31*D10/((1+G9)^L11)</f>
        <v>0.17111668307608041</v>
      </c>
      <c r="M17" s="33">
        <f>D31*D10/((1+G9)^M11)</f>
        <v>0.15992213371596301</v>
      </c>
      <c r="N17" s="33">
        <f>D31*D10/((1+G9)^N11)</f>
        <v>0.14945993805230187</v>
      </c>
      <c r="O17" s="33">
        <f>D31*D10/((1+G9)^O11)</f>
        <v>0.13968218509560923</v>
      </c>
      <c r="P17" s="33">
        <f>D31*D10/((1+G9)^P11)</f>
        <v>0.13054409822019553</v>
      </c>
      <c r="Q17" s="33">
        <f>D31*D10/((1+G9)^Q11)</f>
        <v>0.12200383011233226</v>
      </c>
      <c r="R17" s="33">
        <f>D31*D10/((1+G9)^R11)</f>
        <v>0.1140222711330208</v>
      </c>
      <c r="S17" s="33">
        <f>D31*D10/((1+G9)^S11)</f>
        <v>0.10656287021777647</v>
      </c>
      <c r="T17" s="33">
        <f>D31*D10/((1+G9)^T11)</f>
        <v>9.9591467493249028E-2</v>
      </c>
      <c r="U17" s="33">
        <f>D31*D10/((1+G9)^U11)</f>
        <v>9.3076137844157969E-2</v>
      </c>
      <c r="V17" s="33">
        <f>D31*D10/((1+G9)^V11)</f>
        <v>8.6987044714166323E-2</v>
      </c>
      <c r="W17" s="33">
        <f>D31*D10/((1+G9)^W11)</f>
        <v>8.1296303471183481E-2</v>
      </c>
      <c r="X17" s="33">
        <f>D31*D10/((1+G9)^X11)</f>
        <v>7.5977853711386434E-2</v>
      </c>
      <c r="Y17" s="33">
        <f>D31*D10/((1+G9)^Y11)</f>
        <v>7.1007339917183582E-2</v>
      </c>
      <c r="Z17" s="33">
        <f>D31*D10/((1+G9)^Z11)</f>
        <v>6.6361999922601472E-2</v>
      </c>
      <c r="AA17" s="33">
        <f>D31*D10/((1+G9)^AA11)</f>
        <v>6.2020560675328483E-2</v>
      </c>
    </row>
    <row r="18" spans="3:27" outlineLevel="1" x14ac:dyDescent="0.3">
      <c r="C18" s="21" t="s">
        <v>34</v>
      </c>
      <c r="D18" s="19">
        <f>分布式光伏电站IRR汇总!$B$10</f>
        <v>0.222</v>
      </c>
      <c r="F18" s="6" t="s">
        <v>19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>
        <f>D31*D34/((1+G9)^AA11)</f>
        <v>0.2544083398901974</v>
      </c>
    </row>
    <row r="19" spans="3:27" outlineLevel="1" x14ac:dyDescent="0.3">
      <c r="C19" s="21" t="s">
        <v>35</v>
      </c>
      <c r="D19" s="19">
        <f>分布式光伏电站IRR汇总!$B$11</f>
        <v>0.44400000000000001</v>
      </c>
      <c r="F19" s="8" t="s">
        <v>64</v>
      </c>
      <c r="G19" s="33">
        <f>SUM(H20:AA20)</f>
        <v>60720.949944474873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spans="3:27" outlineLevel="1" x14ac:dyDescent="0.3">
      <c r="C20" s="21" t="s">
        <v>36</v>
      </c>
      <c r="D20" s="19">
        <f>分布式光伏电站IRR汇总!$B$12</f>
        <v>0.222</v>
      </c>
      <c r="F20" s="9" t="s">
        <v>65</v>
      </c>
      <c r="G20" s="33"/>
      <c r="H20" s="33">
        <f>D10*D27*(1-D29)*D33/((1+G9)^H11)</f>
        <v>5534.6626542056065</v>
      </c>
      <c r="I20" s="33">
        <f>D10*D27*(1-D29)*(1-D30)^(I11-1)*D33/((1+G9)^I11)</f>
        <v>5149.3053011791417</v>
      </c>
      <c r="J20" s="33">
        <f>D10*D27*(1-D29)*(1-D30)^(J11-1)*D33/((1+G9)^J11)</f>
        <v>4790.778904040968</v>
      </c>
      <c r="K20" s="33">
        <f>D10*D27*(1-D29)*(1-D30)^(K11-1)*D33/((1+G9)^K11)</f>
        <v>4457.2153261427893</v>
      </c>
      <c r="L20" s="33">
        <f>D10*D27*(1-D29)*(1-D30)^(L11-1)*D33/((1+G9)^L11)</f>
        <v>4146.8765020328474</v>
      </c>
      <c r="M20" s="33">
        <f>D10*D27*(1-D29)*(1-D30)^(M11-1)*D33/((1+G9)^M11)</f>
        <v>3858.1453810969156</v>
      </c>
      <c r="N20" s="33">
        <f>D10*D27*(1-D29)*(1-D30)^(N11-1)*D33/((1+G9)^N11)</f>
        <v>3589.5175017588595</v>
      </c>
      <c r="O20" s="33">
        <f>D10*D27*(1-D29)*(1-D30)^(O11-1)*D33/((1+G9)^O11)</f>
        <v>3339.5931523373315</v>
      </c>
      <c r="P20" s="33">
        <f>D10*D27*(1-D29)*(1-D30)^(P11-1)*D33/((1+G9)^P11)</f>
        <v>3107.070077711975</v>
      </c>
      <c r="Q20" s="33">
        <f>D10*D27*(1-D29)*(1-D30)^(Q11-1)*D33/((1+G9)^Q11)</f>
        <v>2890.7366937965157</v>
      </c>
      <c r="R20" s="33">
        <f>D10*D27*(1-D29)*(1-D30)^(R11-1)*D33/((1+G9)^R11)</f>
        <v>2689.4657744620854</v>
      </c>
      <c r="S20" s="33">
        <f>D10*D27*(1-D29)*(1-D30)^(S11-1)*D33/((1+G9)^S11)</f>
        <v>2502.2085780158936</v>
      </c>
      <c r="T20" s="33">
        <f>D10*D27*(1-D29)*(1-D30)^(T11-1)*D33/((1+G9)^T11)</f>
        <v>2327.9893826306752</v>
      </c>
      <c r="U20" s="33">
        <f>D10*D27*(1-D29)*(1-D30)^(U11-1)*D33/((1+G9)^U11)</f>
        <v>2165.9004022512495</v>
      </c>
      <c r="V20" s="33">
        <f>D10*D27*(1-D29)*(1-D30)^(V11-1)*D33/((1+G9)^V11)</f>
        <v>2015.0970564870267</v>
      </c>
      <c r="W20" s="33">
        <f>D10*D27*(1-D29)*(1-D30)^(W11-1)*D33/((1+G9)^W11)</f>
        <v>1874.793569843772</v>
      </c>
      <c r="X20" s="33">
        <f>D10*D27*(1-D29)*(1-D30)^(X11-1)*D33/((1+G9)^X11)</f>
        <v>1744.2588773639952</v>
      </c>
      <c r="Y20" s="33">
        <f>D10*D27*(1-D29)*(1-D30)^(Y11-1)*D33/((1+G9)^Y11)</f>
        <v>1622.8128153419225</v>
      </c>
      <c r="Z20" s="33">
        <f>D10*D27*(1-D29)*(1-D30)^(Z11-1)*D33/((1+G9)^Z11)</f>
        <v>1509.822577264378</v>
      </c>
      <c r="AA20" s="33">
        <f>D10*D27*(1-D29)*(1-D30)^(AA11-1)*D33/((1+G9)^AA11)</f>
        <v>1404.6994165109238</v>
      </c>
    </row>
    <row r="21" spans="3:27" outlineLevel="1" x14ac:dyDescent="0.3">
      <c r="C21" s="21" t="s">
        <v>37</v>
      </c>
      <c r="D21" s="19">
        <f>分布式光伏电站IRR汇总!$B$13</f>
        <v>0.15</v>
      </c>
      <c r="F21" s="4" t="s">
        <v>66</v>
      </c>
      <c r="G21" s="33">
        <f>SUM(H22:AA22)</f>
        <v>41.897455461687656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3:27" outlineLevel="1" x14ac:dyDescent="0.3">
      <c r="C22" s="21" t="s">
        <v>38</v>
      </c>
      <c r="D22" s="19">
        <f>分布式光伏电站IRR汇总!$B$14</f>
        <v>3.7000000000000005E-2</v>
      </c>
      <c r="F22" s="7" t="s">
        <v>67</v>
      </c>
      <c r="G22" s="33"/>
      <c r="H22" s="33">
        <f>H20*D38/1000</f>
        <v>3.8189172314018682</v>
      </c>
      <c r="I22" s="33">
        <f>I20*D38/1000</f>
        <v>3.5530206578136077</v>
      </c>
      <c r="J22" s="33">
        <f>J20*D38/1000</f>
        <v>3.3056374437882678</v>
      </c>
      <c r="K22" s="33">
        <f>K20*D38/1000</f>
        <v>3.0754785750385243</v>
      </c>
      <c r="L22" s="33">
        <f>L20*D38/1000</f>
        <v>2.8613447864026642</v>
      </c>
      <c r="M22" s="33">
        <f>M20*D38/1000</f>
        <v>2.6621203129568718</v>
      </c>
      <c r="N22" s="33">
        <f>N20*D38/1000</f>
        <v>2.4767670762136125</v>
      </c>
      <c r="O22" s="33">
        <f>O20*D38/1000</f>
        <v>2.3043192751127584</v>
      </c>
      <c r="P22" s="33">
        <f>P20*D38/1000</f>
        <v>2.1438783536212629</v>
      </c>
      <c r="Q22" s="33">
        <f>Q20*D38/1000</f>
        <v>1.9946083187195958</v>
      </c>
      <c r="R22" s="33">
        <f>R20*D38/1000</f>
        <v>1.8557313843788388</v>
      </c>
      <c r="S22" s="33">
        <f>S20*D38/1000</f>
        <v>1.7265239188309665</v>
      </c>
      <c r="T22" s="33">
        <f>T20*D38/1000</f>
        <v>1.6063126740151659</v>
      </c>
      <c r="U22" s="33">
        <f>U20*D38/1000</f>
        <v>1.4944712775533622</v>
      </c>
      <c r="V22" s="33">
        <f>V20*D38/1000</f>
        <v>1.3904169689760484</v>
      </c>
      <c r="W22" s="33">
        <f>W20*D38/1000</f>
        <v>1.2936075631922026</v>
      </c>
      <c r="X22" s="33">
        <f>X20*D38/1000</f>
        <v>1.2035386253811566</v>
      </c>
      <c r="Y22" s="33">
        <f>Y20*D38/1000</f>
        <v>1.1197408425859263</v>
      </c>
      <c r="Z22" s="33">
        <f>Z20*D38/1000</f>
        <v>1.0417775783124208</v>
      </c>
      <c r="AA22" s="33">
        <f>AA20*D38/1000</f>
        <v>0.96924259739253738</v>
      </c>
    </row>
    <row r="23" spans="3:27" outlineLevel="1" x14ac:dyDescent="0.3">
      <c r="C23" s="21" t="s">
        <v>39</v>
      </c>
      <c r="D23" s="19">
        <f>分布式光伏电站IRR汇总!$B$15</f>
        <v>0.25900000000000006</v>
      </c>
      <c r="F23" s="4" t="s">
        <v>20</v>
      </c>
      <c r="G23" s="33">
        <f>SUM(H24:V24)</f>
        <v>5.8589649669110697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3:27" outlineLevel="1" x14ac:dyDescent="0.3">
      <c r="C24" s="21" t="s">
        <v>40</v>
      </c>
      <c r="D24" s="19">
        <f>分布式光伏电站IRR汇总!$B$16</f>
        <v>7.400000000000001E-2</v>
      </c>
      <c r="F24" s="7" t="s">
        <v>21</v>
      </c>
      <c r="G24" s="33"/>
      <c r="H24" s="33">
        <f>(H22-H15-H17)*G10</f>
        <v>0.62550734523364471</v>
      </c>
      <c r="I24" s="33">
        <f>(I22-I15-I17)*G10</f>
        <v>0.58057108724141848</v>
      </c>
      <c r="J24" s="33">
        <f>(J22-J15-J17)*G10</f>
        <v>0.53885414859941894</v>
      </c>
      <c r="K24" s="33">
        <f>(K22-K15-K17)*G10</f>
        <v>0.50012645464967964</v>
      </c>
      <c r="L24" s="33">
        <f>(L22-L15-L17)*G10</f>
        <v>0.46417433761940302</v>
      </c>
      <c r="M24" s="33">
        <f>(M22-M15-M17)*G10</f>
        <v>0.43079936891093468</v>
      </c>
      <c r="N24" s="33">
        <f>(N22-N15-N17)*G10</f>
        <v>0.39981727435407299</v>
      </c>
      <c r="O24" s="33">
        <f>(O22-O15-O17)*G10</f>
        <v>0.371056926535825</v>
      </c>
      <c r="P24" s="33">
        <f>(P22-P15-P17)*G10</f>
        <v>0.3443594087395544</v>
      </c>
      <c r="Q24" s="33">
        <f>(Q22-Q15-Q17)*G10</f>
        <v>0.31957714541283228</v>
      </c>
      <c r="R24" s="33">
        <f>(R22-R15-R17)*G10</f>
        <v>0.29657309444324553</v>
      </c>
      <c r="S24" s="33">
        <f>(S22-S15-S17)*G10</f>
        <v>0.27521999685590592</v>
      </c>
      <c r="T24" s="33">
        <f>(T22-T15-T17)*G10</f>
        <v>0.25539967985721607</v>
      </c>
      <c r="U24" s="33">
        <f>(U22-U15-U17)*G10</f>
        <v>0.23700240943827006</v>
      </c>
      <c r="V24" s="33">
        <f>(V22-V15-V17)*G10</f>
        <v>0.2199262890196472</v>
      </c>
      <c r="W24" s="33">
        <f>(W22-W15-W17)*G10</f>
        <v>0.20407670086873766</v>
      </c>
      <c r="X24" s="33">
        <f>(X22-X15-X17)*G10</f>
        <v>0.18936578725247327</v>
      </c>
      <c r="Y24" s="33">
        <f>(Y22-Y15-Y17)*G10</f>
        <v>0.175711968503663</v>
      </c>
      <c r="Z24" s="33">
        <f>(Z22-Z15-Z17)*G10</f>
        <v>0.16303949537920931</v>
      </c>
      <c r="AA24" s="33">
        <f>(AA22-AA15-AA17)*G10</f>
        <v>0.1512780332743999</v>
      </c>
    </row>
    <row r="25" spans="3:27" outlineLevel="1" x14ac:dyDescent="0.3">
      <c r="C25" s="21" t="s">
        <v>41</v>
      </c>
      <c r="D25" s="19">
        <f>分布式光伏电站IRR汇总!$B$17</f>
        <v>0.222</v>
      </c>
      <c r="F25" s="10" t="s">
        <v>22</v>
      </c>
      <c r="G25" s="33">
        <f>-G13</f>
        <v>-24.611999999999995</v>
      </c>
      <c r="H25" s="33">
        <f t="shared" ref="H25:AA25" si="0">H22-H24-H17</f>
        <v>2.9691108207476629</v>
      </c>
      <c r="I25" s="33">
        <f t="shared" si="0"/>
        <v>2.7628242757866186</v>
      </c>
      <c r="J25" s="33">
        <f t="shared" si="0"/>
        <v>2.5708718047350443</v>
      </c>
      <c r="K25" s="33">
        <f t="shared" si="0"/>
        <v>2.3922572694974389</v>
      </c>
      <c r="L25" s="33">
        <f t="shared" si="0"/>
        <v>2.2260537657071806</v>
      </c>
      <c r="M25" s="33">
        <f t="shared" si="0"/>
        <v>2.0713988103299741</v>
      </c>
      <c r="N25" s="33">
        <f t="shared" si="0"/>
        <v>1.9274898638072377</v>
      </c>
      <c r="O25" s="33">
        <f t="shared" si="0"/>
        <v>1.7935801634813242</v>
      </c>
      <c r="P25" s="33">
        <f t="shared" si="0"/>
        <v>1.6689748466615129</v>
      </c>
      <c r="Q25" s="33">
        <f t="shared" si="0"/>
        <v>1.5530273431944313</v>
      </c>
      <c r="R25" s="33">
        <f t="shared" si="0"/>
        <v>1.4451360188025726</v>
      </c>
      <c r="S25" s="33">
        <f t="shared" si="0"/>
        <v>1.344741051757284</v>
      </c>
      <c r="T25" s="33">
        <f t="shared" si="0"/>
        <v>1.2513215266647009</v>
      </c>
      <c r="U25" s="33">
        <f t="shared" si="0"/>
        <v>1.164392730270934</v>
      </c>
      <c r="V25" s="33">
        <f t="shared" si="0"/>
        <v>1.0835036352422349</v>
      </c>
      <c r="W25" s="33">
        <f t="shared" si="0"/>
        <v>1.0082345588522814</v>
      </c>
      <c r="X25" s="33">
        <f t="shared" si="0"/>
        <v>0.93819498441729698</v>
      </c>
      <c r="Y25" s="33">
        <f t="shared" si="0"/>
        <v>0.87302153416507977</v>
      </c>
      <c r="Z25" s="33">
        <f t="shared" si="0"/>
        <v>0.81237608301060993</v>
      </c>
      <c r="AA25" s="33">
        <f t="shared" si="0"/>
        <v>0.75594400344280899</v>
      </c>
    </row>
    <row r="26" spans="3:27" ht="13.5" outlineLevel="1" thickBot="1" x14ac:dyDescent="0.35">
      <c r="C26" s="21" t="s">
        <v>74</v>
      </c>
      <c r="D26" s="19">
        <f>分布式光伏电站IRR汇总!$B$18</f>
        <v>0.4</v>
      </c>
      <c r="F26" s="3" t="s">
        <v>61</v>
      </c>
      <c r="G26" s="35">
        <f>SUM(G25:AA25)/G13</f>
        <v>0.3250631842424116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3:27" ht="13.5" outlineLevel="1" thickTop="1" x14ac:dyDescent="0.3">
      <c r="C27" s="18" t="s">
        <v>58</v>
      </c>
      <c r="D27" s="19">
        <f>分布式光伏电站IRR汇总!$B$19</f>
        <v>0.86599999999999999</v>
      </c>
    </row>
    <row r="28" spans="3:27" outlineLevel="1" x14ac:dyDescent="0.3">
      <c r="C28" s="18" t="s">
        <v>62</v>
      </c>
      <c r="D28" s="19">
        <f>分布式光伏电站IRR汇总!$B$20</f>
        <v>20</v>
      </c>
      <c r="F28" s="13" t="s">
        <v>25</v>
      </c>
      <c r="G28" s="14">
        <v>0</v>
      </c>
    </row>
    <row r="29" spans="3:27" outlineLevel="1" x14ac:dyDescent="0.3">
      <c r="C29" s="18" t="s">
        <v>59</v>
      </c>
      <c r="D29" s="52">
        <f>分布式光伏电站IRR汇总!$B$21</f>
        <v>0.02</v>
      </c>
      <c r="F29" s="13" t="s">
        <v>26</v>
      </c>
      <c r="G29" s="14">
        <v>0.25</v>
      </c>
      <c r="Q29" s="15"/>
    </row>
    <row r="30" spans="3:27" outlineLevel="1" x14ac:dyDescent="0.3">
      <c r="C30" s="18" t="s">
        <v>60</v>
      </c>
      <c r="D30" s="52">
        <f>分布式光伏电站IRR汇总!$B$22</f>
        <v>4.4999999999999997E-3</v>
      </c>
      <c r="F30" s="1" t="s">
        <v>44</v>
      </c>
      <c r="G30" s="4"/>
      <c r="H30" s="5">
        <v>1</v>
      </c>
      <c r="I30" s="5">
        <v>2</v>
      </c>
      <c r="J30" s="5">
        <v>3</v>
      </c>
      <c r="K30" s="5">
        <v>4</v>
      </c>
      <c r="L30" s="5">
        <v>5</v>
      </c>
      <c r="M30" s="5">
        <v>6</v>
      </c>
      <c r="N30" s="5">
        <v>7</v>
      </c>
      <c r="O30" s="5">
        <v>8</v>
      </c>
      <c r="P30" s="5">
        <v>9</v>
      </c>
      <c r="Q30" s="5">
        <v>10</v>
      </c>
      <c r="R30" s="5">
        <v>11</v>
      </c>
      <c r="S30" s="5">
        <v>12</v>
      </c>
      <c r="T30" s="5">
        <v>13</v>
      </c>
      <c r="U30" s="5">
        <v>14</v>
      </c>
      <c r="V30" s="5">
        <v>15</v>
      </c>
      <c r="W30" s="5">
        <v>16</v>
      </c>
      <c r="X30" s="5">
        <v>17</v>
      </c>
      <c r="Y30" s="5">
        <v>18</v>
      </c>
      <c r="Z30" s="5">
        <v>19</v>
      </c>
      <c r="AA30" s="5">
        <v>20</v>
      </c>
    </row>
    <row r="31" spans="3:27" outlineLevel="1" x14ac:dyDescent="0.3">
      <c r="C31" s="18" t="s">
        <v>28</v>
      </c>
      <c r="D31" s="29">
        <f>分布式光伏电站IRR汇总!$B$23</f>
        <v>0.04</v>
      </c>
      <c r="F31" s="16"/>
      <c r="G31" s="2" t="s">
        <v>0</v>
      </c>
      <c r="H31" s="2" t="s">
        <v>1</v>
      </c>
      <c r="I31" s="2" t="s">
        <v>2</v>
      </c>
      <c r="J31" s="2" t="s">
        <v>3</v>
      </c>
      <c r="K31" s="2" t="s">
        <v>4</v>
      </c>
      <c r="L31" s="2" t="s">
        <v>5</v>
      </c>
      <c r="M31" s="2" t="s">
        <v>6</v>
      </c>
      <c r="N31" s="2" t="s">
        <v>7</v>
      </c>
      <c r="O31" s="2" t="s">
        <v>8</v>
      </c>
      <c r="P31" s="2" t="s">
        <v>9</v>
      </c>
      <c r="Q31" s="2" t="s">
        <v>10</v>
      </c>
      <c r="R31" s="2" t="s">
        <v>11</v>
      </c>
      <c r="S31" s="2" t="s">
        <v>12</v>
      </c>
      <c r="T31" s="2" t="s">
        <v>13</v>
      </c>
      <c r="U31" s="2" t="s">
        <v>45</v>
      </c>
      <c r="V31" s="2" t="s">
        <v>46</v>
      </c>
      <c r="W31" s="2" t="s">
        <v>47</v>
      </c>
      <c r="X31" s="2" t="s">
        <v>48</v>
      </c>
      <c r="Y31" s="2" t="s">
        <v>49</v>
      </c>
      <c r="Z31" s="2" t="s">
        <v>50</v>
      </c>
      <c r="AA31" s="2" t="s">
        <v>51</v>
      </c>
    </row>
    <row r="32" spans="3:27" outlineLevel="1" x14ac:dyDescent="0.3">
      <c r="C32" s="18" t="s">
        <v>43</v>
      </c>
      <c r="D32" s="19">
        <f>分布式光伏电站IRR汇总!$B$24</f>
        <v>0.05</v>
      </c>
      <c r="F32" s="6" t="s">
        <v>14</v>
      </c>
      <c r="G32" s="33">
        <f>D34</f>
        <v>24.611999999999995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outlineLevel="1" x14ac:dyDescent="0.3">
      <c r="C33" s="18" t="s">
        <v>126</v>
      </c>
      <c r="D33" s="28">
        <v>1163</v>
      </c>
      <c r="F33" s="6" t="s">
        <v>15</v>
      </c>
      <c r="G33" s="33">
        <f>SUM(H34:AA34)</f>
        <v>23.381399999999985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outlineLevel="1" x14ac:dyDescent="0.3">
      <c r="C34" s="24" t="s">
        <v>14</v>
      </c>
      <c r="D34" s="30">
        <f>D10*D15</f>
        <v>24.611999999999995</v>
      </c>
      <c r="F34" s="7" t="s">
        <v>16</v>
      </c>
      <c r="G34" s="33"/>
      <c r="H34" s="33">
        <f>D34*(1-D32)/D28/((1+G28)^H30)</f>
        <v>1.1690699999999996</v>
      </c>
      <c r="I34" s="33">
        <f>D34*(1-D32)/D28/((1+G28)^I30)</f>
        <v>1.1690699999999996</v>
      </c>
      <c r="J34" s="33">
        <f>D34*(1-D32)/D28/((1+G28)^J30)</f>
        <v>1.1690699999999996</v>
      </c>
      <c r="K34" s="33">
        <f>D34*(1-D32)/D28/((1+G28)^K30)</f>
        <v>1.1690699999999996</v>
      </c>
      <c r="L34" s="33">
        <f>D34*(1-D32)/D28/((1+G28)^L30)</f>
        <v>1.1690699999999996</v>
      </c>
      <c r="M34" s="33">
        <f>D34*(1-D32)/D28/((1+G28)^M30)</f>
        <v>1.1690699999999996</v>
      </c>
      <c r="N34" s="33">
        <f>D34*(1-D32)/D28/((1+G28)^N30)</f>
        <v>1.1690699999999996</v>
      </c>
      <c r="O34" s="33">
        <f>D34*(1-D32)/D28/((1+G28)^O30)</f>
        <v>1.1690699999999996</v>
      </c>
      <c r="P34" s="33">
        <f>D34*(1-D32)/D28/((1+G28)^P30)</f>
        <v>1.1690699999999996</v>
      </c>
      <c r="Q34" s="33">
        <f>D34*(1-D32)/D28/((1+G28)^Q30)</f>
        <v>1.1690699999999996</v>
      </c>
      <c r="R34" s="33">
        <f>D34*(1-D32)/D28/((1+G28)^R30)</f>
        <v>1.1690699999999996</v>
      </c>
      <c r="S34" s="33">
        <f>D34*(1-D32)/D28/((1+G28)^S30)</f>
        <v>1.1690699999999996</v>
      </c>
      <c r="T34" s="33">
        <f>D34*(1-D32)/D28/((1+G28)^T30)</f>
        <v>1.1690699999999996</v>
      </c>
      <c r="U34" s="33">
        <f>D34*(1-D32)/D28/((1+G28)^U30)</f>
        <v>1.1690699999999996</v>
      </c>
      <c r="V34" s="33">
        <f>D34*(1-D32)/D28/((1+G28)^V30)</f>
        <v>1.1690699999999996</v>
      </c>
      <c r="W34" s="33">
        <f>D34*(1-D32)/D28/((1+G28)^W30)</f>
        <v>1.1690699999999996</v>
      </c>
      <c r="X34" s="33">
        <f>D34*(1-D32)/D28/((1+G28)^X30)</f>
        <v>1.1690699999999996</v>
      </c>
      <c r="Y34" s="33">
        <f>D34*(1-D32)/D28/((1+G28)^Y30)</f>
        <v>1.1690699999999996</v>
      </c>
      <c r="Z34" s="33">
        <f>D34*(1-D32)/D28/((1+G28)^Z30)</f>
        <v>1.1690699999999996</v>
      </c>
      <c r="AA34" s="33">
        <f>D34*(1-D32)/D28/((1+G28)^AA30)</f>
        <v>1.1690699999999996</v>
      </c>
    </row>
    <row r="35" spans="2:27" outlineLevel="1" x14ac:dyDescent="0.3">
      <c r="C35" s="18" t="s">
        <v>29</v>
      </c>
      <c r="D35" s="29">
        <v>0.35980000000000001</v>
      </c>
      <c r="F35" s="6" t="s">
        <v>17</v>
      </c>
      <c r="G35" s="33">
        <f>SUM(H36:AA36)</f>
        <v>4.8000000000000025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outlineLevel="1" x14ac:dyDescent="0.3">
      <c r="C36" s="18" t="s">
        <v>30</v>
      </c>
      <c r="D36" s="31">
        <v>0.69</v>
      </c>
      <c r="F36" s="7" t="s">
        <v>18</v>
      </c>
      <c r="G36" s="33"/>
      <c r="H36" s="33">
        <f>D31*D10/((1+G28)^H30)</f>
        <v>0.24</v>
      </c>
      <c r="I36" s="33">
        <f>D31*D10/((1+G28)^I30)</f>
        <v>0.24</v>
      </c>
      <c r="J36" s="33">
        <f>D31*D10/((1+G28)^J30)</f>
        <v>0.24</v>
      </c>
      <c r="K36" s="33">
        <f>D31*D10/((1+G28)^K30)</f>
        <v>0.24</v>
      </c>
      <c r="L36" s="33">
        <f>D31*D10/((1+G28)^L30)</f>
        <v>0.24</v>
      </c>
      <c r="M36" s="33">
        <f>D31*D10/((1+G28)^M30)</f>
        <v>0.24</v>
      </c>
      <c r="N36" s="33">
        <f>D31*D10/((1+G28)^N30)</f>
        <v>0.24</v>
      </c>
      <c r="O36" s="33">
        <f>D31*D10/((1+G28)^O30)</f>
        <v>0.24</v>
      </c>
      <c r="P36" s="33">
        <f>D31*D10/((1+G28)^P30)</f>
        <v>0.24</v>
      </c>
      <c r="Q36" s="33">
        <f>D31*D10/((1+G28)^Q30)</f>
        <v>0.24</v>
      </c>
      <c r="R36" s="33">
        <f>D31*D10/((1+G28)^R30)</f>
        <v>0.24</v>
      </c>
      <c r="S36" s="33">
        <f>D31*D10/((1+G28)^S30)</f>
        <v>0.24</v>
      </c>
      <c r="T36" s="33">
        <f>D31*D10/((1+G28)^T30)</f>
        <v>0.24</v>
      </c>
      <c r="U36" s="33">
        <f>D31*D10/((1+G28)^U30)</f>
        <v>0.24</v>
      </c>
      <c r="V36" s="33">
        <f>D31*D10/((1+G28)^V30)</f>
        <v>0.24</v>
      </c>
      <c r="W36" s="33">
        <f>D31*D10/((1+G28)^W30)</f>
        <v>0.24</v>
      </c>
      <c r="X36" s="33">
        <f>D31*D10/((1+G28)^X30)</f>
        <v>0.24</v>
      </c>
      <c r="Y36" s="33">
        <f>D31*D10/((1+G28)^Y30)</f>
        <v>0.24</v>
      </c>
      <c r="Z36" s="33">
        <f>D31*D10/((1+G28)^Z30)</f>
        <v>0.24</v>
      </c>
      <c r="AA36" s="33">
        <f>D31*D10/((1+G28)^AA30)</f>
        <v>0.24</v>
      </c>
    </row>
    <row r="37" spans="2:27" outlineLevel="1" x14ac:dyDescent="0.3">
      <c r="C37" s="18" t="s">
        <v>70</v>
      </c>
      <c r="D37" s="32">
        <f>分布式光伏电站IRR汇总!$B$27</f>
        <v>1</v>
      </c>
      <c r="F37" s="6" t="s">
        <v>19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>
        <f>D31*D34/((1+G28)^AA30)</f>
        <v>0.9844799999999998</v>
      </c>
    </row>
    <row r="38" spans="2:27" outlineLevel="1" x14ac:dyDescent="0.3">
      <c r="C38" s="18" t="s">
        <v>69</v>
      </c>
      <c r="D38" s="31">
        <f>D37*D36</f>
        <v>0.69</v>
      </c>
      <c r="F38" s="8" t="s">
        <v>64</v>
      </c>
      <c r="G38" s="33">
        <f>SUM(H39:AA39)</f>
        <v>113512.52872082079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outlineLevel="1" x14ac:dyDescent="0.3">
      <c r="C39" s="18" t="s">
        <v>31</v>
      </c>
      <c r="D39" s="27">
        <v>0</v>
      </c>
      <c r="F39" s="9" t="s">
        <v>65</v>
      </c>
      <c r="G39" s="33"/>
      <c r="H39" s="33">
        <f>D10*D27*(1-D29)*D33/((1+G28)^H30)</f>
        <v>5922.0890399999989</v>
      </c>
      <c r="I39" s="33">
        <f>D10*D27*(1-D29)*(1-D30)^(I30-1)*D33/((1+G28)^I30)</f>
        <v>5895.4396393199995</v>
      </c>
      <c r="J39" s="33">
        <f>D10*D27*(1-D29)*(1-D30)^(J30-1)*D33/((1+G28)^J30)</f>
        <v>5868.91016094306</v>
      </c>
      <c r="K39" s="33">
        <f>D10*D27*(1-D29)*(1-D30)^(K30-1)*D33/((1+G28)^K30)</f>
        <v>5842.5000652188173</v>
      </c>
      <c r="L39" s="33">
        <f>D10*D27*(1-D29)*(1-D30)^(L30-1)*D33/((1+G28)^L30)</f>
        <v>5816.2088149253323</v>
      </c>
      <c r="M39" s="33">
        <f>D10*D27*(1-D29)*(1-D30)^(M30-1)*D33/((1+G28)^M30)</f>
        <v>5790.0358752581687</v>
      </c>
      <c r="N39" s="33">
        <f>D10*D27*(1-D29)*(1-D30)^(N30-1)*D33/((1+G28)^N30)</f>
        <v>5763.9807138195074</v>
      </c>
      <c r="O39" s="33">
        <f>D10*D27*(1-D29)*(1-D30)^(O30-1)*D33/((1+G28)^O30)</f>
        <v>5738.0428006073198</v>
      </c>
      <c r="P39" s="33">
        <f>D10*D27*(1-D29)*(1-D30)^(P30-1)*D33/((1+G28)^P30)</f>
        <v>5712.2216080045873</v>
      </c>
      <c r="Q39" s="33">
        <f>D10*D27*(1-D29)*(1-D30)^(Q30-1)*D33/((1+G28)^Q30)</f>
        <v>5686.5166107685673</v>
      </c>
      <c r="R39" s="33">
        <f>D10*D27*(1-D29)*(1-D30)^(R30-1)*D33/((1+G28)^R30)</f>
        <v>5660.927286020109</v>
      </c>
      <c r="S39" s="33">
        <f>D10*D27*(1-D29)*(1-D30)^(S30-1)*D33/((1+G28)^S30)</f>
        <v>5635.4531132330185</v>
      </c>
      <c r="T39" s="33">
        <f>D10*D27*(1-D29)*(1-D30)^(T30-1)*D33/((1+G28)^T30)</f>
        <v>5610.0935742234706</v>
      </c>
      <c r="U39" s="33">
        <f>D10*D27*(1-D29)*(1-D30)^(U30-1)*D33/((1+G28)^U30)</f>
        <v>5584.8481531394646</v>
      </c>
      <c r="V39" s="33">
        <f>D10*D27*(1-D29)*(1-D30)^(V30-1)*D33/((1+G28)^V30)</f>
        <v>5559.7163364503367</v>
      </c>
      <c r="W39" s="33">
        <f>D10*D27*(1-D29)*(1-D30)^(W30-1)*D33/((1+G28)^W30)</f>
        <v>5534.697612936312</v>
      </c>
      <c r="X39" s="33">
        <f>D10*D27*(1-D29)*(1-D30)^(X30-1)*D33/((1+G28)^X30)</f>
        <v>5509.7914736780986</v>
      </c>
      <c r="Y39" s="33">
        <f>D10*D27*(1-D29)*(1-D30)^(Y30-1)*D33/((1+G28)^Y30)</f>
        <v>5484.9974120465467</v>
      </c>
      <c r="Z39" s="33">
        <f>D10*D27*(1-D29)*(1-D30)^(Z30-1)*D33/((1+G28)^Z30)</f>
        <v>5460.3149236923391</v>
      </c>
      <c r="AA39" s="33">
        <f>D10*D27*(1-D29)*(1-D30)^(AA30-1)*D33/((1+G28)^AA30)</f>
        <v>5435.743506535724</v>
      </c>
    </row>
    <row r="40" spans="2:27" outlineLevel="1" x14ac:dyDescent="0.3">
      <c r="F40" s="4" t="s">
        <v>66</v>
      </c>
      <c r="G40" s="33">
        <f>SUM(H41:AA41)</f>
        <v>78.323644817366315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outlineLevel="1" x14ac:dyDescent="0.3">
      <c r="F41" s="7" t="s">
        <v>67</v>
      </c>
      <c r="G41" s="33"/>
      <c r="H41" s="33">
        <f>H39*D38/1000</f>
        <v>4.0862414375999991</v>
      </c>
      <c r="I41" s="33">
        <f>I39*D38/1000</f>
        <v>4.0678533511307995</v>
      </c>
      <c r="J41" s="33">
        <f>J39*D38/1000</f>
        <v>4.0495480110507112</v>
      </c>
      <c r="K41" s="33">
        <f>K39*D38/1000</f>
        <v>4.0313250450009841</v>
      </c>
      <c r="L41" s="33">
        <f>L39*D38/1000</f>
        <v>4.013184082298479</v>
      </c>
      <c r="M41" s="33">
        <f>M39*D38/1000</f>
        <v>3.995124753928136</v>
      </c>
      <c r="N41" s="33">
        <f>N39*D38/1000</f>
        <v>3.9771466925354599</v>
      </c>
      <c r="O41" s="33">
        <f>O39*D38/1000</f>
        <v>3.9592495324190504</v>
      </c>
      <c r="P41" s="33">
        <f>P39*D38/1000</f>
        <v>3.9414329095231651</v>
      </c>
      <c r="Q41" s="33">
        <f>Q39*D38/1000</f>
        <v>3.9236964614303109</v>
      </c>
      <c r="R41" s="33">
        <f>R39*D38/1000</f>
        <v>3.906039827353875</v>
      </c>
      <c r="S41" s="33">
        <f>S39*D38/1000</f>
        <v>3.8884626481307825</v>
      </c>
      <c r="T41" s="33">
        <f>T39*D38/1000</f>
        <v>3.8709645662141945</v>
      </c>
      <c r="U41" s="33">
        <f>U39*D38/1000</f>
        <v>3.8535452256662301</v>
      </c>
      <c r="V41" s="33">
        <f>V39*D38/1000</f>
        <v>3.8362042721507317</v>
      </c>
      <c r="W41" s="33">
        <f>W39*D38/1000</f>
        <v>3.8189413529260552</v>
      </c>
      <c r="X41" s="33">
        <f>X39*D38/1000</f>
        <v>3.8017561168378879</v>
      </c>
      <c r="Y41" s="33">
        <f>Y39*D38/1000</f>
        <v>3.7846482143121172</v>
      </c>
      <c r="Z41" s="33">
        <f>Z39*D38/1000</f>
        <v>3.7676172973477136</v>
      </c>
      <c r="AA41" s="33">
        <f>AA39*D38/1000</f>
        <v>3.7506630195096489</v>
      </c>
    </row>
    <row r="42" spans="2:27" outlineLevel="1" x14ac:dyDescent="0.3">
      <c r="F42" s="4" t="s">
        <v>20</v>
      </c>
      <c r="G42" s="33">
        <f>SUM(H43:AA43)</f>
        <v>12.535561204341585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2:27" outlineLevel="1" x14ac:dyDescent="0.3">
      <c r="F43" s="7" t="s">
        <v>21</v>
      </c>
      <c r="G43" s="33"/>
      <c r="H43" s="33">
        <f>(H41-H34-H36)*G29</f>
        <v>0.66929285939999983</v>
      </c>
      <c r="I43" s="33">
        <f>(I41-I34-I36)*G29</f>
        <v>0.66469583778269992</v>
      </c>
      <c r="J43" s="33">
        <f>(J41-J34-J36)*G29</f>
        <v>0.66011950276267783</v>
      </c>
      <c r="K43" s="33">
        <f>(K41-K34-K36)*G29</f>
        <v>0.65556376125024607</v>
      </c>
      <c r="L43" s="33">
        <f>(L41-L34-L36)*G29</f>
        <v>0.6510285205746198</v>
      </c>
      <c r="M43" s="33">
        <f>(M41-M34-M36)*G29</f>
        <v>0.64651368848203417</v>
      </c>
      <c r="N43" s="33">
        <f>(N41-N34-N36)*G29</f>
        <v>0.64201917313386514</v>
      </c>
      <c r="O43" s="33">
        <f>(O41-O34-O36)*G29</f>
        <v>0.63754488310476276</v>
      </c>
      <c r="P43" s="33">
        <f>(P41-P34-P36)*G29</f>
        <v>0.63309072738079131</v>
      </c>
      <c r="Q43" s="33">
        <f>(Q41-Q34-Q36)*G29</f>
        <v>0.62865661535757789</v>
      </c>
      <c r="R43" s="33">
        <f>(R41-R34-R36)*G29</f>
        <v>0.6242424568384688</v>
      </c>
      <c r="S43" s="33">
        <f>(S41-S34-S36)*G29</f>
        <v>0.61984816203269566</v>
      </c>
      <c r="T43" s="33">
        <f>(T41-T34-T36)*G29</f>
        <v>0.61547364155354867</v>
      </c>
      <c r="U43" s="33">
        <f>(U41-U34-U36)*G29</f>
        <v>0.61111880641655758</v>
      </c>
      <c r="V43" s="33">
        <f>(V41-V34-V36)*G29</f>
        <v>0.60678356803768296</v>
      </c>
      <c r="W43" s="33">
        <f>(W41-W34-W36)*G29</f>
        <v>0.60246783823151384</v>
      </c>
      <c r="X43" s="33">
        <f>(X41-X34-X36)*G29</f>
        <v>0.59817152920947203</v>
      </c>
      <c r="Y43" s="33">
        <f>(Y41-Y34-Y36)*G29</f>
        <v>0.59389455357802934</v>
      </c>
      <c r="Z43" s="33">
        <f>(Z41-Z34-Z36)*G29</f>
        <v>0.58963682433692854</v>
      </c>
      <c r="AA43" s="33">
        <f>(AA41-AA34-AA36)*G29</f>
        <v>0.58539825487741237</v>
      </c>
    </row>
    <row r="44" spans="2:27" outlineLevel="1" x14ac:dyDescent="0.3">
      <c r="F44" s="10" t="s">
        <v>22</v>
      </c>
      <c r="G44" s="33">
        <f>-G32</f>
        <v>-24.611999999999995</v>
      </c>
      <c r="H44" s="33">
        <f>H41-H43-H36</f>
        <v>3.1769485781999993</v>
      </c>
      <c r="I44" s="33">
        <f t="shared" ref="I44:AA44" si="1">I41-I43-I36</f>
        <v>3.1631575133480991</v>
      </c>
      <c r="J44" s="33">
        <f t="shared" si="1"/>
        <v>3.1494285082880333</v>
      </c>
      <c r="K44" s="33">
        <f t="shared" si="1"/>
        <v>3.135761283750738</v>
      </c>
      <c r="L44" s="33">
        <f t="shared" si="1"/>
        <v>3.1221555617238588</v>
      </c>
      <c r="M44" s="33">
        <f t="shared" si="1"/>
        <v>3.1086110654461017</v>
      </c>
      <c r="N44" s="33">
        <f t="shared" si="1"/>
        <v>3.0951275194015944</v>
      </c>
      <c r="O44" s="33">
        <f t="shared" si="1"/>
        <v>3.0817046493142879</v>
      </c>
      <c r="P44" s="33">
        <f t="shared" si="1"/>
        <v>3.0683421821423735</v>
      </c>
      <c r="Q44" s="33">
        <f t="shared" si="1"/>
        <v>3.0550398460727326</v>
      </c>
      <c r="R44" s="33">
        <f t="shared" si="1"/>
        <v>3.0417973705154058</v>
      </c>
      <c r="S44" s="33">
        <f t="shared" si="1"/>
        <v>3.0286144860980864</v>
      </c>
      <c r="T44" s="33">
        <f t="shared" si="1"/>
        <v>3.0154909246606456</v>
      </c>
      <c r="U44" s="33">
        <f t="shared" si="1"/>
        <v>3.0024264192496721</v>
      </c>
      <c r="V44" s="33">
        <f t="shared" si="1"/>
        <v>2.9894207041130487</v>
      </c>
      <c r="W44" s="33">
        <f t="shared" si="1"/>
        <v>2.9764735146945416</v>
      </c>
      <c r="X44" s="33">
        <f t="shared" si="1"/>
        <v>2.9635845876284161</v>
      </c>
      <c r="Y44" s="33">
        <f t="shared" si="1"/>
        <v>2.9507536607340876</v>
      </c>
      <c r="Z44" s="33">
        <f t="shared" si="1"/>
        <v>2.9379804730107848</v>
      </c>
      <c r="AA44" s="33">
        <f t="shared" si="1"/>
        <v>2.9252647646322361</v>
      </c>
    </row>
    <row r="45" spans="2:27" ht="13.5" outlineLevel="1" thickBot="1" x14ac:dyDescent="0.35">
      <c r="F45" s="3" t="s">
        <v>68</v>
      </c>
      <c r="G45" s="40">
        <f>IRR(G44:AA44)</f>
        <v>0.11009020010723458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2:27" ht="13.5" thickTop="1" x14ac:dyDescent="0.3"/>
    <row r="47" spans="2:27" x14ac:dyDescent="0.3">
      <c r="B47" s="11" t="s">
        <v>128</v>
      </c>
      <c r="C47" s="11" t="s">
        <v>52</v>
      </c>
    </row>
    <row r="48" spans="2:27" x14ac:dyDescent="0.3">
      <c r="C48" s="11" t="s">
        <v>141</v>
      </c>
      <c r="D48" s="54">
        <f>D79</f>
        <v>1600</v>
      </c>
    </row>
    <row r="49" spans="3:27" x14ac:dyDescent="0.3">
      <c r="C49" s="16" t="s">
        <v>78</v>
      </c>
      <c r="D49" s="37">
        <f>(G78+G81+G88)/G84*1000</f>
        <v>0.31572435507304453</v>
      </c>
    </row>
    <row r="50" spans="3:27" x14ac:dyDescent="0.3">
      <c r="C50" s="13" t="s">
        <v>77</v>
      </c>
      <c r="D50" s="39">
        <f>(G59+G62+G69)/G65*1000</f>
        <v>0.43598195616893987</v>
      </c>
    </row>
    <row r="51" spans="3:27" x14ac:dyDescent="0.3">
      <c r="C51" s="13" t="s">
        <v>61</v>
      </c>
      <c r="D51" s="36">
        <f>G72</f>
        <v>0.8048007500450316</v>
      </c>
    </row>
    <row r="52" spans="3:27" x14ac:dyDescent="0.3">
      <c r="C52" s="13" t="s">
        <v>73</v>
      </c>
      <c r="D52" s="25">
        <f>SUM(G71:AA71)</f>
        <v>19.807756060108314</v>
      </c>
    </row>
    <row r="53" spans="3:27" ht="13.5" thickBot="1" x14ac:dyDescent="0.35">
      <c r="C53" s="23" t="s">
        <v>68</v>
      </c>
      <c r="D53" s="26">
        <f>G91</f>
        <v>0.16372554437432218</v>
      </c>
    </row>
    <row r="54" spans="3:27" ht="13.5" outlineLevel="1" thickTop="1" x14ac:dyDescent="0.3">
      <c r="E54" s="20"/>
      <c r="F54" s="38" t="s">
        <v>75</v>
      </c>
    </row>
    <row r="55" spans="3:27" outlineLevel="1" x14ac:dyDescent="0.3">
      <c r="C55" s="11" t="s">
        <v>71</v>
      </c>
      <c r="F55" s="13" t="s">
        <v>25</v>
      </c>
      <c r="G55" s="14">
        <v>7.0000000000000007E-2</v>
      </c>
    </row>
    <row r="56" spans="3:27" outlineLevel="1" x14ac:dyDescent="0.3">
      <c r="C56" s="18" t="s">
        <v>53</v>
      </c>
      <c r="D56" s="19">
        <f>分布式光伏电站IRR汇总!$B$2</f>
        <v>6</v>
      </c>
      <c r="F56" s="13" t="s">
        <v>26</v>
      </c>
      <c r="G56" s="14">
        <v>0.25</v>
      </c>
    </row>
    <row r="57" spans="3:27" outlineLevel="1" x14ac:dyDescent="0.3">
      <c r="C57" s="18" t="s">
        <v>56</v>
      </c>
      <c r="D57" s="19">
        <f>分布式光伏电站IRR汇总!$B$3</f>
        <v>120</v>
      </c>
      <c r="F57" s="1" t="s">
        <v>44</v>
      </c>
      <c r="G57" s="4"/>
      <c r="H57" s="5">
        <v>1</v>
      </c>
      <c r="I57" s="5">
        <v>2</v>
      </c>
      <c r="J57" s="5">
        <v>3</v>
      </c>
      <c r="K57" s="5">
        <v>4</v>
      </c>
      <c r="L57" s="5">
        <v>5</v>
      </c>
      <c r="M57" s="5">
        <v>6</v>
      </c>
      <c r="N57" s="5">
        <v>7</v>
      </c>
      <c r="O57" s="5">
        <v>8</v>
      </c>
      <c r="P57" s="5">
        <v>9</v>
      </c>
      <c r="Q57" s="5">
        <v>10</v>
      </c>
      <c r="R57" s="5">
        <v>11</v>
      </c>
      <c r="S57" s="5">
        <v>12</v>
      </c>
      <c r="T57" s="5">
        <v>13</v>
      </c>
      <c r="U57" s="5">
        <v>14</v>
      </c>
      <c r="V57" s="5">
        <v>15</v>
      </c>
      <c r="W57" s="5">
        <v>16</v>
      </c>
      <c r="X57" s="5">
        <v>17</v>
      </c>
      <c r="Y57" s="5">
        <v>18</v>
      </c>
      <c r="Z57" s="5">
        <v>19</v>
      </c>
      <c r="AA57" s="5">
        <v>20</v>
      </c>
    </row>
    <row r="58" spans="3:27" outlineLevel="1" x14ac:dyDescent="0.3">
      <c r="C58" s="18" t="s">
        <v>57</v>
      </c>
      <c r="D58" s="19">
        <f>分布式光伏电站IRR汇总!$B$4</f>
        <v>3</v>
      </c>
      <c r="F58" s="16"/>
      <c r="G58" s="2" t="s">
        <v>0</v>
      </c>
      <c r="H58" s="2" t="s">
        <v>1</v>
      </c>
      <c r="I58" s="2" t="s">
        <v>2</v>
      </c>
      <c r="J58" s="2" t="s">
        <v>3</v>
      </c>
      <c r="K58" s="2" t="s">
        <v>4</v>
      </c>
      <c r="L58" s="2" t="s">
        <v>5</v>
      </c>
      <c r="M58" s="2" t="s">
        <v>6</v>
      </c>
      <c r="N58" s="2" t="s">
        <v>7</v>
      </c>
      <c r="O58" s="2" t="s">
        <v>8</v>
      </c>
      <c r="P58" s="2" t="s">
        <v>9</v>
      </c>
      <c r="Q58" s="2" t="s">
        <v>10</v>
      </c>
      <c r="R58" s="2" t="s">
        <v>11</v>
      </c>
      <c r="S58" s="2" t="s">
        <v>12</v>
      </c>
      <c r="T58" s="2" t="s">
        <v>13</v>
      </c>
      <c r="U58" s="2" t="s">
        <v>45</v>
      </c>
      <c r="V58" s="2" t="s">
        <v>46</v>
      </c>
      <c r="W58" s="2" t="s">
        <v>47</v>
      </c>
      <c r="X58" s="2" t="s">
        <v>48</v>
      </c>
      <c r="Y58" s="2" t="s">
        <v>49</v>
      </c>
      <c r="Z58" s="2" t="s">
        <v>50</v>
      </c>
      <c r="AA58" s="2" t="s">
        <v>127</v>
      </c>
    </row>
    <row r="59" spans="3:27" outlineLevel="1" x14ac:dyDescent="0.3">
      <c r="C59" s="18" t="s">
        <v>54</v>
      </c>
      <c r="D59" s="19">
        <f>分布式光伏电站IRR汇总!$B$5</f>
        <v>5</v>
      </c>
      <c r="F59" s="6" t="s">
        <v>14</v>
      </c>
      <c r="G59" s="33">
        <f>D80</f>
        <v>24.611999999999995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3:27" outlineLevel="1" x14ac:dyDescent="0.3">
      <c r="C60" s="18" t="s">
        <v>55</v>
      </c>
      <c r="D60" s="19">
        <f>分布式光伏电站IRR汇总!$B$6</f>
        <v>15</v>
      </c>
      <c r="F60" s="6" t="s">
        <v>15</v>
      </c>
      <c r="G60" s="33">
        <f>SUM(H61:AA61)</f>
        <v>12.385144234005573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spans="3:27" outlineLevel="1" x14ac:dyDescent="0.3">
      <c r="C61" s="18" t="s">
        <v>42</v>
      </c>
      <c r="D61" s="19">
        <f>分布式光伏电站IRR汇总!$B$7</f>
        <v>4.1019999999999994</v>
      </c>
      <c r="F61" s="7" t="s">
        <v>16</v>
      </c>
      <c r="G61" s="33"/>
      <c r="H61" s="33">
        <f>D80*(1-D78)/D74/((1+G55)^H57)</f>
        <v>1.0925887850467286</v>
      </c>
      <c r="I61" s="33">
        <f>D80*(1-D78)/D74/((1+G55)^I57)</f>
        <v>1.0211110140623632</v>
      </c>
      <c r="J61" s="33">
        <f>D80*(1-D78)/D74/((1+G55)^J57)</f>
        <v>0.95430935893678792</v>
      </c>
      <c r="K61" s="33">
        <f>D80*(1-D78)/D74/((1+G55)^K57)</f>
        <v>0.89187790554839996</v>
      </c>
      <c r="L61" s="33">
        <f>D80*(1-D78)/D74/((1+G55)^L57)</f>
        <v>0.83353075284897193</v>
      </c>
      <c r="M61" s="33">
        <f>D80*(1-D78)/D74/((1+G55)^M57)</f>
        <v>0.77900070359717</v>
      </c>
      <c r="N61" s="33">
        <f>D80*(1-D78)/D74/((1+G55)^N57)</f>
        <v>0.72803804074501866</v>
      </c>
      <c r="O61" s="33">
        <f>D80*(1-D78)/D74/((1+G55)^O57)</f>
        <v>0.6804093838738493</v>
      </c>
      <c r="P61" s="33">
        <f>D80*(1-D78)/D74/((1+G55)^P57)</f>
        <v>0.63589662044284967</v>
      </c>
      <c r="Q61" s="33">
        <f>D80*(1-D78)/D74/((1+G55)^Q57)</f>
        <v>0.59429590695593437</v>
      </c>
      <c r="R61" s="33">
        <f>D80*(1-D78)/D74/((1+G55)^R57)</f>
        <v>0.55541673547283577</v>
      </c>
      <c r="S61" s="33">
        <f>D80*(1-D78)/D74/((1+G55)^S57)</f>
        <v>0.51908106118956621</v>
      </c>
      <c r="T61" s="33">
        <f>D80*(1-D78)/D74/((1+G55)^T57)</f>
        <v>0.4851224870930525</v>
      </c>
      <c r="U61" s="33">
        <f>D80*(1-D78)/D74/((1+G55)^U57)</f>
        <v>0.45338550195612387</v>
      </c>
      <c r="V61" s="33">
        <f>D80*(1-D78)/D74/((1+G55)^V57)</f>
        <v>0.4237247681832933</v>
      </c>
      <c r="W61" s="33">
        <f>D80*(1-D78)/D74/((1+G55)^W57)</f>
        <v>0.39600445624606856</v>
      </c>
      <c r="X61" s="33">
        <f>D80*(1-D78)/D74/((1+G55)^X57)</f>
        <v>0.37009762265987711</v>
      </c>
      <c r="Y61" s="33">
        <f>D80*(1-D78)/D74/((1+G55)^Y57)</f>
        <v>0.34588562865409078</v>
      </c>
      <c r="Z61" s="33">
        <f>D80*(1-D78)/D74/((1+G55)^Z57)</f>
        <v>0.323257596872982</v>
      </c>
      <c r="AA61" s="33">
        <f>D80*(1-D78)/D74/((1+G55)^AA57)</f>
        <v>0.30210990361960938</v>
      </c>
    </row>
    <row r="62" spans="3:27" outlineLevel="1" x14ac:dyDescent="0.3">
      <c r="C62" s="21" t="s">
        <v>32</v>
      </c>
      <c r="D62" s="19">
        <f>分布式光伏电站IRR汇总!$B$8</f>
        <v>1.8870000000000002</v>
      </c>
      <c r="F62" s="6" t="s">
        <v>17</v>
      </c>
      <c r="G62" s="33">
        <f>SUM(H63:AA63)</f>
        <v>2.5425634189238777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spans="3:27" outlineLevel="1" x14ac:dyDescent="0.3">
      <c r="C63" s="21" t="s">
        <v>33</v>
      </c>
      <c r="D63" s="19">
        <f>分布式光伏电站IRR汇总!$B$9</f>
        <v>0.18500000000000003</v>
      </c>
      <c r="F63" s="7" t="s">
        <v>18</v>
      </c>
      <c r="G63" s="33"/>
      <c r="H63" s="33">
        <f>D77*D56/((1+G55)^H57)</f>
        <v>0.22429906542056072</v>
      </c>
      <c r="I63" s="33">
        <f>D77*D56/((1+G55)^I57)</f>
        <v>0.20962529478557079</v>
      </c>
      <c r="J63" s="33">
        <f>D77*D56/((1+G55)^J57)</f>
        <v>0.19591149045380446</v>
      </c>
      <c r="K63" s="33">
        <f>D77*D56/((1+G55)^K57)</f>
        <v>0.18309485089140604</v>
      </c>
      <c r="L63" s="33">
        <f>D77*D56/((1+G55)^L57)</f>
        <v>0.17111668307608041</v>
      </c>
      <c r="M63" s="33">
        <f>D77*D56/((1+G55)^M57)</f>
        <v>0.15992213371596301</v>
      </c>
      <c r="N63" s="33">
        <f>D77*D56/((1+G55)^N57)</f>
        <v>0.14945993805230187</v>
      </c>
      <c r="O63" s="33">
        <f>D77*D56/((1+G55)^O57)</f>
        <v>0.13968218509560923</v>
      </c>
      <c r="P63" s="33">
        <f>D77*D56/((1+G55)^P57)</f>
        <v>0.13054409822019553</v>
      </c>
      <c r="Q63" s="33">
        <f>D77*D56/((1+G55)^Q57)</f>
        <v>0.12200383011233226</v>
      </c>
      <c r="R63" s="33">
        <f>D77*D56/((1+G55)^R57)</f>
        <v>0.1140222711330208</v>
      </c>
      <c r="S63" s="33">
        <f>D77*D56/((1+G55)^S57)</f>
        <v>0.10656287021777647</v>
      </c>
      <c r="T63" s="33">
        <f>D77*D56/((1+G55)^T57)</f>
        <v>9.9591467493249028E-2</v>
      </c>
      <c r="U63" s="33">
        <f>D77*D56/((1+G55)^U57)</f>
        <v>9.3076137844157969E-2</v>
      </c>
      <c r="V63" s="33">
        <f>D77*D56/((1+G55)^V57)</f>
        <v>8.6987044714166323E-2</v>
      </c>
      <c r="W63" s="33">
        <f>D77*D56/((1+G55)^W57)</f>
        <v>8.1296303471183481E-2</v>
      </c>
      <c r="X63" s="33">
        <f>D77*D56/((1+G55)^X57)</f>
        <v>7.5977853711386434E-2</v>
      </c>
      <c r="Y63" s="33">
        <f>D77*D56/((1+G55)^Y57)</f>
        <v>7.1007339917183582E-2</v>
      </c>
      <c r="Z63" s="33">
        <f>D77*D56/((1+G55)^Z57)</f>
        <v>6.6361999922601472E-2</v>
      </c>
      <c r="AA63" s="33">
        <f>D77*D56/((1+G55)^AA57)</f>
        <v>6.2020560675328483E-2</v>
      </c>
    </row>
    <row r="64" spans="3:27" outlineLevel="1" x14ac:dyDescent="0.3">
      <c r="C64" s="21" t="s">
        <v>34</v>
      </c>
      <c r="D64" s="19">
        <f>分布式光伏电站IRR汇总!$B$10</f>
        <v>0.222</v>
      </c>
      <c r="F64" s="6" t="s">
        <v>19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>
        <f>D77*D80/((1+G55)^AA57)</f>
        <v>0.2544083398901974</v>
      </c>
    </row>
    <row r="65" spans="3:27" outlineLevel="1" x14ac:dyDescent="0.3">
      <c r="C65" s="21" t="s">
        <v>35</v>
      </c>
      <c r="D65" s="19">
        <f>分布式光伏电站IRR汇总!$B$11</f>
        <v>0.44400000000000001</v>
      </c>
      <c r="F65" s="8" t="s">
        <v>64</v>
      </c>
      <c r="G65" s="33">
        <f>SUM(H66:AA66)</f>
        <v>83536.990465313662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spans="3:27" outlineLevel="1" x14ac:dyDescent="0.3">
      <c r="C66" s="21" t="s">
        <v>36</v>
      </c>
      <c r="D66" s="19">
        <f>分布式光伏电站IRR汇总!$B$12</f>
        <v>0.222</v>
      </c>
      <c r="F66" s="9" t="s">
        <v>65</v>
      </c>
      <c r="G66" s="33"/>
      <c r="H66" s="33">
        <f>D56*D73*(1-D75)*D79/((1+G55)^H57)</f>
        <v>7614.3252336448577</v>
      </c>
      <c r="I66" s="33">
        <f>D56*D73*(1-D75)*(1-D76)^(I57-1)*D79/((1+G55)^I57)</f>
        <v>7084.1689440125765</v>
      </c>
      <c r="J66" s="33">
        <f>D56*D73*(1-D75)*(1-D76)^(J57-1)*D79/((1+G55)^J57)</f>
        <v>6590.925405387402</v>
      </c>
      <c r="K66" s="33">
        <f>D56*D73*(1-D75)*(1-D76)^(K57-1)*D79/((1+G55)^K57)</f>
        <v>6132.0245243580939</v>
      </c>
      <c r="L66" s="33">
        <f>D56*D73*(1-D75)*(1-D76)^(L57-1)*D79/((1+G55)^L57)</f>
        <v>5705.0751532696086</v>
      </c>
      <c r="M66" s="33">
        <f>D56*D73*(1-D75)*(1-D76)^(M57-1)*D79/((1+G55)^M57)</f>
        <v>5307.8526309157915</v>
      </c>
      <c r="N66" s="33">
        <f>D56*D73*(1-D75)*(1-D76)^(N57-1)*D79/((1+G55)^N57)</f>
        <v>4938.2871907258605</v>
      </c>
      <c r="O66" s="33">
        <f>D56*D73*(1-D75)*(1-D76)^(O57-1)*D79/((1+G55)^O57)</f>
        <v>4594.4531760444797</v>
      </c>
      <c r="P66" s="33">
        <f>D56*D73*(1-D75)*(1-D76)^(P57-1)*D79/((1+G55)^P57)</f>
        <v>4274.5590063105419</v>
      </c>
      <c r="Q66" s="33">
        <f>D56*D73*(1-D75)*(1-D76)^(Q57-1)*D79/((1+G55)^Q57)</f>
        <v>3976.937841852472</v>
      </c>
      <c r="R66" s="33">
        <f>D56*D73*(1-D75)*(1-D76)^(R57-1)*D79/((1+G55)^R57)</f>
        <v>3700.038898658071</v>
      </c>
      <c r="S66" s="33">
        <f>D56*D73*(1-D75)*(1-D76)^(S57-1)*D79/((1+G55)^S57)</f>
        <v>3442.4193678636543</v>
      </c>
      <c r="T66" s="33">
        <f>D56*D73*(1-D75)*(1-D76)^(T57-1)*D79/((1+G55)^T57)</f>
        <v>3202.7368978581944</v>
      </c>
      <c r="U66" s="33">
        <f>D56*D73*(1-D75)*(1-D76)^(U57-1)*D79/((1+G55)^U57)</f>
        <v>2979.7425998297499</v>
      </c>
      <c r="V66" s="33">
        <f>D56*D73*(1-D75)*(1-D76)^(V57-1)*D79/((1+G55)^V57)</f>
        <v>2772.2745403088934</v>
      </c>
      <c r="W66" s="33">
        <f>D56*D73*(1-D75)*(1-D76)^(W57-1)*D79/((1+G55)^W57)</f>
        <v>2579.2516868014059</v>
      </c>
      <c r="X66" s="33">
        <f>D56*D73*(1-D75)*(1-D76)^(X57-1)*D79/((1+G55)^X57)</f>
        <v>2399.6682749633642</v>
      </c>
      <c r="Y66" s="33">
        <f>D56*D73*(1-D75)*(1-D76)^(Y57-1)*D79/((1+G55)^Y57)</f>
        <v>2232.5885679682515</v>
      </c>
      <c r="Z66" s="33">
        <f>D56*D73*(1-D75)*(1-D76)^(Z57-1)*D79/((1+G55)^Z57)</f>
        <v>2077.141980759247</v>
      </c>
      <c r="AA66" s="33">
        <f>D56*D73*(1-D75)*(1-D76)^(AA57-1)*D79/((1+G55)^AA57)</f>
        <v>1932.5185437811504</v>
      </c>
    </row>
    <row r="67" spans="3:27" outlineLevel="1" x14ac:dyDescent="0.3">
      <c r="C67" s="21" t="s">
        <v>37</v>
      </c>
      <c r="D67" s="19">
        <f>分布式光伏电站IRR汇总!$B$13</f>
        <v>0.15</v>
      </c>
      <c r="F67" s="4" t="s">
        <v>66</v>
      </c>
      <c r="G67" s="33">
        <f>SUM(H68:AA68)</f>
        <v>57.640523421066426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spans="3:27" outlineLevel="1" x14ac:dyDescent="0.3">
      <c r="C68" s="21" t="s">
        <v>38</v>
      </c>
      <c r="D68" s="19">
        <f>分布式光伏电站IRR汇总!$B$14</f>
        <v>3.7000000000000005E-2</v>
      </c>
      <c r="F68" s="7" t="s">
        <v>67</v>
      </c>
      <c r="G68" s="33"/>
      <c r="H68" s="33">
        <f>H66*D84/1000</f>
        <v>5.2538844112149521</v>
      </c>
      <c r="I68" s="33">
        <f>I66*D84/1000</f>
        <v>4.8880765713686776</v>
      </c>
      <c r="J68" s="33">
        <f>J66*D84/1000</f>
        <v>4.5477385297173072</v>
      </c>
      <c r="K68" s="33">
        <f>K66*D84/1000</f>
        <v>4.231096921807084</v>
      </c>
      <c r="L68" s="33">
        <f>L66*D84/1000</f>
        <v>3.9365018557560298</v>
      </c>
      <c r="M68" s="33">
        <f>M66*D84/1000</f>
        <v>3.6624183153318959</v>
      </c>
      <c r="N68" s="33">
        <f>N66*D84/1000</f>
        <v>3.4074181616008437</v>
      </c>
      <c r="O68" s="33">
        <f>O66*D84/1000</f>
        <v>3.1701726914706905</v>
      </c>
      <c r="P68" s="33">
        <f>P66*D84/1000</f>
        <v>2.9494457143542734</v>
      </c>
      <c r="Q68" s="33">
        <f>Q66*D84/1000</f>
        <v>2.7440871108782052</v>
      </c>
      <c r="R68" s="33">
        <f>R66*D84/1000</f>
        <v>2.553026840074069</v>
      </c>
      <c r="S68" s="33">
        <f>S66*D84/1000</f>
        <v>2.3752693638259212</v>
      </c>
      <c r="T68" s="33">
        <f>T66*D84/1000</f>
        <v>2.209888459522154</v>
      </c>
      <c r="U68" s="33">
        <f>U66*D84/1000</f>
        <v>2.0560223938825275</v>
      </c>
      <c r="V68" s="33">
        <f>V66*D84/1000</f>
        <v>1.9128694328131362</v>
      </c>
      <c r="W68" s="33">
        <f>W66*D84/1000</f>
        <v>1.7796836638929698</v>
      </c>
      <c r="X68" s="33">
        <f>X66*D84/1000</f>
        <v>1.6557711097247212</v>
      </c>
      <c r="Y68" s="33">
        <f>Y66*D84/1000</f>
        <v>1.5404861118980935</v>
      </c>
      <c r="Z68" s="33">
        <f>Z66*D84/1000</f>
        <v>1.4332279667238803</v>
      </c>
      <c r="AA68" s="33">
        <f>AA66*D84/1000</f>
        <v>1.3334377952089937</v>
      </c>
    </row>
    <row r="69" spans="3:27" outlineLevel="1" x14ac:dyDescent="0.3">
      <c r="C69" s="21" t="s">
        <v>39</v>
      </c>
      <c r="D69" s="19">
        <f>分布式光伏电站IRR汇总!$B$15</f>
        <v>0.25900000000000006</v>
      </c>
      <c r="F69" s="4" t="s">
        <v>20</v>
      </c>
      <c r="G69" s="33">
        <f>SUM(H70:V70)</f>
        <v>9.2660570966096554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spans="3:27" outlineLevel="1" x14ac:dyDescent="0.3">
      <c r="C70" s="21" t="s">
        <v>40</v>
      </c>
      <c r="D70" s="19">
        <f>分布式光伏电站IRR汇总!$B$16</f>
        <v>7.400000000000001E-2</v>
      </c>
      <c r="F70" s="7" t="s">
        <v>21</v>
      </c>
      <c r="G70" s="33"/>
      <c r="H70" s="33">
        <f>(H68-H61-H63)*G56</f>
        <v>0.98424914018691578</v>
      </c>
      <c r="I70" s="33">
        <f>(I68-I61-I63)*G56</f>
        <v>0.91433506563018585</v>
      </c>
      <c r="J70" s="33">
        <f>(J68-J61-J63)*G56</f>
        <v>0.84937942008167866</v>
      </c>
      <c r="K70" s="33">
        <f>(K68-K61-K63)*G56</f>
        <v>0.78903104134181956</v>
      </c>
      <c r="L70" s="33">
        <f>(L68-L61-L63)*G56</f>
        <v>0.73296360495774437</v>
      </c>
      <c r="M70" s="33">
        <f>(M68-M61-M63)*G56</f>
        <v>0.68087386950469064</v>
      </c>
      <c r="N70" s="33">
        <f>(N68-N61-N63)*G56</f>
        <v>0.63248004570088079</v>
      </c>
      <c r="O70" s="33">
        <f>(O68-O61-O63)*G56</f>
        <v>0.58752028062530803</v>
      </c>
      <c r="P70" s="33">
        <f>(P68-P61-P63)*G56</f>
        <v>0.54575124892280702</v>
      </c>
      <c r="Q70" s="33">
        <f>(Q68-Q61-Q63)*G56</f>
        <v>0.50694684345248464</v>
      </c>
      <c r="R70" s="33">
        <f>(R68-R61-R63)*G56</f>
        <v>0.47089695836705314</v>
      </c>
      <c r="S70" s="33">
        <f>(S68-S61-S63)*G56</f>
        <v>0.43740635810464462</v>
      </c>
      <c r="T70" s="33">
        <f>(T68-T61-T63)*G56</f>
        <v>0.40629362623396309</v>
      </c>
      <c r="U70" s="33">
        <f>(U68-U61-U63)*G56</f>
        <v>0.37739018852056139</v>
      </c>
      <c r="V70" s="33">
        <f>(V68-V61-V63)*G56</f>
        <v>0.35053940497891911</v>
      </c>
      <c r="W70" s="33">
        <f>(W68-W61-W63)*G56</f>
        <v>0.32559572604392945</v>
      </c>
      <c r="X70" s="33">
        <f>(X68-X61-X63)*G56</f>
        <v>0.30242390833836441</v>
      </c>
      <c r="Y70" s="33">
        <f>(Y68-Y61-Y63)*G56</f>
        <v>0.28089828583170479</v>
      </c>
      <c r="Z70" s="33">
        <f>(Z68-Z61-Z63)*G56</f>
        <v>0.26090209248207419</v>
      </c>
      <c r="AA70" s="33">
        <f>(AA68-AA61-AA63)*G56</f>
        <v>0.24232683272851399</v>
      </c>
    </row>
    <row r="71" spans="3:27" outlineLevel="1" x14ac:dyDescent="0.3">
      <c r="C71" s="21" t="s">
        <v>41</v>
      </c>
      <c r="D71" s="19">
        <f>分布式光伏电站IRR汇总!$B$17</f>
        <v>0.222</v>
      </c>
      <c r="F71" s="10" t="s">
        <v>22</v>
      </c>
      <c r="G71" s="33">
        <f>-G59</f>
        <v>-24.611999999999995</v>
      </c>
      <c r="H71" s="33">
        <f t="shared" ref="H71:AA71" si="2">H68-H70-H63</f>
        <v>4.0453362056074758</v>
      </c>
      <c r="I71" s="33">
        <f t="shared" si="2"/>
        <v>3.7641162109529205</v>
      </c>
      <c r="J71" s="33">
        <f t="shared" si="2"/>
        <v>3.5024476191818241</v>
      </c>
      <c r="K71" s="33">
        <f t="shared" si="2"/>
        <v>3.2589710295738588</v>
      </c>
      <c r="L71" s="33">
        <f t="shared" si="2"/>
        <v>3.0324215677222046</v>
      </c>
      <c r="M71" s="33">
        <f t="shared" si="2"/>
        <v>2.8216223121112423</v>
      </c>
      <c r="N71" s="33">
        <f t="shared" si="2"/>
        <v>2.6254781778476612</v>
      </c>
      <c r="O71" s="33">
        <f t="shared" si="2"/>
        <v>2.4429702257497734</v>
      </c>
      <c r="P71" s="33">
        <f t="shared" si="2"/>
        <v>2.273150367211271</v>
      </c>
      <c r="Q71" s="33">
        <f t="shared" si="2"/>
        <v>2.1151364373133887</v>
      </c>
      <c r="R71" s="33">
        <f t="shared" si="2"/>
        <v>1.9681076105739952</v>
      </c>
      <c r="S71" s="33">
        <f t="shared" si="2"/>
        <v>1.8313001355035001</v>
      </c>
      <c r="T71" s="33">
        <f t="shared" si="2"/>
        <v>1.7040033657949418</v>
      </c>
      <c r="U71" s="33">
        <f t="shared" si="2"/>
        <v>1.585556067517808</v>
      </c>
      <c r="V71" s="33">
        <f t="shared" si="2"/>
        <v>1.4753429831200506</v>
      </c>
      <c r="W71" s="33">
        <f t="shared" si="2"/>
        <v>1.3727916343778568</v>
      </c>
      <c r="X71" s="33">
        <f t="shared" si="2"/>
        <v>1.2773693476749703</v>
      </c>
      <c r="Y71" s="33">
        <f t="shared" si="2"/>
        <v>1.1885804861492051</v>
      </c>
      <c r="Z71" s="33">
        <f t="shared" si="2"/>
        <v>1.1059638743192046</v>
      </c>
      <c r="AA71" s="33">
        <f t="shared" si="2"/>
        <v>1.0290904018051512</v>
      </c>
    </row>
    <row r="72" spans="3:27" ht="13.5" outlineLevel="1" thickBot="1" x14ac:dyDescent="0.35">
      <c r="C72" s="21" t="s">
        <v>74</v>
      </c>
      <c r="D72" s="19">
        <f>分布式光伏电站IRR汇总!$B$18</f>
        <v>0.4</v>
      </c>
      <c r="F72" s="3" t="s">
        <v>61</v>
      </c>
      <c r="G72" s="35">
        <f>SUM(G71:AA71)/G59</f>
        <v>0.8048007500450316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3:27" ht="13.5" outlineLevel="1" thickTop="1" x14ac:dyDescent="0.3">
      <c r="C73" s="18" t="s">
        <v>58</v>
      </c>
      <c r="D73" s="19">
        <f>分布式光伏电站IRR汇总!$B$19</f>
        <v>0.86599999999999999</v>
      </c>
    </row>
    <row r="74" spans="3:27" outlineLevel="1" x14ac:dyDescent="0.3">
      <c r="C74" s="18" t="s">
        <v>62</v>
      </c>
      <c r="D74" s="19">
        <f>分布式光伏电站IRR汇总!$B$20</f>
        <v>20</v>
      </c>
      <c r="F74" s="13" t="s">
        <v>25</v>
      </c>
      <c r="G74" s="14">
        <v>0</v>
      </c>
    </row>
    <row r="75" spans="3:27" outlineLevel="1" x14ac:dyDescent="0.3">
      <c r="C75" s="18" t="s">
        <v>59</v>
      </c>
      <c r="D75" s="52">
        <f>分布式光伏电站IRR汇总!$B$21</f>
        <v>0.02</v>
      </c>
      <c r="F75" s="13" t="s">
        <v>26</v>
      </c>
      <c r="G75" s="14">
        <v>0.25</v>
      </c>
      <c r="Q75" s="15"/>
    </row>
    <row r="76" spans="3:27" outlineLevel="1" x14ac:dyDescent="0.3">
      <c r="C76" s="18" t="s">
        <v>60</v>
      </c>
      <c r="D76" s="52">
        <f>分布式光伏电站IRR汇总!$B$22</f>
        <v>4.4999999999999997E-3</v>
      </c>
      <c r="F76" s="1" t="s">
        <v>44</v>
      </c>
      <c r="G76" s="4"/>
      <c r="H76" s="5">
        <v>1</v>
      </c>
      <c r="I76" s="5">
        <v>2</v>
      </c>
      <c r="J76" s="5">
        <v>3</v>
      </c>
      <c r="K76" s="5">
        <v>4</v>
      </c>
      <c r="L76" s="5">
        <v>5</v>
      </c>
      <c r="M76" s="5">
        <v>6</v>
      </c>
      <c r="N76" s="5">
        <v>7</v>
      </c>
      <c r="O76" s="5">
        <v>8</v>
      </c>
      <c r="P76" s="5">
        <v>9</v>
      </c>
      <c r="Q76" s="5">
        <v>10</v>
      </c>
      <c r="R76" s="5">
        <v>11</v>
      </c>
      <c r="S76" s="5">
        <v>12</v>
      </c>
      <c r="T76" s="5">
        <v>13</v>
      </c>
      <c r="U76" s="5">
        <v>14</v>
      </c>
      <c r="V76" s="5">
        <v>15</v>
      </c>
      <c r="W76" s="5">
        <v>16</v>
      </c>
      <c r="X76" s="5">
        <v>17</v>
      </c>
      <c r="Y76" s="5">
        <v>18</v>
      </c>
      <c r="Z76" s="5">
        <v>19</v>
      </c>
      <c r="AA76" s="5">
        <v>20</v>
      </c>
    </row>
    <row r="77" spans="3:27" outlineLevel="1" x14ac:dyDescent="0.3">
      <c r="C77" s="18" t="s">
        <v>28</v>
      </c>
      <c r="D77" s="29">
        <f>分布式光伏电站IRR汇总!$B$23</f>
        <v>0.04</v>
      </c>
      <c r="F77" s="16"/>
      <c r="G77" s="2" t="s">
        <v>0</v>
      </c>
      <c r="H77" s="2" t="s">
        <v>1</v>
      </c>
      <c r="I77" s="2" t="s">
        <v>2</v>
      </c>
      <c r="J77" s="2" t="s">
        <v>3</v>
      </c>
      <c r="K77" s="2" t="s">
        <v>4</v>
      </c>
      <c r="L77" s="2" t="s">
        <v>5</v>
      </c>
      <c r="M77" s="2" t="s">
        <v>6</v>
      </c>
      <c r="N77" s="2" t="s">
        <v>7</v>
      </c>
      <c r="O77" s="2" t="s">
        <v>8</v>
      </c>
      <c r="P77" s="2" t="s">
        <v>9</v>
      </c>
      <c r="Q77" s="2" t="s">
        <v>10</v>
      </c>
      <c r="R77" s="2" t="s">
        <v>11</v>
      </c>
      <c r="S77" s="2" t="s">
        <v>12</v>
      </c>
      <c r="T77" s="2" t="s">
        <v>13</v>
      </c>
      <c r="U77" s="2" t="s">
        <v>45</v>
      </c>
      <c r="V77" s="2" t="s">
        <v>46</v>
      </c>
      <c r="W77" s="2" t="s">
        <v>47</v>
      </c>
      <c r="X77" s="2" t="s">
        <v>48</v>
      </c>
      <c r="Y77" s="2" t="s">
        <v>49</v>
      </c>
      <c r="Z77" s="2" t="s">
        <v>50</v>
      </c>
      <c r="AA77" s="2" t="s">
        <v>51</v>
      </c>
    </row>
    <row r="78" spans="3:27" outlineLevel="1" x14ac:dyDescent="0.3">
      <c r="C78" s="18" t="s">
        <v>43</v>
      </c>
      <c r="D78" s="19">
        <f>分布式光伏电站IRR汇总!$B$24</f>
        <v>0.05</v>
      </c>
      <c r="F78" s="6" t="s">
        <v>14</v>
      </c>
      <c r="G78" s="33">
        <f>D80</f>
        <v>24.611999999999995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3:27" outlineLevel="1" x14ac:dyDescent="0.3">
      <c r="C79" s="18" t="s">
        <v>126</v>
      </c>
      <c r="D79" s="28">
        <v>1600</v>
      </c>
      <c r="F79" s="6" t="s">
        <v>15</v>
      </c>
      <c r="G79" s="33">
        <f>SUM(H80:AA80)</f>
        <v>23.381399999999985</v>
      </c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spans="3:27" outlineLevel="1" x14ac:dyDescent="0.3">
      <c r="C80" s="24" t="s">
        <v>14</v>
      </c>
      <c r="D80" s="30">
        <f>D56*D61</f>
        <v>24.611999999999995</v>
      </c>
      <c r="F80" s="7" t="s">
        <v>16</v>
      </c>
      <c r="G80" s="33"/>
      <c r="H80" s="33">
        <f>D80*(1-D78)/D74/((1+G74)^H76)</f>
        <v>1.1690699999999996</v>
      </c>
      <c r="I80" s="33">
        <f>D80*(1-D78)/D74/((1+G74)^I76)</f>
        <v>1.1690699999999996</v>
      </c>
      <c r="J80" s="33">
        <f>D80*(1-D78)/D74/((1+G74)^J76)</f>
        <v>1.1690699999999996</v>
      </c>
      <c r="K80" s="33">
        <f>D80*(1-D78)/D74/((1+G74)^K76)</f>
        <v>1.1690699999999996</v>
      </c>
      <c r="L80" s="33">
        <f>D80*(1-D78)/D74/((1+G74)^L76)</f>
        <v>1.1690699999999996</v>
      </c>
      <c r="M80" s="33">
        <f>D80*(1-D78)/D74/((1+G74)^M76)</f>
        <v>1.1690699999999996</v>
      </c>
      <c r="N80" s="33">
        <f>D80*(1-D78)/D74/((1+G74)^N76)</f>
        <v>1.1690699999999996</v>
      </c>
      <c r="O80" s="33">
        <f>D80*(1-D78)/D74/((1+G74)^O76)</f>
        <v>1.1690699999999996</v>
      </c>
      <c r="P80" s="33">
        <f>D80*(1-D78)/D74/((1+G74)^P76)</f>
        <v>1.1690699999999996</v>
      </c>
      <c r="Q80" s="33">
        <f>D80*(1-D78)/D74/((1+G74)^Q76)</f>
        <v>1.1690699999999996</v>
      </c>
      <c r="R80" s="33">
        <f>D80*(1-D78)/D74/((1+G74)^R76)</f>
        <v>1.1690699999999996</v>
      </c>
      <c r="S80" s="33">
        <f>D80*(1-D78)/D74/((1+G74)^S76)</f>
        <v>1.1690699999999996</v>
      </c>
      <c r="T80" s="33">
        <f>D80*(1-D78)/D74/((1+G74)^T76)</f>
        <v>1.1690699999999996</v>
      </c>
      <c r="U80" s="33">
        <f>D80*(1-D78)/D74/((1+G74)^U76)</f>
        <v>1.1690699999999996</v>
      </c>
      <c r="V80" s="33">
        <f>D80*(1-D78)/D74/((1+G74)^V76)</f>
        <v>1.1690699999999996</v>
      </c>
      <c r="W80" s="33">
        <f>D80*(1-D78)/D74/((1+G74)^W76)</f>
        <v>1.1690699999999996</v>
      </c>
      <c r="X80" s="33">
        <f>D80*(1-D78)/D74/((1+G74)^X76)</f>
        <v>1.1690699999999996</v>
      </c>
      <c r="Y80" s="33">
        <f>D80*(1-D78)/D74/((1+G74)^Y76)</f>
        <v>1.1690699999999996</v>
      </c>
      <c r="Z80" s="33">
        <f>D80*(1-D78)/D74/((1+G74)^Z76)</f>
        <v>1.1690699999999996</v>
      </c>
      <c r="AA80" s="33">
        <f>D80*(1-D78)/D74/((1+G74)^AA76)</f>
        <v>1.1690699999999996</v>
      </c>
    </row>
    <row r="81" spans="2:27" outlineLevel="1" x14ac:dyDescent="0.3">
      <c r="C81" s="18" t="s">
        <v>29</v>
      </c>
      <c r="D81" s="29">
        <v>0.35980000000000001</v>
      </c>
      <c r="F81" s="6" t="s">
        <v>17</v>
      </c>
      <c r="G81" s="33">
        <f>SUM(H82:AA82)</f>
        <v>4.8000000000000025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spans="2:27" outlineLevel="1" x14ac:dyDescent="0.3">
      <c r="C82" s="18" t="s">
        <v>30</v>
      </c>
      <c r="D82" s="31">
        <v>0.69</v>
      </c>
      <c r="F82" s="7" t="s">
        <v>18</v>
      </c>
      <c r="G82" s="33"/>
      <c r="H82" s="33">
        <f>D77*D56/((1+G74)^H76)</f>
        <v>0.24</v>
      </c>
      <c r="I82" s="33">
        <f>D77*D56/((1+G74)^I76)</f>
        <v>0.24</v>
      </c>
      <c r="J82" s="33">
        <f>D77*D56/((1+G74)^J76)</f>
        <v>0.24</v>
      </c>
      <c r="K82" s="33">
        <f>D77*D56/((1+G74)^K76)</f>
        <v>0.24</v>
      </c>
      <c r="L82" s="33">
        <f>D77*D56/((1+G74)^L76)</f>
        <v>0.24</v>
      </c>
      <c r="M82" s="33">
        <f>D77*D56/((1+G74)^M76)</f>
        <v>0.24</v>
      </c>
      <c r="N82" s="33">
        <f>D77*D56/((1+G74)^N76)</f>
        <v>0.24</v>
      </c>
      <c r="O82" s="33">
        <f>D77*D56/((1+G74)^O76)</f>
        <v>0.24</v>
      </c>
      <c r="P82" s="33">
        <f>D77*D56/((1+G74)^P76)</f>
        <v>0.24</v>
      </c>
      <c r="Q82" s="33">
        <f>D77*D56/((1+G74)^Q76)</f>
        <v>0.24</v>
      </c>
      <c r="R82" s="33">
        <f>D77*D56/((1+G74)^R76)</f>
        <v>0.24</v>
      </c>
      <c r="S82" s="33">
        <f>D77*D56/((1+G74)^S76)</f>
        <v>0.24</v>
      </c>
      <c r="T82" s="33">
        <f>D77*D56/((1+G74)^T76)</f>
        <v>0.24</v>
      </c>
      <c r="U82" s="33">
        <f>D77*D56/((1+G74)^U76)</f>
        <v>0.24</v>
      </c>
      <c r="V82" s="33">
        <f>D77*D56/((1+G74)^V76)</f>
        <v>0.24</v>
      </c>
      <c r="W82" s="33">
        <f>D77*D56/((1+G74)^W76)</f>
        <v>0.24</v>
      </c>
      <c r="X82" s="33">
        <f>D77*D56/((1+G74)^X76)</f>
        <v>0.24</v>
      </c>
      <c r="Y82" s="33">
        <f>D77*D56/((1+G74)^Y76)</f>
        <v>0.24</v>
      </c>
      <c r="Z82" s="33">
        <f>D77*D56/((1+G74)^Z76)</f>
        <v>0.24</v>
      </c>
      <c r="AA82" s="33">
        <f>D77*D56/((1+G74)^AA76)</f>
        <v>0.24</v>
      </c>
    </row>
    <row r="83" spans="2:27" outlineLevel="1" x14ac:dyDescent="0.3">
      <c r="C83" s="18" t="s">
        <v>70</v>
      </c>
      <c r="D83" s="32">
        <f>分布式光伏电站IRR汇总!$B$27</f>
        <v>1</v>
      </c>
      <c r="F83" s="6" t="s">
        <v>19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>
        <f>D77*D80/((1+G74)^AA76)</f>
        <v>0.9844799999999998</v>
      </c>
    </row>
    <row r="84" spans="2:27" outlineLevel="1" x14ac:dyDescent="0.3">
      <c r="C84" s="18" t="s">
        <v>69</v>
      </c>
      <c r="D84" s="31">
        <f>D83*D82</f>
        <v>0.69</v>
      </c>
      <c r="F84" s="8" t="s">
        <v>64</v>
      </c>
      <c r="G84" s="33">
        <f>SUM(H85:AA85)</f>
        <v>156165.12979648603</v>
      </c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spans="2:27" outlineLevel="1" x14ac:dyDescent="0.3">
      <c r="C85" s="18" t="s">
        <v>31</v>
      </c>
      <c r="D85" s="27">
        <v>0</v>
      </c>
      <c r="F85" s="9" t="s">
        <v>65</v>
      </c>
      <c r="G85" s="33"/>
      <c r="H85" s="33">
        <f>D56*D73*(1-D75)*D79/((1+G74)^H76)</f>
        <v>8147.3279999999986</v>
      </c>
      <c r="I85" s="33">
        <f>D56*D73*(1-D75)*(1-D76)^(I76-1)*D79/((1+G74)^I76)</f>
        <v>8110.665023999999</v>
      </c>
      <c r="J85" s="33">
        <f>D56*D73*(1-D75)*(1-D76)^(J76-1)*D79/((1+G74)^J76)</f>
        <v>8074.1670313919994</v>
      </c>
      <c r="K85" s="33">
        <f>D56*D73*(1-D75)*(1-D76)^(K76-1)*D79/((1+G74)^K76)</f>
        <v>8037.8332797507373</v>
      </c>
      <c r="L85" s="33">
        <f>D56*D73*(1-D75)*(1-D76)^(L76-1)*D79/((1+G74)^L76)</f>
        <v>8001.6630299918588</v>
      </c>
      <c r="M85" s="33">
        <f>D56*D73*(1-D75)*(1-D76)^(M76-1)*D79/((1+G74)^M76)</f>
        <v>7965.6555463568966</v>
      </c>
      <c r="N85" s="33">
        <f>D56*D73*(1-D75)*(1-D76)^(N76-1)*D79/((1+G74)^N76)</f>
        <v>7929.8100963982906</v>
      </c>
      <c r="O85" s="33">
        <f>D56*D73*(1-D75)*(1-D76)^(O76-1)*D79/((1+G74)^O76)</f>
        <v>7894.1259509644979</v>
      </c>
      <c r="P85" s="33">
        <f>D56*D73*(1-D75)*(1-D76)^(P76-1)*D79/((1+G74)^P76)</f>
        <v>7858.6023841851584</v>
      </c>
      <c r="Q85" s="33">
        <f>D56*D73*(1-D75)*(1-D76)^(Q76-1)*D79/((1+G74)^Q76)</f>
        <v>7823.2386734563261</v>
      </c>
      <c r="R85" s="33">
        <f>D56*D73*(1-D75)*(1-D76)^(R76-1)*D79/((1+G74)^R76)</f>
        <v>7788.034099425774</v>
      </c>
      <c r="S85" s="33">
        <f>D56*D73*(1-D75)*(1-D76)^(S76-1)*D79/((1+G74)^S76)</f>
        <v>7752.9879459783569</v>
      </c>
      <c r="T85" s="33">
        <f>D56*D73*(1-D75)*(1-D76)^(T76-1)*D79/((1+G74)^T76)</f>
        <v>7718.0995002214559</v>
      </c>
      <c r="U85" s="33">
        <f>D56*D73*(1-D75)*(1-D76)^(U76-1)*D79/((1+G74)^U76)</f>
        <v>7683.3680524704587</v>
      </c>
      <c r="V85" s="33">
        <f>D56*D73*(1-D75)*(1-D76)^(V76-1)*D79/((1+G74)^V76)</f>
        <v>7648.7928962343422</v>
      </c>
      <c r="W85" s="33">
        <f>D56*D73*(1-D75)*(1-D76)^(W76-1)*D79/((1+G74)^W76)</f>
        <v>7614.373328201289</v>
      </c>
      <c r="X85" s="33">
        <f>D56*D73*(1-D75)*(1-D76)^(X76-1)*D79/((1+G74)^X76)</f>
        <v>7580.1086482243836</v>
      </c>
      <c r="Y85" s="33">
        <f>D56*D73*(1-D75)*(1-D76)^(Y76-1)*D79/((1+G74)^Y76)</f>
        <v>7545.9981593073735</v>
      </c>
      <c r="Z85" s="33">
        <f>D56*D73*(1-D75)*(1-D76)^(Z76-1)*D79/((1+G74)^Z76)</f>
        <v>7512.0411675904916</v>
      </c>
      <c r="AA85" s="33">
        <f>D56*D73*(1-D75)*(1-D76)^(AA76-1)*D79/((1+G74)^AA76)</f>
        <v>7478.2369823363351</v>
      </c>
    </row>
    <row r="86" spans="2:27" outlineLevel="1" x14ac:dyDescent="0.3">
      <c r="F86" s="4" t="s">
        <v>66</v>
      </c>
      <c r="G86" s="33">
        <f>SUM(H87:AA87)</f>
        <v>107.75393955957534</v>
      </c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spans="2:27" outlineLevel="1" x14ac:dyDescent="0.3">
      <c r="F87" s="7" t="s">
        <v>67</v>
      </c>
      <c r="G87" s="33"/>
      <c r="H87" s="33">
        <f>H85*D84/1000</f>
        <v>5.6216563199999978</v>
      </c>
      <c r="I87" s="33">
        <f>I85*D84/1000</f>
        <v>5.5963588665599993</v>
      </c>
      <c r="J87" s="33">
        <f>J85*D84/1000</f>
        <v>5.5711752516604793</v>
      </c>
      <c r="K87" s="33">
        <f>K85*D84/1000</f>
        <v>5.5461049630280082</v>
      </c>
      <c r="L87" s="33">
        <f>L85*D84/1000</f>
        <v>5.521147490694382</v>
      </c>
      <c r="M87" s="33">
        <f>M85*D84/1000</f>
        <v>5.4963023269862576</v>
      </c>
      <c r="N87" s="33">
        <f>N85*D84/1000</f>
        <v>5.4715689665148206</v>
      </c>
      <c r="O87" s="33">
        <f>O85*D84/1000</f>
        <v>5.4469469061655023</v>
      </c>
      <c r="P87" s="33">
        <f>P85*D84/1000</f>
        <v>5.4224356450877584</v>
      </c>
      <c r="Q87" s="33">
        <f>Q85*D84/1000</f>
        <v>5.3980346846848644</v>
      </c>
      <c r="R87" s="33">
        <f>R85*D84/1000</f>
        <v>5.3737435286037831</v>
      </c>
      <c r="S87" s="33">
        <f>S85*D84/1000</f>
        <v>5.3495616827250663</v>
      </c>
      <c r="T87" s="33">
        <f>T85*D84/1000</f>
        <v>5.325488655152804</v>
      </c>
      <c r="U87" s="33">
        <f>U85*D84/1000</f>
        <v>5.3015239562046164</v>
      </c>
      <c r="V87" s="33">
        <f>V85*D84/1000</f>
        <v>5.2776670984016958</v>
      </c>
      <c r="W87" s="33">
        <f>W85*D84/1000</f>
        <v>5.2539175964588898</v>
      </c>
      <c r="X87" s="33">
        <f>X85*D84/1000</f>
        <v>5.2302749672748243</v>
      </c>
      <c r="Y87" s="33">
        <f>Y85*D84/1000</f>
        <v>5.2067387299220869</v>
      </c>
      <c r="Z87" s="33">
        <f>Z85*D84/1000</f>
        <v>5.1833084056374394</v>
      </c>
      <c r="AA87" s="33">
        <f>AA85*D84/1000</f>
        <v>5.159983517812071</v>
      </c>
    </row>
    <row r="88" spans="2:27" outlineLevel="1" x14ac:dyDescent="0.3">
      <c r="F88" s="4" t="s">
        <v>20</v>
      </c>
      <c r="G88" s="33">
        <f>SUM(H89:AA89)</f>
        <v>19.893134889893837</v>
      </c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spans="2:27" outlineLevel="1" x14ac:dyDescent="0.3">
      <c r="F89" s="7" t="s">
        <v>21</v>
      </c>
      <c r="G89" s="33"/>
      <c r="H89" s="33">
        <f>(H87-H80-H82)*G75</f>
        <v>1.0531465799999995</v>
      </c>
      <c r="I89" s="33">
        <f>(I87-I80-I82)*G75</f>
        <v>1.0468222166399999</v>
      </c>
      <c r="J89" s="33">
        <f>(J87-J80-J82)*G75</f>
        <v>1.0405263129151199</v>
      </c>
      <c r="K89" s="33">
        <f>(K87-K80-K82)*G75</f>
        <v>1.0342587407570021</v>
      </c>
      <c r="L89" s="33">
        <f>(L87-L80-L82)*G75</f>
        <v>1.0280193726735956</v>
      </c>
      <c r="M89" s="33">
        <f>(M87-M80-M82)*G75</f>
        <v>1.0218080817465645</v>
      </c>
      <c r="N89" s="33">
        <f>(N87-N80-N82)*G75</f>
        <v>1.0156247416287052</v>
      </c>
      <c r="O89" s="33">
        <f>(O87-O80-O82)*G75</f>
        <v>1.0094692265413756</v>
      </c>
      <c r="P89" s="33">
        <f>(P87-P80-P82)*G75</f>
        <v>1.0033414112719397</v>
      </c>
      <c r="Q89" s="33">
        <f>(Q87-Q80-Q82)*G75</f>
        <v>0.99724117117121613</v>
      </c>
      <c r="R89" s="33">
        <f>(R87-R80-R82)*G75</f>
        <v>0.99116838215094583</v>
      </c>
      <c r="S89" s="33">
        <f>(S87-S80-S82)*G75</f>
        <v>0.98512292068126661</v>
      </c>
      <c r="T89" s="33">
        <f>(T87-T80-T82)*G75</f>
        <v>0.97910466378820105</v>
      </c>
      <c r="U89" s="33">
        <f>(U87-U80-U82)*G75</f>
        <v>0.97311348905115413</v>
      </c>
      <c r="V89" s="33">
        <f>(V87-V80-V82)*G75</f>
        <v>0.96714927460042399</v>
      </c>
      <c r="W89" s="33">
        <f>(W87-W80-W82)*G75</f>
        <v>0.96121189911472249</v>
      </c>
      <c r="X89" s="33">
        <f>(X87-X80-X82)*G75</f>
        <v>0.95530124181870613</v>
      </c>
      <c r="Y89" s="33">
        <f>(Y87-Y80-Y82)*G75</f>
        <v>0.94941718248052176</v>
      </c>
      <c r="Z89" s="33">
        <f>(Z87-Z80-Z82)*G75</f>
        <v>0.9435596014093599</v>
      </c>
      <c r="AA89" s="33">
        <f>(AA87-AA80-AA82)*G75</f>
        <v>0.93772837945301779</v>
      </c>
    </row>
    <row r="90" spans="2:27" outlineLevel="1" x14ac:dyDescent="0.3">
      <c r="F90" s="10" t="s">
        <v>22</v>
      </c>
      <c r="G90" s="33">
        <f>-G78</f>
        <v>-24.611999999999995</v>
      </c>
      <c r="H90" s="33">
        <f>H87-H89-H82</f>
        <v>4.3285097399999977</v>
      </c>
      <c r="I90" s="33">
        <f t="shared" ref="I90:AA90" si="3">I87-I89-I82</f>
        <v>4.3095366499199992</v>
      </c>
      <c r="J90" s="33">
        <f t="shared" si="3"/>
        <v>4.2906489387453597</v>
      </c>
      <c r="K90" s="33">
        <f t="shared" si="3"/>
        <v>4.2718462222710061</v>
      </c>
      <c r="L90" s="33">
        <f t="shared" si="3"/>
        <v>4.2531281180207863</v>
      </c>
      <c r="M90" s="33">
        <f t="shared" si="3"/>
        <v>4.2344942452396932</v>
      </c>
      <c r="N90" s="33">
        <f t="shared" si="3"/>
        <v>4.2159442248861154</v>
      </c>
      <c r="O90" s="33">
        <f t="shared" si="3"/>
        <v>4.1974776796241269</v>
      </c>
      <c r="P90" s="33">
        <f t="shared" si="3"/>
        <v>4.1790942338158183</v>
      </c>
      <c r="Q90" s="33">
        <f t="shared" si="3"/>
        <v>4.1607935135136476</v>
      </c>
      <c r="R90" s="33">
        <f t="shared" si="3"/>
        <v>4.1425751464528373</v>
      </c>
      <c r="S90" s="33">
        <f t="shared" si="3"/>
        <v>4.1244387620437992</v>
      </c>
      <c r="T90" s="33">
        <f t="shared" si="3"/>
        <v>4.106383991364603</v>
      </c>
      <c r="U90" s="33">
        <f t="shared" si="3"/>
        <v>4.0884104671534622</v>
      </c>
      <c r="V90" s="33">
        <f t="shared" si="3"/>
        <v>4.0705178238012714</v>
      </c>
      <c r="W90" s="33">
        <f t="shared" si="3"/>
        <v>4.0527056973441669</v>
      </c>
      <c r="X90" s="33">
        <f t="shared" si="3"/>
        <v>4.0349737254561182</v>
      </c>
      <c r="Y90" s="33">
        <f t="shared" si="3"/>
        <v>4.0173215474415649</v>
      </c>
      <c r="Z90" s="33">
        <f t="shared" si="3"/>
        <v>3.9997488042280791</v>
      </c>
      <c r="AA90" s="33">
        <f t="shared" si="3"/>
        <v>3.9822551383590525</v>
      </c>
    </row>
    <row r="91" spans="2:27" ht="13.5" outlineLevel="1" thickBot="1" x14ac:dyDescent="0.35">
      <c r="F91" s="3" t="s">
        <v>68</v>
      </c>
      <c r="G91" s="40">
        <f>IRR(G90:AA90)</f>
        <v>0.16372554437432218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2:27" ht="13.5" thickTop="1" x14ac:dyDescent="0.3"/>
    <row r="93" spans="2:27" x14ac:dyDescent="0.3">
      <c r="B93" s="11" t="s">
        <v>182</v>
      </c>
      <c r="C93" s="11" t="s">
        <v>52</v>
      </c>
    </row>
    <row r="94" spans="2:27" x14ac:dyDescent="0.3">
      <c r="C94" s="11" t="s">
        <v>141</v>
      </c>
      <c r="D94" s="54">
        <f>D125</f>
        <v>1300</v>
      </c>
    </row>
    <row r="95" spans="2:27" x14ac:dyDescent="0.3">
      <c r="C95" s="16" t="s">
        <v>78</v>
      </c>
      <c r="D95" s="37">
        <f>(G124+G127+G134)/G130*1000</f>
        <v>0.3487761293206702</v>
      </c>
    </row>
    <row r="96" spans="2:27" x14ac:dyDescent="0.3">
      <c r="C96" s="13" t="s">
        <v>77</v>
      </c>
      <c r="D96" s="39">
        <f>(G105+G108+G115)/G111*1000</f>
        <v>0.5021326827155651</v>
      </c>
    </row>
    <row r="97" spans="3:27" x14ac:dyDescent="0.3">
      <c r="C97" s="13" t="s">
        <v>61</v>
      </c>
      <c r="D97" s="36">
        <f>G118</f>
        <v>0.47546146002034961</v>
      </c>
    </row>
    <row r="98" spans="3:27" x14ac:dyDescent="0.3">
      <c r="C98" s="13" t="s">
        <v>73</v>
      </c>
      <c r="D98" s="25">
        <f>SUM(G117:AA117)</f>
        <v>11.702057454020842</v>
      </c>
      <c r="F98" s="11">
        <f>F99/G111*1000</f>
        <v>0.5021326827155651</v>
      </c>
    </row>
    <row r="99" spans="3:27" ht="13.5" thickBot="1" x14ac:dyDescent="0.35">
      <c r="C99" s="23" t="s">
        <v>68</v>
      </c>
      <c r="D99" s="26">
        <f>G137</f>
        <v>0.12743037080225639</v>
      </c>
      <c r="F99" s="20">
        <f>G105+G108+G115</f>
        <v>34.081655666770196</v>
      </c>
    </row>
    <row r="100" spans="3:27" ht="13.5" outlineLevel="1" thickTop="1" x14ac:dyDescent="0.3">
      <c r="E100" s="20"/>
      <c r="F100" s="38" t="s">
        <v>75</v>
      </c>
    </row>
    <row r="101" spans="3:27" outlineLevel="1" x14ac:dyDescent="0.3">
      <c r="C101" s="11" t="s">
        <v>71</v>
      </c>
      <c r="F101" s="13" t="s">
        <v>25</v>
      </c>
      <c r="G101" s="14">
        <v>7.0000000000000007E-2</v>
      </c>
    </row>
    <row r="102" spans="3:27" outlineLevel="1" x14ac:dyDescent="0.3">
      <c r="C102" s="18" t="s">
        <v>53</v>
      </c>
      <c r="D102" s="19">
        <f>分布式光伏电站IRR汇总!$B$2</f>
        <v>6</v>
      </c>
      <c r="F102" s="13" t="s">
        <v>26</v>
      </c>
      <c r="G102" s="14">
        <v>0.25</v>
      </c>
    </row>
    <row r="103" spans="3:27" outlineLevel="1" x14ac:dyDescent="0.3">
      <c r="C103" s="18" t="s">
        <v>56</v>
      </c>
      <c r="D103" s="19">
        <f>分布式光伏电站IRR汇总!$B$3</f>
        <v>120</v>
      </c>
      <c r="F103" s="1" t="s">
        <v>44</v>
      </c>
      <c r="G103" s="4"/>
      <c r="H103" s="5">
        <v>1</v>
      </c>
      <c r="I103" s="5">
        <v>2</v>
      </c>
      <c r="J103" s="5">
        <v>3</v>
      </c>
      <c r="K103" s="5">
        <v>4</v>
      </c>
      <c r="L103" s="5">
        <v>5</v>
      </c>
      <c r="M103" s="5">
        <v>6</v>
      </c>
      <c r="N103" s="5">
        <v>7</v>
      </c>
      <c r="O103" s="5">
        <v>8</v>
      </c>
      <c r="P103" s="5">
        <v>9</v>
      </c>
      <c r="Q103" s="5">
        <v>10</v>
      </c>
      <c r="R103" s="5">
        <v>11</v>
      </c>
      <c r="S103" s="5">
        <v>12</v>
      </c>
      <c r="T103" s="5">
        <v>13</v>
      </c>
      <c r="U103" s="5">
        <v>14</v>
      </c>
      <c r="V103" s="5">
        <v>15</v>
      </c>
      <c r="W103" s="5">
        <v>16</v>
      </c>
      <c r="X103" s="5">
        <v>17</v>
      </c>
      <c r="Y103" s="5">
        <v>18</v>
      </c>
      <c r="Z103" s="5">
        <v>19</v>
      </c>
      <c r="AA103" s="5">
        <v>20</v>
      </c>
    </row>
    <row r="104" spans="3:27" outlineLevel="1" x14ac:dyDescent="0.3">
      <c r="C104" s="18" t="s">
        <v>57</v>
      </c>
      <c r="D104" s="19">
        <f>分布式光伏电站IRR汇总!$B$4</f>
        <v>3</v>
      </c>
      <c r="F104" s="16"/>
      <c r="G104" s="2" t="s">
        <v>0</v>
      </c>
      <c r="H104" s="2" t="s">
        <v>1</v>
      </c>
      <c r="I104" s="2" t="s">
        <v>2</v>
      </c>
      <c r="J104" s="2" t="s">
        <v>3</v>
      </c>
      <c r="K104" s="2" t="s">
        <v>4</v>
      </c>
      <c r="L104" s="2" t="s">
        <v>5</v>
      </c>
      <c r="M104" s="2" t="s">
        <v>6</v>
      </c>
      <c r="N104" s="2" t="s">
        <v>7</v>
      </c>
      <c r="O104" s="2" t="s">
        <v>8</v>
      </c>
      <c r="P104" s="2" t="s">
        <v>9</v>
      </c>
      <c r="Q104" s="2" t="s">
        <v>10</v>
      </c>
      <c r="R104" s="2" t="s">
        <v>11</v>
      </c>
      <c r="S104" s="2" t="s">
        <v>12</v>
      </c>
      <c r="T104" s="2" t="s">
        <v>13</v>
      </c>
      <c r="U104" s="2" t="s">
        <v>45</v>
      </c>
      <c r="V104" s="2" t="s">
        <v>46</v>
      </c>
      <c r="W104" s="2" t="s">
        <v>47</v>
      </c>
      <c r="X104" s="2" t="s">
        <v>48</v>
      </c>
      <c r="Y104" s="2" t="s">
        <v>49</v>
      </c>
      <c r="Z104" s="2" t="s">
        <v>50</v>
      </c>
      <c r="AA104" s="2" t="s">
        <v>127</v>
      </c>
    </row>
    <row r="105" spans="3:27" outlineLevel="1" x14ac:dyDescent="0.3">
      <c r="C105" s="18" t="s">
        <v>54</v>
      </c>
      <c r="D105" s="19">
        <f>分布式光伏电站IRR汇总!$B$5</f>
        <v>5</v>
      </c>
      <c r="F105" s="6" t="s">
        <v>14</v>
      </c>
      <c r="G105" s="33">
        <f>D126</f>
        <v>24.611999999999995</v>
      </c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spans="3:27" outlineLevel="1" x14ac:dyDescent="0.3">
      <c r="C106" s="18" t="s">
        <v>55</v>
      </c>
      <c r="D106" s="19">
        <f>分布式光伏电站IRR汇总!$B$6</f>
        <v>15</v>
      </c>
      <c r="F106" s="6" t="s">
        <v>15</v>
      </c>
      <c r="G106" s="33">
        <f>SUM(H107:AA107)</f>
        <v>12.385144234005573</v>
      </c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spans="3:27" outlineLevel="1" x14ac:dyDescent="0.3">
      <c r="C107" s="18" t="s">
        <v>42</v>
      </c>
      <c r="D107" s="19">
        <f>分布式光伏电站IRR汇总!$B$7</f>
        <v>4.1019999999999994</v>
      </c>
      <c r="F107" s="7" t="s">
        <v>16</v>
      </c>
      <c r="G107" s="33"/>
      <c r="H107" s="33">
        <f>D126*(1-D124)/D120/((1+G101)^H103)</f>
        <v>1.0925887850467286</v>
      </c>
      <c r="I107" s="33">
        <f>D126*(1-D124)/D120/((1+G101)^I103)</f>
        <v>1.0211110140623632</v>
      </c>
      <c r="J107" s="33">
        <f>D126*(1-D124)/D120/((1+G101)^J103)</f>
        <v>0.95430935893678792</v>
      </c>
      <c r="K107" s="33">
        <f>D126*(1-D124)/D120/((1+G101)^K103)</f>
        <v>0.89187790554839996</v>
      </c>
      <c r="L107" s="33">
        <f>D126*(1-D124)/D120/((1+G101)^L103)</f>
        <v>0.83353075284897193</v>
      </c>
      <c r="M107" s="33">
        <f>D126*(1-D124)/D120/((1+G101)^M103)</f>
        <v>0.77900070359717</v>
      </c>
      <c r="N107" s="33">
        <f>D126*(1-D124)/D120/((1+G101)^N103)</f>
        <v>0.72803804074501866</v>
      </c>
      <c r="O107" s="33">
        <f>D126*(1-D124)/D120/((1+G101)^O103)</f>
        <v>0.6804093838738493</v>
      </c>
      <c r="P107" s="33">
        <f>D126*(1-D124)/D120/((1+G101)^P103)</f>
        <v>0.63589662044284967</v>
      </c>
      <c r="Q107" s="33">
        <f>D126*(1-D124)/D120/((1+G101)^Q103)</f>
        <v>0.59429590695593437</v>
      </c>
      <c r="R107" s="33">
        <f>D126*(1-D124)/D120/((1+G101)^R103)</f>
        <v>0.55541673547283577</v>
      </c>
      <c r="S107" s="33">
        <f>D126*(1-D124)/D120/((1+G101)^S103)</f>
        <v>0.51908106118956621</v>
      </c>
      <c r="T107" s="33">
        <f>D126*(1-D124)/D120/((1+G101)^T103)</f>
        <v>0.4851224870930525</v>
      </c>
      <c r="U107" s="33">
        <f>D126*(1-D124)/D120/((1+G101)^U103)</f>
        <v>0.45338550195612387</v>
      </c>
      <c r="V107" s="33">
        <f>D126*(1-D124)/D120/((1+G101)^V103)</f>
        <v>0.4237247681832933</v>
      </c>
      <c r="W107" s="33">
        <f>D126*(1-D124)/D120/((1+G101)^W103)</f>
        <v>0.39600445624606856</v>
      </c>
      <c r="X107" s="33">
        <f>D126*(1-D124)/D120/((1+G101)^X103)</f>
        <v>0.37009762265987711</v>
      </c>
      <c r="Y107" s="33">
        <f>D126*(1-D124)/D120/((1+G101)^Y103)</f>
        <v>0.34588562865409078</v>
      </c>
      <c r="Z107" s="33">
        <f>D126*(1-D124)/D120/((1+G101)^Z103)</f>
        <v>0.323257596872982</v>
      </c>
      <c r="AA107" s="33">
        <f>D126*(1-D124)/D120/((1+G101)^AA103)</f>
        <v>0.30210990361960938</v>
      </c>
    </row>
    <row r="108" spans="3:27" outlineLevel="1" x14ac:dyDescent="0.3">
      <c r="C108" s="21" t="s">
        <v>32</v>
      </c>
      <c r="D108" s="19">
        <f>分布式光伏电站IRR汇总!$B$8</f>
        <v>1.8870000000000002</v>
      </c>
      <c r="F108" s="6" t="s">
        <v>17</v>
      </c>
      <c r="G108" s="33">
        <f>SUM(H109:AA109)</f>
        <v>2.5425634189238777</v>
      </c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spans="3:27" outlineLevel="1" x14ac:dyDescent="0.3">
      <c r="C109" s="21" t="s">
        <v>33</v>
      </c>
      <c r="D109" s="19">
        <f>分布式光伏电站IRR汇总!$B$9</f>
        <v>0.18500000000000003</v>
      </c>
      <c r="F109" s="7" t="s">
        <v>18</v>
      </c>
      <c r="G109" s="33"/>
      <c r="H109" s="33">
        <f>D123*D102/((1+G101)^H103)</f>
        <v>0.22429906542056072</v>
      </c>
      <c r="I109" s="33">
        <f>D123*D102/((1+G101)^I103)</f>
        <v>0.20962529478557079</v>
      </c>
      <c r="J109" s="33">
        <f>D123*D102/((1+G101)^J103)</f>
        <v>0.19591149045380446</v>
      </c>
      <c r="K109" s="33">
        <f>D123*D102/((1+G101)^K103)</f>
        <v>0.18309485089140604</v>
      </c>
      <c r="L109" s="33">
        <f>D123*D102/((1+G101)^L103)</f>
        <v>0.17111668307608041</v>
      </c>
      <c r="M109" s="33">
        <f>D123*D102/((1+G101)^M103)</f>
        <v>0.15992213371596301</v>
      </c>
      <c r="N109" s="33">
        <f>D123*D102/((1+G101)^N103)</f>
        <v>0.14945993805230187</v>
      </c>
      <c r="O109" s="33">
        <f>D123*D102/((1+G101)^O103)</f>
        <v>0.13968218509560923</v>
      </c>
      <c r="P109" s="33">
        <f>D123*D102/((1+G101)^P103)</f>
        <v>0.13054409822019553</v>
      </c>
      <c r="Q109" s="33">
        <f>D123*D102/((1+G101)^Q103)</f>
        <v>0.12200383011233226</v>
      </c>
      <c r="R109" s="33">
        <f>D123*D102/((1+G101)^R103)</f>
        <v>0.1140222711330208</v>
      </c>
      <c r="S109" s="33">
        <f>D123*D102/((1+G101)^S103)</f>
        <v>0.10656287021777647</v>
      </c>
      <c r="T109" s="33">
        <f>D123*D102/((1+G101)^T103)</f>
        <v>9.9591467493249028E-2</v>
      </c>
      <c r="U109" s="33">
        <f>D123*D102/((1+G101)^U103)</f>
        <v>9.3076137844157969E-2</v>
      </c>
      <c r="V109" s="33">
        <f>D123*D102/((1+G101)^V103)</f>
        <v>8.6987044714166323E-2</v>
      </c>
      <c r="W109" s="33">
        <f>D123*D102/((1+G101)^W103)</f>
        <v>8.1296303471183481E-2</v>
      </c>
      <c r="X109" s="33">
        <f>D123*D102/((1+G101)^X103)</f>
        <v>7.5977853711386434E-2</v>
      </c>
      <c r="Y109" s="33">
        <f>D123*D102/((1+G101)^Y103)</f>
        <v>7.1007339917183582E-2</v>
      </c>
      <c r="Z109" s="33">
        <f>D123*D102/((1+G101)^Z103)</f>
        <v>6.6361999922601472E-2</v>
      </c>
      <c r="AA109" s="33">
        <f>D123*D102/((1+G101)^AA103)</f>
        <v>6.2020560675328483E-2</v>
      </c>
    </row>
    <row r="110" spans="3:27" outlineLevel="1" x14ac:dyDescent="0.3">
      <c r="C110" s="21" t="s">
        <v>34</v>
      </c>
      <c r="D110" s="19">
        <f>分布式光伏电站IRR汇总!$B$10</f>
        <v>0.222</v>
      </c>
      <c r="F110" s="6" t="s">
        <v>19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>
        <f>D123*D126/((1+G101)^AA103)</f>
        <v>0.2544083398901974</v>
      </c>
    </row>
    <row r="111" spans="3:27" outlineLevel="1" x14ac:dyDescent="0.3">
      <c r="C111" s="21" t="s">
        <v>35</v>
      </c>
      <c r="D111" s="19">
        <f>分布式光伏电站IRR汇总!$B$11</f>
        <v>0.44400000000000001</v>
      </c>
      <c r="F111" s="8" t="s">
        <v>64</v>
      </c>
      <c r="G111" s="33">
        <f>SUM(H112:AA112)</f>
        <v>67873.804753067365</v>
      </c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spans="3:27" outlineLevel="1" x14ac:dyDescent="0.3">
      <c r="C112" s="21" t="s">
        <v>36</v>
      </c>
      <c r="D112" s="19">
        <f>分布式光伏电站IRR汇总!$B$12</f>
        <v>0.222</v>
      </c>
      <c r="F112" s="9" t="s">
        <v>65</v>
      </c>
      <c r="G112" s="33"/>
      <c r="H112" s="33">
        <f>D102*D119*(1-D121)*D125/((1+G101)^H103)</f>
        <v>6186.6392523364475</v>
      </c>
      <c r="I112" s="33">
        <f>D102*D119*(1-D121)*(1-D122)^(I103-1)*D125/((1+G101)^I103)</f>
        <v>5755.8872670102191</v>
      </c>
      <c r="J112" s="33">
        <f>D102*D119*(1-D121)*(1-D122)^(J103-1)*D125/((1+G101)^J103)</f>
        <v>5355.1268918772639</v>
      </c>
      <c r="K112" s="33">
        <f>D102*D119*(1-D121)*(1-D122)^(K103-1)*D125/((1+G101)^K103)</f>
        <v>4982.2699260409508</v>
      </c>
      <c r="L112" s="33">
        <f>D102*D119*(1-D121)*(1-D122)^(L103-1)*D125/((1+G101)^L103)</f>
        <v>4635.3735620315574</v>
      </c>
      <c r="M112" s="33">
        <f>D102*D119*(1-D121)*(1-D122)^(M103-1)*D125/((1+G101)^M103)</f>
        <v>4312.63026261908</v>
      </c>
      <c r="N112" s="33">
        <f>D102*D119*(1-D121)*(1-D122)^(N103-1)*D125/((1+G101)^N103)</f>
        <v>4012.3583424647613</v>
      </c>
      <c r="O112" s="33">
        <f>D102*D119*(1-D121)*(1-D122)^(O103-1)*D125/((1+G101)^O103)</f>
        <v>3732.9932055361401</v>
      </c>
      <c r="P112" s="33">
        <f>D102*D119*(1-D121)*(1-D122)^(P103-1)*D125/((1+G101)^P103)</f>
        <v>3473.0791926273155</v>
      </c>
      <c r="Q112" s="33">
        <f>D102*D119*(1-D121)*(1-D122)^(Q103-1)*D125/((1+G101)^Q103)</f>
        <v>3231.2619965051335</v>
      </c>
      <c r="R112" s="33">
        <f>D102*D119*(1-D121)*(1-D122)^(R103-1)*D125/((1+G101)^R103)</f>
        <v>3006.2816051596824</v>
      </c>
      <c r="S112" s="33">
        <f>D102*D119*(1-D121)*(1-D122)^(S103-1)*D125/((1+G101)^S103)</f>
        <v>2796.9657363892193</v>
      </c>
      <c r="T112" s="33">
        <f>D102*D119*(1-D121)*(1-D122)^(T103-1)*D125/((1+G101)^T103)</f>
        <v>2602.223729509783</v>
      </c>
      <c r="U112" s="33">
        <f>D102*D119*(1-D121)*(1-D122)^(U103-1)*D125/((1+G101)^U103)</f>
        <v>2421.0408623616718</v>
      </c>
      <c r="V112" s="33">
        <f>D102*D119*(1-D121)*(1-D122)^(V103-1)*D125/((1+G101)^V103)</f>
        <v>2252.4730640009757</v>
      </c>
      <c r="W112" s="33">
        <f>D102*D119*(1-D121)*(1-D122)^(W103-1)*D125/((1+G101)^W103)</f>
        <v>2095.6419955261422</v>
      </c>
      <c r="X112" s="33">
        <f>D102*D119*(1-D121)*(1-D122)^(X103-1)*D125/((1+G101)^X103)</f>
        <v>1949.7304734077334</v>
      </c>
      <c r="Y112" s="33">
        <f>D102*D119*(1-D121)*(1-D122)^(Y103-1)*D125/((1+G101)^Y103)</f>
        <v>1813.978211474204</v>
      </c>
      <c r="Z112" s="33">
        <f>D102*D119*(1-D121)*(1-D122)^(Z103-1)*D125/((1+G101)^Z103)</f>
        <v>1687.6778593668882</v>
      </c>
      <c r="AA112" s="33">
        <f>D102*D119*(1-D121)*(1-D122)^(AA103-1)*D125/((1+G101)^AA103)</f>
        <v>1570.1713168221847</v>
      </c>
    </row>
    <row r="113" spans="3:27" outlineLevel="1" x14ac:dyDescent="0.3">
      <c r="C113" s="21" t="s">
        <v>37</v>
      </c>
      <c r="D113" s="19">
        <f>分布式光伏电站IRR汇总!$B$13</f>
        <v>0.15</v>
      </c>
      <c r="F113" s="4" t="s">
        <v>66</v>
      </c>
      <c r="G113" s="33">
        <f>SUM(H114:AA114)</f>
        <v>46.832925279616468</v>
      </c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spans="3:27" outlineLevel="1" x14ac:dyDescent="0.3">
      <c r="C114" s="21" t="s">
        <v>38</v>
      </c>
      <c r="D114" s="19">
        <f>分布式光伏电站IRR汇总!$B$14</f>
        <v>3.7000000000000005E-2</v>
      </c>
      <c r="F114" s="7" t="s">
        <v>67</v>
      </c>
      <c r="G114" s="33"/>
      <c r="H114" s="33">
        <f>H112*D130/1000</f>
        <v>4.2687810841121481</v>
      </c>
      <c r="I114" s="33">
        <f>I112*D130/1000</f>
        <v>3.9715622142370508</v>
      </c>
      <c r="J114" s="33">
        <f>J112*D130/1000</f>
        <v>3.6950375553953116</v>
      </c>
      <c r="K114" s="33">
        <f>K112*D130/1000</f>
        <v>3.4377662489682557</v>
      </c>
      <c r="L114" s="33">
        <f>L112*D130/1000</f>
        <v>3.1984077578017747</v>
      </c>
      <c r="M114" s="33">
        <f>M112*D130/1000</f>
        <v>2.975714881207165</v>
      </c>
      <c r="N114" s="33">
        <f>N112*D130/1000</f>
        <v>2.7685272563006853</v>
      </c>
      <c r="O114" s="33">
        <f>O112*D130/1000</f>
        <v>2.5757653118199366</v>
      </c>
      <c r="P114" s="33">
        <f>P112*D130/1000</f>
        <v>2.3964246429128475</v>
      </c>
      <c r="Q114" s="33">
        <f>Q112*D130/1000</f>
        <v>2.2295707775885423</v>
      </c>
      <c r="R114" s="33">
        <f>R112*D130/1000</f>
        <v>2.0743343075601808</v>
      </c>
      <c r="S114" s="33">
        <f>S112*D130/1000</f>
        <v>1.9299063581085611</v>
      </c>
      <c r="T114" s="33">
        <f>T112*D130/1000</f>
        <v>1.7955343733617501</v>
      </c>
      <c r="U114" s="33">
        <f>U112*D130/1000</f>
        <v>1.6705181950295533</v>
      </c>
      <c r="V114" s="33">
        <f>V112*D130/1000</f>
        <v>1.5542064141606731</v>
      </c>
      <c r="W114" s="33">
        <f>W112*D130/1000</f>
        <v>1.4459929769130382</v>
      </c>
      <c r="X114" s="33">
        <f>X112*D130/1000</f>
        <v>1.3453140266513359</v>
      </c>
      <c r="Y114" s="33">
        <f>Y112*D130/1000</f>
        <v>1.2516449659172009</v>
      </c>
      <c r="Z114" s="33">
        <f>Z112*D130/1000</f>
        <v>1.164497722963153</v>
      </c>
      <c r="AA114" s="33">
        <f>AA112*D130/1000</f>
        <v>1.0834182086073074</v>
      </c>
    </row>
    <row r="115" spans="3:27" outlineLevel="1" x14ac:dyDescent="0.3">
      <c r="C115" s="21" t="s">
        <v>39</v>
      </c>
      <c r="D115" s="19">
        <f>分布式光伏电站IRR汇总!$B$15</f>
        <v>0.25900000000000006</v>
      </c>
      <c r="F115" s="4" t="s">
        <v>20</v>
      </c>
      <c r="G115" s="33">
        <f>SUM(H116:V116)</f>
        <v>6.9270922478463248</v>
      </c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spans="3:27" outlineLevel="1" x14ac:dyDescent="0.3">
      <c r="C116" s="21" t="s">
        <v>40</v>
      </c>
      <c r="D116" s="19">
        <f>分布式光伏电站IRR汇总!$B$16</f>
        <v>7.400000000000001E-2</v>
      </c>
      <c r="F116" s="7" t="s">
        <v>21</v>
      </c>
      <c r="G116" s="33"/>
      <c r="H116" s="33">
        <f>(H114-H107-H109)*G102</f>
        <v>0.73797330841121467</v>
      </c>
      <c r="I116" s="33">
        <f>(I114-I107-I109)*G102</f>
        <v>0.68520647634727916</v>
      </c>
      <c r="J116" s="33">
        <f>(J114-J107-J109)*G102</f>
        <v>0.63620417650117989</v>
      </c>
      <c r="K116" s="33">
        <f>(K114-K107-K109)*G102</f>
        <v>0.59069837313211249</v>
      </c>
      <c r="L116" s="33">
        <f>(L114-L107-L109)*G102</f>
        <v>0.54844008046918047</v>
      </c>
      <c r="M116" s="33">
        <f>(M114-M107-M109)*G102</f>
        <v>0.50919801097350803</v>
      </c>
      <c r="N116" s="33">
        <f>(N114-N107-N109)*G102</f>
        <v>0.4727573193758412</v>
      </c>
      <c r="O116" s="33">
        <f>(O114-O107-O109)*G102</f>
        <v>0.43891843571261957</v>
      </c>
      <c r="P116" s="33">
        <f>(P114-P107-P109)*G102</f>
        <v>0.40749598106245055</v>
      </c>
      <c r="Q116" s="33">
        <f>(Q114-Q107-Q109)*G102</f>
        <v>0.3783177601300689</v>
      </c>
      <c r="R116" s="33">
        <f>(R114-R107-R109)*G102</f>
        <v>0.35122382523858109</v>
      </c>
      <c r="S116" s="33">
        <f>(S114-S107-S109)*G102</f>
        <v>0.3260656066753046</v>
      </c>
      <c r="T116" s="33">
        <f>(T114-T107-T109)*G102</f>
        <v>0.30270510469386219</v>
      </c>
      <c r="U116" s="33">
        <f>(U114-U107-U109)*G102</f>
        <v>0.28101413880731785</v>
      </c>
      <c r="V116" s="33">
        <f>(V114-V107-V109)*G102</f>
        <v>0.26087365031580334</v>
      </c>
      <c r="W116" s="33">
        <f>(W114-W107-W109)*G102</f>
        <v>0.24217305429894656</v>
      </c>
      <c r="X116" s="33">
        <f>(X114-X107-X109)*G102</f>
        <v>0.22480963757001809</v>
      </c>
      <c r="Y116" s="33">
        <f>(Y114-Y107-Y109)*G102</f>
        <v>0.20868799933648163</v>
      </c>
      <c r="Z116" s="33">
        <f>(Z114-Z107-Z109)*G102</f>
        <v>0.19371953154189236</v>
      </c>
      <c r="AA116" s="33">
        <f>(AA114-AA107-AA109)*G102</f>
        <v>0.17982193607809241</v>
      </c>
    </row>
    <row r="117" spans="3:27" outlineLevel="1" x14ac:dyDescent="0.3">
      <c r="C117" s="21" t="s">
        <v>41</v>
      </c>
      <c r="D117" s="19">
        <f>分布式光伏电站IRR汇总!$B$17</f>
        <v>0.222</v>
      </c>
      <c r="F117" s="10" t="s">
        <v>22</v>
      </c>
      <c r="G117" s="33">
        <f>-G105</f>
        <v>-24.611999999999995</v>
      </c>
      <c r="H117" s="33">
        <f t="shared" ref="H117:AA117" si="4">H114-H116-H109</f>
        <v>3.3065087102803727</v>
      </c>
      <c r="I117" s="33">
        <f t="shared" si="4"/>
        <v>3.0767304431042009</v>
      </c>
      <c r="J117" s="33">
        <f t="shared" si="4"/>
        <v>2.8629218884403276</v>
      </c>
      <c r="K117" s="33">
        <f t="shared" si="4"/>
        <v>2.6639730249447373</v>
      </c>
      <c r="L117" s="33">
        <f t="shared" si="4"/>
        <v>2.478850994256514</v>
      </c>
      <c r="M117" s="33">
        <f t="shared" si="4"/>
        <v>2.306594736517694</v>
      </c>
      <c r="N117" s="33">
        <f t="shared" si="4"/>
        <v>2.1463099988725425</v>
      </c>
      <c r="O117" s="33">
        <f t="shared" si="4"/>
        <v>1.997164691011708</v>
      </c>
      <c r="P117" s="33">
        <f t="shared" si="4"/>
        <v>1.8583845636302014</v>
      </c>
      <c r="Q117" s="33">
        <f t="shared" si="4"/>
        <v>1.7292491873461411</v>
      </c>
      <c r="R117" s="33">
        <f t="shared" si="4"/>
        <v>1.6090882111885789</v>
      </c>
      <c r="S117" s="33">
        <f t="shared" si="4"/>
        <v>1.4972778812154799</v>
      </c>
      <c r="T117" s="33">
        <f t="shared" si="4"/>
        <v>1.3932378011746389</v>
      </c>
      <c r="U117" s="33">
        <f t="shared" si="4"/>
        <v>1.2964279183780774</v>
      </c>
      <c r="V117" s="33">
        <f t="shared" si="4"/>
        <v>1.2063457191307034</v>
      </c>
      <c r="W117" s="33">
        <f t="shared" si="4"/>
        <v>1.122523619142908</v>
      </c>
      <c r="X117" s="33">
        <f t="shared" si="4"/>
        <v>1.0445265353699313</v>
      </c>
      <c r="Y117" s="33">
        <f t="shared" si="4"/>
        <v>0.97194962666353568</v>
      </c>
      <c r="Z117" s="33">
        <f t="shared" si="4"/>
        <v>0.90441619149865915</v>
      </c>
      <c r="AA117" s="33">
        <f t="shared" si="4"/>
        <v>0.84157571185388658</v>
      </c>
    </row>
    <row r="118" spans="3:27" ht="13.5" outlineLevel="1" thickBot="1" x14ac:dyDescent="0.35">
      <c r="C118" s="21" t="s">
        <v>74</v>
      </c>
      <c r="D118" s="19">
        <f>分布式光伏电站IRR汇总!$B$18</f>
        <v>0.4</v>
      </c>
      <c r="F118" s="3" t="s">
        <v>61</v>
      </c>
      <c r="G118" s="35">
        <f>SUM(G117:AA117)/G105</f>
        <v>0.47546146002034961</v>
      </c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3:27" ht="13.5" outlineLevel="1" thickTop="1" x14ac:dyDescent="0.3">
      <c r="C119" s="18" t="s">
        <v>58</v>
      </c>
      <c r="D119" s="19">
        <f>分布式光伏电站IRR汇总!$B$19</f>
        <v>0.86599999999999999</v>
      </c>
    </row>
    <row r="120" spans="3:27" outlineLevel="1" x14ac:dyDescent="0.3">
      <c r="C120" s="18" t="s">
        <v>62</v>
      </c>
      <c r="D120" s="19">
        <f>分布式光伏电站IRR汇总!$B$20</f>
        <v>20</v>
      </c>
      <c r="F120" s="13" t="s">
        <v>25</v>
      </c>
      <c r="G120" s="14">
        <v>0</v>
      </c>
    </row>
    <row r="121" spans="3:27" outlineLevel="1" x14ac:dyDescent="0.3">
      <c r="C121" s="18" t="s">
        <v>59</v>
      </c>
      <c r="D121" s="52">
        <f>分布式光伏电站IRR汇总!$B$21</f>
        <v>0.02</v>
      </c>
      <c r="F121" s="13" t="s">
        <v>26</v>
      </c>
      <c r="G121" s="14">
        <v>0.25</v>
      </c>
      <c r="Q121" s="15"/>
    </row>
    <row r="122" spans="3:27" outlineLevel="1" x14ac:dyDescent="0.3">
      <c r="C122" s="18" t="s">
        <v>60</v>
      </c>
      <c r="D122" s="52">
        <f>分布式光伏电站IRR汇总!$B$22</f>
        <v>4.4999999999999997E-3</v>
      </c>
      <c r="F122" s="1" t="s">
        <v>44</v>
      </c>
      <c r="G122" s="4"/>
      <c r="H122" s="5">
        <v>1</v>
      </c>
      <c r="I122" s="5">
        <v>2</v>
      </c>
      <c r="J122" s="5">
        <v>3</v>
      </c>
      <c r="K122" s="5">
        <v>4</v>
      </c>
      <c r="L122" s="5">
        <v>5</v>
      </c>
      <c r="M122" s="5">
        <v>6</v>
      </c>
      <c r="N122" s="5">
        <v>7</v>
      </c>
      <c r="O122" s="5">
        <v>8</v>
      </c>
      <c r="P122" s="5">
        <v>9</v>
      </c>
      <c r="Q122" s="5">
        <v>10</v>
      </c>
      <c r="R122" s="5">
        <v>11</v>
      </c>
      <c r="S122" s="5">
        <v>12</v>
      </c>
      <c r="T122" s="5">
        <v>13</v>
      </c>
      <c r="U122" s="5">
        <v>14</v>
      </c>
      <c r="V122" s="5">
        <v>15</v>
      </c>
      <c r="W122" s="5">
        <v>16</v>
      </c>
      <c r="X122" s="5">
        <v>17</v>
      </c>
      <c r="Y122" s="5">
        <v>18</v>
      </c>
      <c r="Z122" s="5">
        <v>19</v>
      </c>
      <c r="AA122" s="5">
        <v>20</v>
      </c>
    </row>
    <row r="123" spans="3:27" outlineLevel="1" x14ac:dyDescent="0.3">
      <c r="C123" s="18" t="s">
        <v>28</v>
      </c>
      <c r="D123" s="29">
        <f>分布式光伏电站IRR汇总!$B$23</f>
        <v>0.04</v>
      </c>
      <c r="F123" s="16"/>
      <c r="G123" s="2" t="s">
        <v>0</v>
      </c>
      <c r="H123" s="2" t="s">
        <v>1</v>
      </c>
      <c r="I123" s="2" t="s">
        <v>2</v>
      </c>
      <c r="J123" s="2" t="s">
        <v>3</v>
      </c>
      <c r="K123" s="2" t="s">
        <v>4</v>
      </c>
      <c r="L123" s="2" t="s">
        <v>5</v>
      </c>
      <c r="M123" s="2" t="s">
        <v>6</v>
      </c>
      <c r="N123" s="2" t="s">
        <v>7</v>
      </c>
      <c r="O123" s="2" t="s">
        <v>8</v>
      </c>
      <c r="P123" s="2" t="s">
        <v>9</v>
      </c>
      <c r="Q123" s="2" t="s">
        <v>10</v>
      </c>
      <c r="R123" s="2" t="s">
        <v>11</v>
      </c>
      <c r="S123" s="2" t="s">
        <v>12</v>
      </c>
      <c r="T123" s="2" t="s">
        <v>13</v>
      </c>
      <c r="U123" s="2" t="s">
        <v>45</v>
      </c>
      <c r="V123" s="2" t="s">
        <v>46</v>
      </c>
      <c r="W123" s="2" t="s">
        <v>47</v>
      </c>
      <c r="X123" s="2" t="s">
        <v>48</v>
      </c>
      <c r="Y123" s="2" t="s">
        <v>49</v>
      </c>
      <c r="Z123" s="2" t="s">
        <v>50</v>
      </c>
      <c r="AA123" s="2" t="s">
        <v>51</v>
      </c>
    </row>
    <row r="124" spans="3:27" outlineLevel="1" x14ac:dyDescent="0.3">
      <c r="C124" s="18" t="s">
        <v>43</v>
      </c>
      <c r="D124" s="19">
        <f>分布式光伏电站IRR汇总!$B$24</f>
        <v>0.05</v>
      </c>
      <c r="F124" s="6" t="s">
        <v>14</v>
      </c>
      <c r="G124" s="33">
        <f>D126</f>
        <v>24.611999999999995</v>
      </c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spans="3:27" outlineLevel="1" x14ac:dyDescent="0.3">
      <c r="C125" s="18" t="s">
        <v>126</v>
      </c>
      <c r="D125" s="28">
        <v>1300</v>
      </c>
      <c r="F125" s="6" t="s">
        <v>15</v>
      </c>
      <c r="G125" s="33">
        <f>SUM(H126:AA126)</f>
        <v>23.381399999999985</v>
      </c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spans="3:27" outlineLevel="1" x14ac:dyDescent="0.3">
      <c r="C126" s="24" t="s">
        <v>14</v>
      </c>
      <c r="D126" s="30">
        <f>D102*D107</f>
        <v>24.611999999999995</v>
      </c>
      <c r="F126" s="7" t="s">
        <v>16</v>
      </c>
      <c r="G126" s="33"/>
      <c r="H126" s="33">
        <f>D126*(1-D124)/D120/((1+G120)^H122)</f>
        <v>1.1690699999999996</v>
      </c>
      <c r="I126" s="33">
        <f>D126*(1-D124)/D120/((1+G120)^I122)</f>
        <v>1.1690699999999996</v>
      </c>
      <c r="J126" s="33">
        <f>D126*(1-D124)/D120/((1+G120)^J122)</f>
        <v>1.1690699999999996</v>
      </c>
      <c r="K126" s="33">
        <f>D126*(1-D124)/D120/((1+G120)^K122)</f>
        <v>1.1690699999999996</v>
      </c>
      <c r="L126" s="33">
        <f>D126*(1-D124)/D120/((1+G120)^L122)</f>
        <v>1.1690699999999996</v>
      </c>
      <c r="M126" s="33">
        <f>D126*(1-D124)/D120/((1+G120)^M122)</f>
        <v>1.1690699999999996</v>
      </c>
      <c r="N126" s="33">
        <f>D126*(1-D124)/D120/((1+G120)^N122)</f>
        <v>1.1690699999999996</v>
      </c>
      <c r="O126" s="33">
        <f>D126*(1-D124)/D120/((1+G120)^O122)</f>
        <v>1.1690699999999996</v>
      </c>
      <c r="P126" s="33">
        <f>D126*(1-D124)/D120/((1+G120)^P122)</f>
        <v>1.1690699999999996</v>
      </c>
      <c r="Q126" s="33">
        <f>D126*(1-D124)/D120/((1+G120)^Q122)</f>
        <v>1.1690699999999996</v>
      </c>
      <c r="R126" s="33">
        <f>D126*(1-D124)/D120/((1+G120)^R122)</f>
        <v>1.1690699999999996</v>
      </c>
      <c r="S126" s="33">
        <f>D126*(1-D124)/D120/((1+G120)^S122)</f>
        <v>1.1690699999999996</v>
      </c>
      <c r="T126" s="33">
        <f>D126*(1-D124)/D120/((1+G120)^T122)</f>
        <v>1.1690699999999996</v>
      </c>
      <c r="U126" s="33">
        <f>D126*(1-D124)/D120/((1+G120)^U122)</f>
        <v>1.1690699999999996</v>
      </c>
      <c r="V126" s="33">
        <f>D126*(1-D124)/D120/((1+G120)^V122)</f>
        <v>1.1690699999999996</v>
      </c>
      <c r="W126" s="33">
        <f>D126*(1-D124)/D120/((1+G120)^W122)</f>
        <v>1.1690699999999996</v>
      </c>
      <c r="X126" s="33">
        <f>D126*(1-D124)/D120/((1+G120)^X122)</f>
        <v>1.1690699999999996</v>
      </c>
      <c r="Y126" s="33">
        <f>D126*(1-D124)/D120/((1+G120)^Y122)</f>
        <v>1.1690699999999996</v>
      </c>
      <c r="Z126" s="33">
        <f>D126*(1-D124)/D120/((1+G120)^Z122)</f>
        <v>1.1690699999999996</v>
      </c>
      <c r="AA126" s="33">
        <f>D126*(1-D124)/D120/((1+G120)^AA122)</f>
        <v>1.1690699999999996</v>
      </c>
    </row>
    <row r="127" spans="3:27" outlineLevel="1" x14ac:dyDescent="0.3">
      <c r="C127" s="18" t="s">
        <v>29</v>
      </c>
      <c r="D127" s="29">
        <v>0.35980000000000001</v>
      </c>
      <c r="F127" s="6" t="s">
        <v>17</v>
      </c>
      <c r="G127" s="33">
        <f>SUM(H128:AA128)</f>
        <v>4.8000000000000025</v>
      </c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spans="3:27" outlineLevel="1" x14ac:dyDescent="0.3">
      <c r="C128" s="18" t="s">
        <v>30</v>
      </c>
      <c r="D128" s="31">
        <v>0.69</v>
      </c>
      <c r="F128" s="7" t="s">
        <v>18</v>
      </c>
      <c r="G128" s="33"/>
      <c r="H128" s="33">
        <f>D123*D102/((1+G120)^H122)</f>
        <v>0.24</v>
      </c>
      <c r="I128" s="33">
        <f>D123*D102/((1+G120)^I122)</f>
        <v>0.24</v>
      </c>
      <c r="J128" s="33">
        <f>D123*D102/((1+G120)^J122)</f>
        <v>0.24</v>
      </c>
      <c r="K128" s="33">
        <f>D123*D102/((1+G120)^K122)</f>
        <v>0.24</v>
      </c>
      <c r="L128" s="33">
        <f>D123*D102/((1+G120)^L122)</f>
        <v>0.24</v>
      </c>
      <c r="M128" s="33">
        <f>D123*D102/((1+G120)^M122)</f>
        <v>0.24</v>
      </c>
      <c r="N128" s="33">
        <f>D123*D102/((1+G120)^N122)</f>
        <v>0.24</v>
      </c>
      <c r="O128" s="33">
        <f>D123*D102/((1+G120)^O122)</f>
        <v>0.24</v>
      </c>
      <c r="P128" s="33">
        <f>D123*D102/((1+G120)^P122)</f>
        <v>0.24</v>
      </c>
      <c r="Q128" s="33">
        <f>D123*D102/((1+G120)^Q122)</f>
        <v>0.24</v>
      </c>
      <c r="R128" s="33">
        <f>D123*D102/((1+G120)^R122)</f>
        <v>0.24</v>
      </c>
      <c r="S128" s="33">
        <f>D123*D102/((1+G120)^S122)</f>
        <v>0.24</v>
      </c>
      <c r="T128" s="33">
        <f>D123*D102/((1+G120)^T122)</f>
        <v>0.24</v>
      </c>
      <c r="U128" s="33">
        <f>D123*D102/((1+G120)^U122)</f>
        <v>0.24</v>
      </c>
      <c r="V128" s="33">
        <f>D123*D102/((1+G120)^V122)</f>
        <v>0.24</v>
      </c>
      <c r="W128" s="33">
        <f>D123*D102/((1+G120)^W122)</f>
        <v>0.24</v>
      </c>
      <c r="X128" s="33">
        <f>D123*D102/((1+G120)^X122)</f>
        <v>0.24</v>
      </c>
      <c r="Y128" s="33">
        <f>D123*D102/((1+G120)^Y122)</f>
        <v>0.24</v>
      </c>
      <c r="Z128" s="33">
        <f>D123*D102/((1+G120)^Z122)</f>
        <v>0.24</v>
      </c>
      <c r="AA128" s="33">
        <f>D123*D102/((1+G120)^AA122)</f>
        <v>0.24</v>
      </c>
    </row>
    <row r="129" spans="2:27" outlineLevel="1" x14ac:dyDescent="0.3">
      <c r="C129" s="18" t="s">
        <v>70</v>
      </c>
      <c r="D129" s="32">
        <f>分布式光伏电站IRR汇总!$B$27</f>
        <v>1</v>
      </c>
      <c r="F129" s="6" t="s">
        <v>19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>
        <f>D123*D126/((1+G120)^AA122)</f>
        <v>0.9844799999999998</v>
      </c>
    </row>
    <row r="130" spans="2:27" outlineLevel="1" x14ac:dyDescent="0.3">
      <c r="C130" s="18" t="s">
        <v>69</v>
      </c>
      <c r="D130" s="31">
        <f>D129*D128</f>
        <v>0.69</v>
      </c>
      <c r="F130" s="8" t="s">
        <v>64</v>
      </c>
      <c r="G130" s="33">
        <f>SUM(H131:AA131)</f>
        <v>126884.1679596449</v>
      </c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spans="2:27" outlineLevel="1" x14ac:dyDescent="0.3">
      <c r="C131" s="18" t="s">
        <v>31</v>
      </c>
      <c r="D131" s="27">
        <v>0</v>
      </c>
      <c r="F131" s="9" t="s">
        <v>65</v>
      </c>
      <c r="G131" s="33"/>
      <c r="H131" s="33">
        <f>D102*D119*(1-D121)*D125/((1+G120)^H122)</f>
        <v>6619.7039999999988</v>
      </c>
      <c r="I131" s="33">
        <f>D102*D119*(1-D121)*(1-D122)^(I122-1)*D125/((1+G120)^I122)</f>
        <v>6589.9153319999996</v>
      </c>
      <c r="J131" s="33">
        <f>D102*D119*(1-D121)*(1-D122)^(J122-1)*D125/((1+G120)^J122)</f>
        <v>6560.2607130059996</v>
      </c>
      <c r="K131" s="33">
        <f>D102*D119*(1-D121)*(1-D122)^(K122-1)*D125/((1+G120)^K122)</f>
        <v>6530.7395397974733</v>
      </c>
      <c r="L131" s="33">
        <f>D102*D119*(1-D121)*(1-D122)^(L122-1)*D125/((1+G120)^L122)</f>
        <v>6501.3512118683857</v>
      </c>
      <c r="M131" s="33">
        <f>D102*D119*(1-D121)*(1-D122)^(M122-1)*D125/((1+G120)^M122)</f>
        <v>6472.0951314149779</v>
      </c>
      <c r="N131" s="33">
        <f>D102*D119*(1-D121)*(1-D122)^(N122-1)*D125/((1+G120)^N122)</f>
        <v>6442.9707033236109</v>
      </c>
      <c r="O131" s="33">
        <f>D102*D119*(1-D121)*(1-D122)^(O122-1)*D125/((1+G120)^O122)</f>
        <v>6413.9773351586546</v>
      </c>
      <c r="P131" s="33">
        <f>D102*D119*(1-D121)*(1-D122)^(P122-1)*D125/((1+G120)^P122)</f>
        <v>6385.1144371504415</v>
      </c>
      <c r="Q131" s="33">
        <f>D102*D119*(1-D121)*(1-D122)^(Q122-1)*D125/((1+G120)^Q122)</f>
        <v>6356.3814221832654</v>
      </c>
      <c r="R131" s="33">
        <f>D102*D119*(1-D121)*(1-D122)^(R122-1)*D125/((1+G120)^R122)</f>
        <v>6327.777705783441</v>
      </c>
      <c r="S131" s="33">
        <f>D102*D119*(1-D121)*(1-D122)^(S122-1)*D125/((1+G120)^S122)</f>
        <v>6299.3027061074154</v>
      </c>
      <c r="T131" s="33">
        <f>D102*D119*(1-D121)*(1-D122)^(T122-1)*D125/((1+G120)^T122)</f>
        <v>6270.9558439299326</v>
      </c>
      <c r="U131" s="33">
        <f>D102*D119*(1-D121)*(1-D122)^(U122-1)*D125/((1+G120)^U122)</f>
        <v>6242.7365426322476</v>
      </c>
      <c r="V131" s="33">
        <f>D102*D119*(1-D121)*(1-D122)^(V122-1)*D125/((1+G120)^V122)</f>
        <v>6214.6442281904028</v>
      </c>
      <c r="W131" s="33">
        <f>D102*D119*(1-D121)*(1-D122)^(W122-1)*D125/((1+G120)^W122)</f>
        <v>6186.6783291635475</v>
      </c>
      <c r="X131" s="33">
        <f>D102*D119*(1-D121)*(1-D122)^(X122-1)*D125/((1+G120)^X122)</f>
        <v>6158.8382766823115</v>
      </c>
      <c r="Y131" s="33">
        <f>D102*D119*(1-D121)*(1-D122)^(Y122-1)*D125/((1+G120)^Y122)</f>
        <v>6131.1235044372406</v>
      </c>
      <c r="Z131" s="33">
        <f>D102*D119*(1-D121)*(1-D122)^(Z122-1)*D125/((1+G120)^Z122)</f>
        <v>6103.5334486672746</v>
      </c>
      <c r="AA131" s="33">
        <f>D102*D119*(1-D121)*(1-D122)^(AA122-1)*D125/((1+G120)^AA122)</f>
        <v>6076.0675481482722</v>
      </c>
    </row>
    <row r="132" spans="2:27" outlineLevel="1" x14ac:dyDescent="0.3">
      <c r="F132" s="4" t="s">
        <v>66</v>
      </c>
      <c r="G132" s="33">
        <f>SUM(H133:AA133)</f>
        <v>87.550075892154979</v>
      </c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spans="2:27" outlineLevel="1" x14ac:dyDescent="0.3">
      <c r="F133" s="7" t="s">
        <v>67</v>
      </c>
      <c r="G133" s="33"/>
      <c r="H133" s="33">
        <f>H131*D130/1000</f>
        <v>4.5675957599999997</v>
      </c>
      <c r="I133" s="33">
        <f>I131*D130/1000</f>
        <v>4.5470415790800001</v>
      </c>
      <c r="J133" s="33">
        <f>J131*D130/1000</f>
        <v>4.5265798919741389</v>
      </c>
      <c r="K133" s="33">
        <f>K131*D130/1000</f>
        <v>4.5062102824602563</v>
      </c>
      <c r="L133" s="33">
        <f>L131*D130/1000</f>
        <v>4.4859323361891859</v>
      </c>
      <c r="M133" s="33">
        <f>M131*D130/1000</f>
        <v>4.4657456406763343</v>
      </c>
      <c r="N133" s="33">
        <f>N131*D130/1000</f>
        <v>4.4456497852932904</v>
      </c>
      <c r="O133" s="33">
        <f>O131*D130/1000</f>
        <v>4.4256443612594714</v>
      </c>
      <c r="P133" s="33">
        <f>P131*D130/1000</f>
        <v>4.4057289616338036</v>
      </c>
      <c r="Q133" s="33">
        <f>Q131*D130/1000</f>
        <v>4.3859031813064533</v>
      </c>
      <c r="R133" s="33">
        <f>R131*D130/1000</f>
        <v>4.366166616990574</v>
      </c>
      <c r="S133" s="33">
        <f>S131*D130/1000</f>
        <v>4.3465188672141171</v>
      </c>
      <c r="T133" s="33">
        <f>T131*D130/1000</f>
        <v>4.326959532311653</v>
      </c>
      <c r="U133" s="33">
        <f>U131*D130/1000</f>
        <v>4.3074882144162503</v>
      </c>
      <c r="V133" s="33">
        <f>V131*D130/1000</f>
        <v>4.2881045174513774</v>
      </c>
      <c r="W133" s="33">
        <f>W131*D130/1000</f>
        <v>4.2688080471228478</v>
      </c>
      <c r="X133" s="33">
        <f>X131*D130/1000</f>
        <v>4.2495984109107949</v>
      </c>
      <c r="Y133" s="33">
        <f>Y131*D130/1000</f>
        <v>4.230475218061696</v>
      </c>
      <c r="Z133" s="33">
        <f>Z131*D130/1000</f>
        <v>4.2114380795804189</v>
      </c>
      <c r="AA133" s="33">
        <f>AA131*D130/1000</f>
        <v>4.1924866082223069</v>
      </c>
    </row>
    <row r="134" spans="2:27" outlineLevel="1" x14ac:dyDescent="0.3">
      <c r="F134" s="4" t="s">
        <v>20</v>
      </c>
      <c r="G134" s="33">
        <f>SUM(H135:AA135)</f>
        <v>14.842168973038746</v>
      </c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spans="2:27" outlineLevel="1" x14ac:dyDescent="0.3">
      <c r="F135" s="7" t="s">
        <v>21</v>
      </c>
      <c r="G135" s="33"/>
      <c r="H135" s="33">
        <f>(H133-H126-H128)*G121</f>
        <v>0.78963143999999996</v>
      </c>
      <c r="I135" s="33">
        <f>(I133-I126-I128)*G121</f>
        <v>0.78449289477000006</v>
      </c>
      <c r="J135" s="33">
        <f>(J133-J126-J128)*G121</f>
        <v>0.77937747299353477</v>
      </c>
      <c r="K135" s="33">
        <f>(K133-K126-K128)*G121</f>
        <v>0.77428507061506413</v>
      </c>
      <c r="L135" s="33">
        <f>(L133-L126-L128)*G121</f>
        <v>0.76921558404729651</v>
      </c>
      <c r="M135" s="33">
        <f>(M133-M126-M128)*G121</f>
        <v>0.76416891016908362</v>
      </c>
      <c r="N135" s="33">
        <f>(N133-N126-N128)*G121</f>
        <v>0.75914494632332263</v>
      </c>
      <c r="O135" s="33">
        <f>(O133-O126-O128)*G121</f>
        <v>0.75414359031486788</v>
      </c>
      <c r="P135" s="33">
        <f>(P133-P126-P128)*G121</f>
        <v>0.74916474040845094</v>
      </c>
      <c r="Q135" s="33">
        <f>(Q133-Q126-Q128)*G121</f>
        <v>0.74420829532661337</v>
      </c>
      <c r="R135" s="33">
        <f>(R133-R126-R128)*G121</f>
        <v>0.73927415424764353</v>
      </c>
      <c r="S135" s="33">
        <f>(S133-S126-S128)*G121</f>
        <v>0.73436221680352931</v>
      </c>
      <c r="T135" s="33">
        <f>(T133-T126-T128)*G121</f>
        <v>0.72947238307791329</v>
      </c>
      <c r="U135" s="33">
        <f>(U133-U126-U128)*G121</f>
        <v>0.72460455360406262</v>
      </c>
      <c r="V135" s="33">
        <f>(V133-V126-V128)*G121</f>
        <v>0.7197586293628444</v>
      </c>
      <c r="W135" s="33">
        <f>(W133-W126-W128)*G121</f>
        <v>0.71493451178071199</v>
      </c>
      <c r="X135" s="33">
        <f>(X133-X126-X128)*G121</f>
        <v>0.71013210272769878</v>
      </c>
      <c r="Y135" s="33">
        <f>(Y133-Y126-Y128)*G121</f>
        <v>0.70535130451542405</v>
      </c>
      <c r="Z135" s="33">
        <f>(Z133-Z126-Z128)*G121</f>
        <v>0.70059201989510478</v>
      </c>
      <c r="AA135" s="33">
        <f>(AA133-AA126-AA128)*G121</f>
        <v>0.69585415205557677</v>
      </c>
    </row>
    <row r="136" spans="2:27" outlineLevel="1" x14ac:dyDescent="0.3">
      <c r="F136" s="10" t="s">
        <v>22</v>
      </c>
      <c r="G136" s="33">
        <f>-G124</f>
        <v>-24.611999999999995</v>
      </c>
      <c r="H136" s="33">
        <f>H133-H135-H128</f>
        <v>3.5379643199999995</v>
      </c>
      <c r="I136" s="33">
        <f t="shared" ref="I136:AA136" si="5">I133-I135-I128</f>
        <v>3.5225486843100002</v>
      </c>
      <c r="J136" s="33">
        <f t="shared" si="5"/>
        <v>3.5072024189806044</v>
      </c>
      <c r="K136" s="33">
        <f t="shared" si="5"/>
        <v>3.4919252118451922</v>
      </c>
      <c r="L136" s="33">
        <f t="shared" si="5"/>
        <v>3.4767167521418889</v>
      </c>
      <c r="M136" s="33">
        <f t="shared" si="5"/>
        <v>3.4615767305072502</v>
      </c>
      <c r="N136" s="33">
        <f t="shared" si="5"/>
        <v>3.4465048389699673</v>
      </c>
      <c r="O136" s="33">
        <f t="shared" si="5"/>
        <v>3.431500770944603</v>
      </c>
      <c r="P136" s="33">
        <f t="shared" si="5"/>
        <v>3.4165642212253529</v>
      </c>
      <c r="Q136" s="33">
        <f t="shared" si="5"/>
        <v>3.4016948859798397</v>
      </c>
      <c r="R136" s="33">
        <f t="shared" si="5"/>
        <v>3.3868924627429307</v>
      </c>
      <c r="S136" s="33">
        <f t="shared" si="5"/>
        <v>3.372156650410588</v>
      </c>
      <c r="T136" s="33">
        <f t="shared" si="5"/>
        <v>3.3574871492337399</v>
      </c>
      <c r="U136" s="33">
        <f t="shared" si="5"/>
        <v>3.3428836608121877</v>
      </c>
      <c r="V136" s="33">
        <f t="shared" si="5"/>
        <v>3.328345888088533</v>
      </c>
      <c r="W136" s="33">
        <f t="shared" si="5"/>
        <v>3.313873535342136</v>
      </c>
      <c r="X136" s="33">
        <f t="shared" si="5"/>
        <v>3.2994663081830957</v>
      </c>
      <c r="Y136" s="33">
        <f t="shared" si="5"/>
        <v>3.285123913546272</v>
      </c>
      <c r="Z136" s="33">
        <f t="shared" si="5"/>
        <v>3.2708460596853142</v>
      </c>
      <c r="AA136" s="33">
        <f t="shared" si="5"/>
        <v>3.2566324561667299</v>
      </c>
    </row>
    <row r="137" spans="2:27" ht="13.5" outlineLevel="1" thickBot="1" x14ac:dyDescent="0.35">
      <c r="F137" s="3" t="s">
        <v>68</v>
      </c>
      <c r="G137" s="40">
        <f>IRR(G136:AA136)</f>
        <v>0.12743037080225639</v>
      </c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2:27" ht="13.5" thickTop="1" x14ac:dyDescent="0.3"/>
    <row r="139" spans="2:27" x14ac:dyDescent="0.3">
      <c r="B139" s="11" t="s">
        <v>129</v>
      </c>
      <c r="C139" s="11" t="s">
        <v>52</v>
      </c>
    </row>
    <row r="140" spans="2:27" x14ac:dyDescent="0.3">
      <c r="C140" s="11" t="s">
        <v>141</v>
      </c>
      <c r="D140" s="54">
        <f>D171</f>
        <v>1100</v>
      </c>
    </row>
    <row r="141" spans="2:27" x14ac:dyDescent="0.3">
      <c r="C141" s="16" t="s">
        <v>78</v>
      </c>
      <c r="D141" s="37">
        <f>(G170+G173+G180)/G176*1000</f>
        <v>0.38082633465170124</v>
      </c>
    </row>
    <row r="142" spans="2:27" x14ac:dyDescent="0.3">
      <c r="C142" s="13" t="s">
        <v>77</v>
      </c>
      <c r="D142" s="39">
        <f>(G151+G154+G161)/G157*1000</f>
        <v>0.5662788417910809</v>
      </c>
    </row>
    <row r="143" spans="2:27" x14ac:dyDescent="0.3">
      <c r="C143" s="13" t="s">
        <v>61</v>
      </c>
      <c r="D143" s="36">
        <f>G164</f>
        <v>0.25590193333722872</v>
      </c>
    </row>
    <row r="144" spans="2:27" x14ac:dyDescent="0.3">
      <c r="C144" s="13" t="s">
        <v>73</v>
      </c>
      <c r="D144" s="25">
        <f>SUM(G163:AA163)</f>
        <v>6.2982583832958712</v>
      </c>
    </row>
    <row r="145" spans="3:27" ht="13.5" thickBot="1" x14ac:dyDescent="0.35">
      <c r="C145" s="23" t="s">
        <v>68</v>
      </c>
      <c r="D145" s="26">
        <f>G183</f>
        <v>0.10189968725118748</v>
      </c>
    </row>
    <row r="146" spans="3:27" ht="13.5" hidden="1" outlineLevel="1" thickTop="1" x14ac:dyDescent="0.3">
      <c r="E146" s="20"/>
      <c r="F146" s="38" t="s">
        <v>75</v>
      </c>
    </row>
    <row r="147" spans="3:27" hidden="1" outlineLevel="1" x14ac:dyDescent="0.3">
      <c r="C147" s="11" t="s">
        <v>71</v>
      </c>
      <c r="F147" s="13" t="s">
        <v>25</v>
      </c>
      <c r="G147" s="14">
        <v>7.0000000000000007E-2</v>
      </c>
    </row>
    <row r="148" spans="3:27" hidden="1" outlineLevel="1" x14ac:dyDescent="0.3">
      <c r="C148" s="18" t="s">
        <v>53</v>
      </c>
      <c r="D148" s="19">
        <f>分布式光伏电站IRR汇总!$B$2</f>
        <v>6</v>
      </c>
      <c r="F148" s="13" t="s">
        <v>26</v>
      </c>
      <c r="G148" s="14">
        <v>0.25</v>
      </c>
    </row>
    <row r="149" spans="3:27" hidden="1" outlineLevel="1" x14ac:dyDescent="0.3">
      <c r="C149" s="18" t="s">
        <v>56</v>
      </c>
      <c r="D149" s="19">
        <f>分布式光伏电站IRR汇总!$B$3</f>
        <v>120</v>
      </c>
      <c r="F149" s="1" t="s">
        <v>44</v>
      </c>
      <c r="G149" s="4"/>
      <c r="H149" s="5">
        <v>1</v>
      </c>
      <c r="I149" s="5">
        <v>2</v>
      </c>
      <c r="J149" s="5">
        <v>3</v>
      </c>
      <c r="K149" s="5">
        <v>4</v>
      </c>
      <c r="L149" s="5">
        <v>5</v>
      </c>
      <c r="M149" s="5">
        <v>6</v>
      </c>
      <c r="N149" s="5">
        <v>7</v>
      </c>
      <c r="O149" s="5">
        <v>8</v>
      </c>
      <c r="P149" s="5">
        <v>9</v>
      </c>
      <c r="Q149" s="5">
        <v>10</v>
      </c>
      <c r="R149" s="5">
        <v>11</v>
      </c>
      <c r="S149" s="5">
        <v>12</v>
      </c>
      <c r="T149" s="5">
        <v>13</v>
      </c>
      <c r="U149" s="5">
        <v>14</v>
      </c>
      <c r="V149" s="5">
        <v>15</v>
      </c>
      <c r="W149" s="5">
        <v>16</v>
      </c>
      <c r="X149" s="5">
        <v>17</v>
      </c>
      <c r="Y149" s="5">
        <v>18</v>
      </c>
      <c r="Z149" s="5">
        <v>19</v>
      </c>
      <c r="AA149" s="5">
        <v>20</v>
      </c>
    </row>
    <row r="150" spans="3:27" hidden="1" outlineLevel="1" x14ac:dyDescent="0.3">
      <c r="C150" s="18" t="s">
        <v>57</v>
      </c>
      <c r="D150" s="19">
        <f>分布式光伏电站IRR汇总!$B$4</f>
        <v>3</v>
      </c>
      <c r="F150" s="16"/>
      <c r="G150" s="2" t="s">
        <v>0</v>
      </c>
      <c r="H150" s="2" t="s">
        <v>1</v>
      </c>
      <c r="I150" s="2" t="s">
        <v>2</v>
      </c>
      <c r="J150" s="2" t="s">
        <v>3</v>
      </c>
      <c r="K150" s="2" t="s">
        <v>4</v>
      </c>
      <c r="L150" s="2" t="s">
        <v>5</v>
      </c>
      <c r="M150" s="2" t="s">
        <v>6</v>
      </c>
      <c r="N150" s="2" t="s">
        <v>7</v>
      </c>
      <c r="O150" s="2" t="s">
        <v>8</v>
      </c>
      <c r="P150" s="2" t="s">
        <v>9</v>
      </c>
      <c r="Q150" s="2" t="s">
        <v>10</v>
      </c>
      <c r="R150" s="2" t="s">
        <v>11</v>
      </c>
      <c r="S150" s="2" t="s">
        <v>12</v>
      </c>
      <c r="T150" s="2" t="s">
        <v>13</v>
      </c>
      <c r="U150" s="2" t="s">
        <v>45</v>
      </c>
      <c r="V150" s="2" t="s">
        <v>46</v>
      </c>
      <c r="W150" s="2" t="s">
        <v>47</v>
      </c>
      <c r="X150" s="2" t="s">
        <v>48</v>
      </c>
      <c r="Y150" s="2" t="s">
        <v>49</v>
      </c>
      <c r="Z150" s="2" t="s">
        <v>50</v>
      </c>
      <c r="AA150" s="2" t="s">
        <v>127</v>
      </c>
    </row>
    <row r="151" spans="3:27" hidden="1" outlineLevel="1" x14ac:dyDescent="0.3">
      <c r="C151" s="18" t="s">
        <v>54</v>
      </c>
      <c r="D151" s="19">
        <f>分布式光伏电站IRR汇总!$B$5</f>
        <v>5</v>
      </c>
      <c r="F151" s="6" t="s">
        <v>14</v>
      </c>
      <c r="G151" s="33">
        <f>D172</f>
        <v>24.611999999999995</v>
      </c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spans="3:27" hidden="1" outlineLevel="1" x14ac:dyDescent="0.3">
      <c r="C152" s="18" t="s">
        <v>55</v>
      </c>
      <c r="D152" s="19">
        <f>分布式光伏电站IRR汇总!$B$6</f>
        <v>15</v>
      </c>
      <c r="F152" s="6" t="s">
        <v>15</v>
      </c>
      <c r="G152" s="33">
        <f>SUM(H153:AA153)</f>
        <v>12.385144234005573</v>
      </c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spans="3:27" hidden="1" outlineLevel="1" x14ac:dyDescent="0.3">
      <c r="C153" s="18" t="s">
        <v>42</v>
      </c>
      <c r="D153" s="19">
        <f>分布式光伏电站IRR汇总!$B$7</f>
        <v>4.1019999999999994</v>
      </c>
      <c r="F153" s="7" t="s">
        <v>16</v>
      </c>
      <c r="G153" s="33"/>
      <c r="H153" s="33">
        <f>D172*(1-D170)/D166/((1+G147)^H149)</f>
        <v>1.0925887850467286</v>
      </c>
      <c r="I153" s="33">
        <f>D172*(1-D170)/D166/((1+G147)^I149)</f>
        <v>1.0211110140623632</v>
      </c>
      <c r="J153" s="33">
        <f>D172*(1-D170)/D166/((1+G147)^J149)</f>
        <v>0.95430935893678792</v>
      </c>
      <c r="K153" s="33">
        <f>D172*(1-D170)/D166/((1+G147)^K149)</f>
        <v>0.89187790554839996</v>
      </c>
      <c r="L153" s="33">
        <f>D172*(1-D170)/D166/((1+G147)^L149)</f>
        <v>0.83353075284897193</v>
      </c>
      <c r="M153" s="33">
        <f>D172*(1-D170)/D166/((1+G147)^M149)</f>
        <v>0.77900070359717</v>
      </c>
      <c r="N153" s="33">
        <f>D172*(1-D170)/D166/((1+G147)^N149)</f>
        <v>0.72803804074501866</v>
      </c>
      <c r="O153" s="33">
        <f>D172*(1-D170)/D166/((1+G147)^O149)</f>
        <v>0.6804093838738493</v>
      </c>
      <c r="P153" s="33">
        <f>D172*(1-D170)/D166/((1+G147)^P149)</f>
        <v>0.63589662044284967</v>
      </c>
      <c r="Q153" s="33">
        <f>D172*(1-D170)/D166/((1+G147)^Q149)</f>
        <v>0.59429590695593437</v>
      </c>
      <c r="R153" s="33">
        <f>D172*(1-D170)/D166/((1+G147)^R149)</f>
        <v>0.55541673547283577</v>
      </c>
      <c r="S153" s="33">
        <f>D172*(1-D170)/D166/((1+G147)^S149)</f>
        <v>0.51908106118956621</v>
      </c>
      <c r="T153" s="33">
        <f>D172*(1-D170)/D166/((1+G147)^T149)</f>
        <v>0.4851224870930525</v>
      </c>
      <c r="U153" s="33">
        <f>D172*(1-D170)/D166/((1+G147)^U149)</f>
        <v>0.45338550195612387</v>
      </c>
      <c r="V153" s="33">
        <f>D172*(1-D170)/D166/((1+G147)^V149)</f>
        <v>0.4237247681832933</v>
      </c>
      <c r="W153" s="33">
        <f>D172*(1-D170)/D166/((1+G147)^W149)</f>
        <v>0.39600445624606856</v>
      </c>
      <c r="X153" s="33">
        <f>D172*(1-D170)/D166/((1+G147)^X149)</f>
        <v>0.37009762265987711</v>
      </c>
      <c r="Y153" s="33">
        <f>D172*(1-D170)/D166/((1+G147)^Y149)</f>
        <v>0.34588562865409078</v>
      </c>
      <c r="Z153" s="33">
        <f>D172*(1-D170)/D166/((1+G147)^Z149)</f>
        <v>0.323257596872982</v>
      </c>
      <c r="AA153" s="33">
        <f>D172*(1-D170)/D166/((1+G147)^AA149)</f>
        <v>0.30210990361960938</v>
      </c>
    </row>
    <row r="154" spans="3:27" hidden="1" outlineLevel="1" x14ac:dyDescent="0.3">
      <c r="C154" s="21" t="s">
        <v>32</v>
      </c>
      <c r="D154" s="19">
        <f>分布式光伏电站IRR汇总!$B$8</f>
        <v>1.8870000000000002</v>
      </c>
      <c r="F154" s="6" t="s">
        <v>17</v>
      </c>
      <c r="G154" s="33">
        <f>SUM(H155:AA155)</f>
        <v>2.5425634189238777</v>
      </c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spans="3:27" hidden="1" outlineLevel="1" x14ac:dyDescent="0.3">
      <c r="C155" s="21" t="s">
        <v>33</v>
      </c>
      <c r="D155" s="19">
        <f>分布式光伏电站IRR汇总!$B$9</f>
        <v>0.18500000000000003</v>
      </c>
      <c r="F155" s="7" t="s">
        <v>18</v>
      </c>
      <c r="G155" s="33"/>
      <c r="H155" s="33">
        <f>D169*D148/((1+G147)^H149)</f>
        <v>0.22429906542056072</v>
      </c>
      <c r="I155" s="33">
        <f>D169*D148/((1+G147)^I149)</f>
        <v>0.20962529478557079</v>
      </c>
      <c r="J155" s="33">
        <f>D169*D148/((1+G147)^J149)</f>
        <v>0.19591149045380446</v>
      </c>
      <c r="K155" s="33">
        <f>D169*D148/((1+G147)^K149)</f>
        <v>0.18309485089140604</v>
      </c>
      <c r="L155" s="33">
        <f>D169*D148/((1+G147)^L149)</f>
        <v>0.17111668307608041</v>
      </c>
      <c r="M155" s="33">
        <f>D169*D148/((1+G147)^M149)</f>
        <v>0.15992213371596301</v>
      </c>
      <c r="N155" s="33">
        <f>D169*D148/((1+G147)^N149)</f>
        <v>0.14945993805230187</v>
      </c>
      <c r="O155" s="33">
        <f>D169*D148/((1+G147)^O149)</f>
        <v>0.13968218509560923</v>
      </c>
      <c r="P155" s="33">
        <f>D169*D148/((1+G147)^P149)</f>
        <v>0.13054409822019553</v>
      </c>
      <c r="Q155" s="33">
        <f>D169*D148/((1+G147)^Q149)</f>
        <v>0.12200383011233226</v>
      </c>
      <c r="R155" s="33">
        <f>D169*D148/((1+G147)^R149)</f>
        <v>0.1140222711330208</v>
      </c>
      <c r="S155" s="33">
        <f>D169*D148/((1+G147)^S149)</f>
        <v>0.10656287021777647</v>
      </c>
      <c r="T155" s="33">
        <f>D169*D148/((1+G147)^T149)</f>
        <v>9.9591467493249028E-2</v>
      </c>
      <c r="U155" s="33">
        <f>D169*D148/((1+G147)^U149)</f>
        <v>9.3076137844157969E-2</v>
      </c>
      <c r="V155" s="33">
        <f>D169*D148/((1+G147)^V149)</f>
        <v>8.6987044714166323E-2</v>
      </c>
      <c r="W155" s="33">
        <f>D169*D148/((1+G147)^W149)</f>
        <v>8.1296303471183481E-2</v>
      </c>
      <c r="X155" s="33">
        <f>D169*D148/((1+G147)^X149)</f>
        <v>7.5977853711386434E-2</v>
      </c>
      <c r="Y155" s="33">
        <f>D169*D148/((1+G147)^Y149)</f>
        <v>7.1007339917183582E-2</v>
      </c>
      <c r="Z155" s="33">
        <f>D169*D148/((1+G147)^Z149)</f>
        <v>6.6361999922601472E-2</v>
      </c>
      <c r="AA155" s="33">
        <f>D169*D148/((1+G147)^AA149)</f>
        <v>6.2020560675328483E-2</v>
      </c>
    </row>
    <row r="156" spans="3:27" hidden="1" outlineLevel="1" x14ac:dyDescent="0.3">
      <c r="C156" s="21" t="s">
        <v>34</v>
      </c>
      <c r="D156" s="19">
        <f>分布式光伏电站IRR汇总!$B$10</f>
        <v>0.222</v>
      </c>
      <c r="F156" s="6" t="s">
        <v>19</v>
      </c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>
        <f>D169*D172/((1+G147)^AA149)</f>
        <v>0.2544083398901974</v>
      </c>
    </row>
    <row r="157" spans="3:27" hidden="1" outlineLevel="1" x14ac:dyDescent="0.3">
      <c r="C157" s="21" t="s">
        <v>35</v>
      </c>
      <c r="D157" s="19">
        <f>分布式光伏电站IRR汇总!$B$11</f>
        <v>0.44400000000000001</v>
      </c>
      <c r="F157" s="8" t="s">
        <v>64</v>
      </c>
      <c r="G157" s="33">
        <f>SUM(H158:AA158)</f>
        <v>57431.68094490315</v>
      </c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spans="3:27" hidden="1" outlineLevel="1" x14ac:dyDescent="0.3">
      <c r="C158" s="21" t="s">
        <v>36</v>
      </c>
      <c r="D158" s="19">
        <f>分布式光伏电站IRR汇总!$B$12</f>
        <v>0.222</v>
      </c>
      <c r="F158" s="9" t="s">
        <v>65</v>
      </c>
      <c r="G158" s="33"/>
      <c r="H158" s="33">
        <f>D148*D165*(1-D167)*D171/((1+G147)^H149)</f>
        <v>5234.8485981308404</v>
      </c>
      <c r="I158" s="33">
        <f>D148*D165*(1-D167)*(1-D168)^(I149-1)*D171/((1+G147)^I149)</f>
        <v>4870.3661490086461</v>
      </c>
      <c r="J158" s="33">
        <f>D148*D165*(1-D167)*(1-D168)^(J149-1)*D171/((1+G147)^J149)</f>
        <v>4531.2612162038386</v>
      </c>
      <c r="K158" s="33">
        <f>D148*D165*(1-D167)*(1-D168)^(K149-1)*D171/((1+G147)^K149)</f>
        <v>4215.7668604961891</v>
      </c>
      <c r="L158" s="33">
        <f>D148*D165*(1-D167)*(1-D168)^(L149-1)*D171/((1+G147)^L149)</f>
        <v>3922.2391678728563</v>
      </c>
      <c r="M158" s="33">
        <f>D148*D165*(1-D167)*(1-D168)^(M149-1)*D171/((1+G147)^M149)</f>
        <v>3649.1486837546067</v>
      </c>
      <c r="N158" s="33">
        <f>D148*D165*(1-D167)*(1-D168)^(N149-1)*D171/((1+G147)^N149)</f>
        <v>3395.0724436240289</v>
      </c>
      <c r="O158" s="33">
        <f>D148*D165*(1-D167)*(1-D168)^(O149-1)*D171/((1+G147)^O149)</f>
        <v>3158.68655853058</v>
      </c>
      <c r="P158" s="33">
        <f>D148*D165*(1-D167)*(1-D168)^(P149-1)*D171/((1+G147)^P149)</f>
        <v>2938.7593168384974</v>
      </c>
      <c r="Q158" s="33">
        <f>D148*D165*(1-D167)*(1-D168)^(Q149-1)*D171/((1+G147)^Q149)</f>
        <v>2734.1447662735745</v>
      </c>
      <c r="R158" s="33">
        <f>D148*D165*(1-D167)*(1-D168)^(R149-1)*D171/((1+G147)^R149)</f>
        <v>2543.7767428274237</v>
      </c>
      <c r="S158" s="33">
        <f>D148*D165*(1-D167)*(1-D168)^(S149-1)*D171/((1+G147)^S149)</f>
        <v>2366.6633154062624</v>
      </c>
      <c r="T158" s="33">
        <f>D148*D165*(1-D167)*(1-D168)^(T149-1)*D171/((1+G147)^T149)</f>
        <v>2201.8816172775087</v>
      </c>
      <c r="U158" s="33">
        <f>D148*D165*(1-D167)*(1-D168)^(U149-1)*D171/((1+G147)^U149)</f>
        <v>2048.5730373829533</v>
      </c>
      <c r="V158" s="33">
        <f>D148*D165*(1-D167)*(1-D168)^(V149-1)*D171/((1+G147)^V149)</f>
        <v>1905.9387464623642</v>
      </c>
      <c r="W158" s="33">
        <f>D148*D165*(1-D167)*(1-D168)^(W149-1)*D171/((1+G147)^W149)</f>
        <v>1773.2355346759666</v>
      </c>
      <c r="X158" s="33">
        <f>D148*D165*(1-D167)*(1-D168)^(X149-1)*D171/((1+G147)^X149)</f>
        <v>1649.7719390373129</v>
      </c>
      <c r="Y158" s="33">
        <f>D148*D165*(1-D167)*(1-D168)^(Y149-1)*D171/((1+G147)^Y149)</f>
        <v>1534.904640478173</v>
      </c>
      <c r="Z158" s="33">
        <f>D148*D165*(1-D167)*(1-D168)^(Z149-1)*D171/((1+G147)^Z149)</f>
        <v>1428.0351117719824</v>
      </c>
      <c r="AA158" s="33">
        <f>D148*D165*(1-D167)*(1-D168)^(AA149-1)*D171/((1+G147)^AA149)</f>
        <v>1328.6064988495409</v>
      </c>
    </row>
    <row r="159" spans="3:27" hidden="1" outlineLevel="1" x14ac:dyDescent="0.3">
      <c r="C159" s="21" t="s">
        <v>37</v>
      </c>
      <c r="D159" s="19">
        <f>分布式光伏电站IRR汇总!$B$13</f>
        <v>0.15</v>
      </c>
      <c r="F159" s="4" t="s">
        <v>66</v>
      </c>
      <c r="G159" s="33">
        <f>SUM(H160:AA160)</f>
        <v>39.627859851983175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spans="3:27" hidden="1" outlineLevel="1" x14ac:dyDescent="0.3">
      <c r="C160" s="21" t="s">
        <v>38</v>
      </c>
      <c r="D160" s="19">
        <f>分布式光伏电站IRR汇总!$B$14</f>
        <v>3.7000000000000005E-2</v>
      </c>
      <c r="F160" s="7" t="s">
        <v>67</v>
      </c>
      <c r="G160" s="33"/>
      <c r="H160" s="33">
        <f>H158*D176/1000</f>
        <v>3.6120455327102796</v>
      </c>
      <c r="I160" s="33">
        <f>I158*D176/1000</f>
        <v>3.3605526428159656</v>
      </c>
      <c r="J160" s="33">
        <f>J158*D176/1000</f>
        <v>3.1265702391806487</v>
      </c>
      <c r="K160" s="33">
        <f>K158*D176/1000</f>
        <v>2.9088791337423703</v>
      </c>
      <c r="L160" s="33">
        <f>L158*D176/1000</f>
        <v>2.7063450258322703</v>
      </c>
      <c r="M160" s="33">
        <f>M158*D176/1000</f>
        <v>2.5179125917906786</v>
      </c>
      <c r="N160" s="33">
        <f>N158*D176/1000</f>
        <v>2.3425999861005797</v>
      </c>
      <c r="O160" s="33">
        <f>O158*D176/1000</f>
        <v>2.1794937253861</v>
      </c>
      <c r="P160" s="33">
        <f>P158*D176/1000</f>
        <v>2.027743928618563</v>
      </c>
      <c r="Q160" s="33">
        <f>Q158*D176/1000</f>
        <v>1.8865598887287662</v>
      </c>
      <c r="R160" s="33">
        <f>R158*D176/1000</f>
        <v>1.7552059525509223</v>
      </c>
      <c r="S160" s="33">
        <f>S158*D176/1000</f>
        <v>1.6329976876303209</v>
      </c>
      <c r="T160" s="33">
        <f>T158*D176/1000</f>
        <v>1.519298315921481</v>
      </c>
      <c r="U160" s="33">
        <f>U158*D176/1000</f>
        <v>1.4135153957942377</v>
      </c>
      <c r="V160" s="33">
        <f>V158*D176/1000</f>
        <v>1.3150977350590312</v>
      </c>
      <c r="W160" s="33">
        <f>W158*D176/1000</f>
        <v>1.223532518926417</v>
      </c>
      <c r="X160" s="33">
        <f>X158*D176/1000</f>
        <v>1.138342637935746</v>
      </c>
      <c r="Y160" s="33">
        <f>Y158*D176/1000</f>
        <v>1.0590842019299394</v>
      </c>
      <c r="Z160" s="33">
        <f>Z158*D176/1000</f>
        <v>0.98534422712266778</v>
      </c>
      <c r="AA160" s="33">
        <f>AA158*D176/1000</f>
        <v>0.91673848420618309</v>
      </c>
    </row>
    <row r="161" spans="3:27" hidden="1" outlineLevel="1" x14ac:dyDescent="0.3">
      <c r="C161" s="21" t="s">
        <v>39</v>
      </c>
      <c r="D161" s="19">
        <f>分布式光伏电站IRR汇总!$B$15</f>
        <v>0.25900000000000006</v>
      </c>
      <c r="F161" s="4" t="s">
        <v>20</v>
      </c>
      <c r="G161" s="33">
        <f>SUM(H162:V162)</f>
        <v>5.3677823486707705</v>
      </c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spans="3:27" hidden="1" outlineLevel="1" x14ac:dyDescent="0.3">
      <c r="C162" s="21" t="s">
        <v>40</v>
      </c>
      <c r="D162" s="19">
        <f>分布式光伏电站IRR汇总!$B$16</f>
        <v>7.400000000000001E-2</v>
      </c>
      <c r="F162" s="7" t="s">
        <v>21</v>
      </c>
      <c r="G162" s="33"/>
      <c r="H162" s="33">
        <f>(H160-H153-H155)*G148</f>
        <v>0.57378942056074755</v>
      </c>
      <c r="I162" s="33">
        <f>(I160-I153-I155)*G148</f>
        <v>0.53245408349200796</v>
      </c>
      <c r="J162" s="33">
        <f>(J160-J153-J155)*G148</f>
        <v>0.49408734744751404</v>
      </c>
      <c r="K162" s="33">
        <f>(K160-K153-K155)*G148</f>
        <v>0.45847659432564108</v>
      </c>
      <c r="L162" s="33">
        <f>(L160-L153-L155)*G148</f>
        <v>0.42542439747680449</v>
      </c>
      <c r="M162" s="33">
        <f>(M160-M153-M155)*G148</f>
        <v>0.39474743861938638</v>
      </c>
      <c r="N162" s="33">
        <f>(N160-N153-N155)*G148</f>
        <v>0.36627550182581481</v>
      </c>
      <c r="O162" s="33">
        <f>(O160-O153-O155)*G148</f>
        <v>0.33985053910416041</v>
      </c>
      <c r="P162" s="33">
        <f>(P160-P153-P155)*G148</f>
        <v>0.31532580248887943</v>
      </c>
      <c r="Q162" s="33">
        <f>(Q160-Q153-Q155)*G148</f>
        <v>0.29256503791512489</v>
      </c>
      <c r="R162" s="33">
        <f>(R160-R153-R155)*G148</f>
        <v>0.27144173648626646</v>
      </c>
      <c r="S162" s="33">
        <f>(S160-S153-S155)*G148</f>
        <v>0.25183843905574455</v>
      </c>
      <c r="T162" s="33">
        <f>(T160-T153-T155)*G148</f>
        <v>0.23364609033379485</v>
      </c>
      <c r="U162" s="33">
        <f>(U160-U153-U155)*G148</f>
        <v>0.21676343899848893</v>
      </c>
      <c r="V162" s="33">
        <f>(V160-V153-V155)*G148</f>
        <v>0.20109648054039289</v>
      </c>
      <c r="W162" s="33">
        <f>(W160-W153-W155)*G148</f>
        <v>0.18655793980229127</v>
      </c>
      <c r="X162" s="33">
        <f>(X160-X153-X155)*G148</f>
        <v>0.17306679039112061</v>
      </c>
      <c r="Y162" s="33">
        <f>(Y160-Y153-Y155)*G148</f>
        <v>0.16054780833966625</v>
      </c>
      <c r="Z162" s="33">
        <f>(Z160-Z153-Z155)*G148</f>
        <v>0.14893115758177106</v>
      </c>
      <c r="AA162" s="33">
        <f>(AA160-AA153-AA155)*G148</f>
        <v>0.1381520049778113</v>
      </c>
    </row>
    <row r="163" spans="3:27" hidden="1" outlineLevel="1" x14ac:dyDescent="0.3">
      <c r="C163" s="21" t="s">
        <v>41</v>
      </c>
      <c r="D163" s="19">
        <f>分布式光伏电站IRR汇总!$B$17</f>
        <v>0.222</v>
      </c>
      <c r="F163" s="10" t="s">
        <v>22</v>
      </c>
      <c r="G163" s="33">
        <f>-G151</f>
        <v>-24.611999999999995</v>
      </c>
      <c r="H163" s="33">
        <f t="shared" ref="H163:AA163" si="6">H160-H162-H155</f>
        <v>2.8139570467289712</v>
      </c>
      <c r="I163" s="33">
        <f t="shared" si="6"/>
        <v>2.6184732645383866</v>
      </c>
      <c r="J163" s="33">
        <f t="shared" si="6"/>
        <v>2.4365714012793305</v>
      </c>
      <c r="K163" s="33">
        <f t="shared" si="6"/>
        <v>2.2673076885253232</v>
      </c>
      <c r="L163" s="33">
        <f t="shared" si="6"/>
        <v>2.1098039452793858</v>
      </c>
      <c r="M163" s="33">
        <f t="shared" si="6"/>
        <v>1.9632430194553292</v>
      </c>
      <c r="N163" s="33">
        <f t="shared" si="6"/>
        <v>1.8268645462224631</v>
      </c>
      <c r="O163" s="33">
        <f t="shared" si="6"/>
        <v>1.6999610011863304</v>
      </c>
      <c r="P163" s="33">
        <f t="shared" si="6"/>
        <v>1.5818740279094881</v>
      </c>
      <c r="Q163" s="33">
        <f t="shared" si="6"/>
        <v>1.4719910207013089</v>
      </c>
      <c r="R163" s="33">
        <f t="shared" si="6"/>
        <v>1.369741944931635</v>
      </c>
      <c r="S163" s="33">
        <f t="shared" si="6"/>
        <v>1.2745963783567997</v>
      </c>
      <c r="T163" s="33">
        <f t="shared" si="6"/>
        <v>1.1860607580944371</v>
      </c>
      <c r="U163" s="33">
        <f t="shared" si="6"/>
        <v>1.1036758189515907</v>
      </c>
      <c r="V163" s="33">
        <f t="shared" si="6"/>
        <v>1.0270142098044719</v>
      </c>
      <c r="W163" s="33">
        <f t="shared" si="6"/>
        <v>0.95567827565294239</v>
      </c>
      <c r="X163" s="33">
        <f t="shared" si="6"/>
        <v>0.88929799383323893</v>
      </c>
      <c r="Y163" s="33">
        <f t="shared" si="6"/>
        <v>0.82752905367308949</v>
      </c>
      <c r="Z163" s="33">
        <f t="shared" si="6"/>
        <v>0.77005106961829517</v>
      </c>
      <c r="AA163" s="33">
        <f t="shared" si="6"/>
        <v>0.7165659185530433</v>
      </c>
    </row>
    <row r="164" spans="3:27" ht="13.5" hidden="1" outlineLevel="1" thickBot="1" x14ac:dyDescent="0.35">
      <c r="C164" s="21" t="s">
        <v>74</v>
      </c>
      <c r="D164" s="19">
        <f>分布式光伏电站IRR汇总!$B$18</f>
        <v>0.4</v>
      </c>
      <c r="F164" s="3" t="s">
        <v>61</v>
      </c>
      <c r="G164" s="35">
        <f>SUM(G163:AA163)/G151</f>
        <v>0.25590193333722872</v>
      </c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3:27" ht="13.5" hidden="1" outlineLevel="1" thickTop="1" x14ac:dyDescent="0.3">
      <c r="C165" s="18" t="s">
        <v>58</v>
      </c>
      <c r="D165" s="19">
        <f>分布式光伏电站IRR汇总!$B$19</f>
        <v>0.86599999999999999</v>
      </c>
    </row>
    <row r="166" spans="3:27" hidden="1" outlineLevel="1" x14ac:dyDescent="0.3">
      <c r="C166" s="18" t="s">
        <v>62</v>
      </c>
      <c r="D166" s="19">
        <f>分布式光伏电站IRR汇总!$B$20</f>
        <v>20</v>
      </c>
      <c r="F166" s="13" t="s">
        <v>25</v>
      </c>
      <c r="G166" s="14">
        <v>0</v>
      </c>
    </row>
    <row r="167" spans="3:27" hidden="1" outlineLevel="1" x14ac:dyDescent="0.3">
      <c r="C167" s="18" t="s">
        <v>59</v>
      </c>
      <c r="D167" s="52">
        <f>分布式光伏电站IRR汇总!$B$21</f>
        <v>0.02</v>
      </c>
      <c r="F167" s="13" t="s">
        <v>26</v>
      </c>
      <c r="G167" s="14">
        <v>0.25</v>
      </c>
      <c r="Q167" s="15"/>
    </row>
    <row r="168" spans="3:27" hidden="1" outlineLevel="1" x14ac:dyDescent="0.3">
      <c r="C168" s="18" t="s">
        <v>60</v>
      </c>
      <c r="D168" s="52">
        <f>分布式光伏电站IRR汇总!$B$22</f>
        <v>4.4999999999999997E-3</v>
      </c>
      <c r="F168" s="1" t="s">
        <v>44</v>
      </c>
      <c r="G168" s="4"/>
      <c r="H168" s="5">
        <v>1</v>
      </c>
      <c r="I168" s="5">
        <v>2</v>
      </c>
      <c r="J168" s="5">
        <v>3</v>
      </c>
      <c r="K168" s="5">
        <v>4</v>
      </c>
      <c r="L168" s="5">
        <v>5</v>
      </c>
      <c r="M168" s="5">
        <v>6</v>
      </c>
      <c r="N168" s="5">
        <v>7</v>
      </c>
      <c r="O168" s="5">
        <v>8</v>
      </c>
      <c r="P168" s="5">
        <v>9</v>
      </c>
      <c r="Q168" s="5">
        <v>10</v>
      </c>
      <c r="R168" s="5">
        <v>11</v>
      </c>
      <c r="S168" s="5">
        <v>12</v>
      </c>
      <c r="T168" s="5">
        <v>13</v>
      </c>
      <c r="U168" s="5">
        <v>14</v>
      </c>
      <c r="V168" s="5">
        <v>15</v>
      </c>
      <c r="W168" s="5">
        <v>16</v>
      </c>
      <c r="X168" s="5">
        <v>17</v>
      </c>
      <c r="Y168" s="5">
        <v>18</v>
      </c>
      <c r="Z168" s="5">
        <v>19</v>
      </c>
      <c r="AA168" s="5">
        <v>20</v>
      </c>
    </row>
    <row r="169" spans="3:27" hidden="1" outlineLevel="1" x14ac:dyDescent="0.3">
      <c r="C169" s="18" t="s">
        <v>28</v>
      </c>
      <c r="D169" s="29">
        <f>分布式光伏电站IRR汇总!$B$23</f>
        <v>0.04</v>
      </c>
      <c r="F169" s="16"/>
      <c r="G169" s="2" t="s">
        <v>0</v>
      </c>
      <c r="H169" s="2" t="s">
        <v>1</v>
      </c>
      <c r="I169" s="2" t="s">
        <v>2</v>
      </c>
      <c r="J169" s="2" t="s">
        <v>3</v>
      </c>
      <c r="K169" s="2" t="s">
        <v>4</v>
      </c>
      <c r="L169" s="2" t="s">
        <v>5</v>
      </c>
      <c r="M169" s="2" t="s">
        <v>6</v>
      </c>
      <c r="N169" s="2" t="s">
        <v>7</v>
      </c>
      <c r="O169" s="2" t="s">
        <v>8</v>
      </c>
      <c r="P169" s="2" t="s">
        <v>9</v>
      </c>
      <c r="Q169" s="2" t="s">
        <v>10</v>
      </c>
      <c r="R169" s="2" t="s">
        <v>11</v>
      </c>
      <c r="S169" s="2" t="s">
        <v>12</v>
      </c>
      <c r="T169" s="2" t="s">
        <v>13</v>
      </c>
      <c r="U169" s="2" t="s">
        <v>45</v>
      </c>
      <c r="V169" s="2" t="s">
        <v>46</v>
      </c>
      <c r="W169" s="2" t="s">
        <v>47</v>
      </c>
      <c r="X169" s="2" t="s">
        <v>48</v>
      </c>
      <c r="Y169" s="2" t="s">
        <v>49</v>
      </c>
      <c r="Z169" s="2" t="s">
        <v>50</v>
      </c>
      <c r="AA169" s="2" t="s">
        <v>51</v>
      </c>
    </row>
    <row r="170" spans="3:27" hidden="1" outlineLevel="1" x14ac:dyDescent="0.3">
      <c r="C170" s="18" t="s">
        <v>43</v>
      </c>
      <c r="D170" s="19">
        <f>分布式光伏电站IRR汇总!$B$24</f>
        <v>0.05</v>
      </c>
      <c r="F170" s="6" t="s">
        <v>14</v>
      </c>
      <c r="G170" s="33">
        <f>D172</f>
        <v>24.611999999999995</v>
      </c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spans="3:27" hidden="1" outlineLevel="1" x14ac:dyDescent="0.3">
      <c r="C171" s="18" t="s">
        <v>126</v>
      </c>
      <c r="D171" s="28">
        <v>1100</v>
      </c>
      <c r="F171" s="6" t="s">
        <v>15</v>
      </c>
      <c r="G171" s="33">
        <f>SUM(H172:AA172)</f>
        <v>23.381399999999985</v>
      </c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spans="3:27" hidden="1" outlineLevel="1" x14ac:dyDescent="0.3">
      <c r="C172" s="24" t="s">
        <v>14</v>
      </c>
      <c r="D172" s="30">
        <f>D148*D153</f>
        <v>24.611999999999995</v>
      </c>
      <c r="F172" s="7" t="s">
        <v>16</v>
      </c>
      <c r="G172" s="33"/>
      <c r="H172" s="33">
        <f>D172*(1-D170)/D166/((1+G166)^H168)</f>
        <v>1.1690699999999996</v>
      </c>
      <c r="I172" s="33">
        <f>D172*(1-D170)/D166/((1+G166)^I168)</f>
        <v>1.1690699999999996</v>
      </c>
      <c r="J172" s="33">
        <f>D172*(1-D170)/D166/((1+G166)^J168)</f>
        <v>1.1690699999999996</v>
      </c>
      <c r="K172" s="33">
        <f>D172*(1-D170)/D166/((1+G166)^K168)</f>
        <v>1.1690699999999996</v>
      </c>
      <c r="L172" s="33">
        <f>D172*(1-D170)/D166/((1+G166)^L168)</f>
        <v>1.1690699999999996</v>
      </c>
      <c r="M172" s="33">
        <f>D172*(1-D170)/D166/((1+G166)^M168)</f>
        <v>1.1690699999999996</v>
      </c>
      <c r="N172" s="33">
        <f>D172*(1-D170)/D166/((1+G166)^N168)</f>
        <v>1.1690699999999996</v>
      </c>
      <c r="O172" s="33">
        <f>D172*(1-D170)/D166/((1+G166)^O168)</f>
        <v>1.1690699999999996</v>
      </c>
      <c r="P172" s="33">
        <f>D172*(1-D170)/D166/((1+G166)^P168)</f>
        <v>1.1690699999999996</v>
      </c>
      <c r="Q172" s="33">
        <f>D172*(1-D170)/D166/((1+G166)^Q168)</f>
        <v>1.1690699999999996</v>
      </c>
      <c r="R172" s="33">
        <f>D172*(1-D170)/D166/((1+G166)^R168)</f>
        <v>1.1690699999999996</v>
      </c>
      <c r="S172" s="33">
        <f>D172*(1-D170)/D166/((1+G166)^S168)</f>
        <v>1.1690699999999996</v>
      </c>
      <c r="T172" s="33">
        <f>D172*(1-D170)/D166/((1+G166)^T168)</f>
        <v>1.1690699999999996</v>
      </c>
      <c r="U172" s="33">
        <f>D172*(1-D170)/D166/((1+G166)^U168)</f>
        <v>1.1690699999999996</v>
      </c>
      <c r="V172" s="33">
        <f>D172*(1-D170)/D166/((1+G166)^V168)</f>
        <v>1.1690699999999996</v>
      </c>
      <c r="W172" s="33">
        <f>D172*(1-D170)/D166/((1+G166)^W168)</f>
        <v>1.1690699999999996</v>
      </c>
      <c r="X172" s="33">
        <f>D172*(1-D170)/D166/((1+G166)^X168)</f>
        <v>1.1690699999999996</v>
      </c>
      <c r="Y172" s="33">
        <f>D172*(1-D170)/D166/((1+G166)^Y168)</f>
        <v>1.1690699999999996</v>
      </c>
      <c r="Z172" s="33">
        <f>D172*(1-D170)/D166/((1+G166)^Z168)</f>
        <v>1.1690699999999996</v>
      </c>
      <c r="AA172" s="33">
        <f>D172*(1-D170)/D166/((1+G166)^AA168)</f>
        <v>1.1690699999999996</v>
      </c>
    </row>
    <row r="173" spans="3:27" hidden="1" outlineLevel="1" x14ac:dyDescent="0.3">
      <c r="C173" s="18" t="s">
        <v>29</v>
      </c>
      <c r="D173" s="29">
        <v>0.35980000000000001</v>
      </c>
      <c r="F173" s="6" t="s">
        <v>17</v>
      </c>
      <c r="G173" s="33">
        <f>SUM(H174:AA174)</f>
        <v>4.8000000000000025</v>
      </c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spans="3:27" hidden="1" outlineLevel="1" x14ac:dyDescent="0.3">
      <c r="C174" s="18" t="s">
        <v>30</v>
      </c>
      <c r="D174" s="31">
        <v>0.69</v>
      </c>
      <c r="F174" s="7" t="s">
        <v>18</v>
      </c>
      <c r="G174" s="33"/>
      <c r="H174" s="33">
        <f>D169*D148/((1+G166)^H168)</f>
        <v>0.24</v>
      </c>
      <c r="I174" s="33">
        <f>D169*D148/((1+G166)^I168)</f>
        <v>0.24</v>
      </c>
      <c r="J174" s="33">
        <f>D169*D148/((1+G166)^J168)</f>
        <v>0.24</v>
      </c>
      <c r="K174" s="33">
        <f>D169*D148/((1+G166)^K168)</f>
        <v>0.24</v>
      </c>
      <c r="L174" s="33">
        <f>D169*D148/((1+G166)^L168)</f>
        <v>0.24</v>
      </c>
      <c r="M174" s="33">
        <f>D169*D148/((1+G166)^M168)</f>
        <v>0.24</v>
      </c>
      <c r="N174" s="33">
        <f>D169*D148/((1+G166)^N168)</f>
        <v>0.24</v>
      </c>
      <c r="O174" s="33">
        <f>D169*D148/((1+G166)^O168)</f>
        <v>0.24</v>
      </c>
      <c r="P174" s="33">
        <f>D169*D148/((1+G166)^P168)</f>
        <v>0.24</v>
      </c>
      <c r="Q174" s="33">
        <f>D169*D148/((1+G166)^Q168)</f>
        <v>0.24</v>
      </c>
      <c r="R174" s="33">
        <f>D169*D148/((1+G166)^R168)</f>
        <v>0.24</v>
      </c>
      <c r="S174" s="33">
        <f>D169*D148/((1+G166)^S168)</f>
        <v>0.24</v>
      </c>
      <c r="T174" s="33">
        <f>D169*D148/((1+G166)^T168)</f>
        <v>0.24</v>
      </c>
      <c r="U174" s="33">
        <f>D169*D148/((1+G166)^U168)</f>
        <v>0.24</v>
      </c>
      <c r="V174" s="33">
        <f>D169*D148/((1+G166)^V168)</f>
        <v>0.24</v>
      </c>
      <c r="W174" s="33">
        <f>D169*D148/((1+G166)^W168)</f>
        <v>0.24</v>
      </c>
      <c r="X174" s="33">
        <f>D169*D148/((1+G166)^X168)</f>
        <v>0.24</v>
      </c>
      <c r="Y174" s="33">
        <f>D169*D148/((1+G166)^Y168)</f>
        <v>0.24</v>
      </c>
      <c r="Z174" s="33">
        <f>D169*D148/((1+G166)^Z168)</f>
        <v>0.24</v>
      </c>
      <c r="AA174" s="33">
        <f>D169*D148/((1+G166)^AA168)</f>
        <v>0.24</v>
      </c>
    </row>
    <row r="175" spans="3:27" hidden="1" outlineLevel="1" x14ac:dyDescent="0.3">
      <c r="C175" s="18" t="s">
        <v>70</v>
      </c>
      <c r="D175" s="32">
        <f>分布式光伏电站IRR汇总!$B$27</f>
        <v>1</v>
      </c>
      <c r="F175" s="6" t="s">
        <v>19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>
        <f>D169*D172/((1+G166)^AA168)</f>
        <v>0.9844799999999998</v>
      </c>
    </row>
    <row r="176" spans="3:27" hidden="1" outlineLevel="1" x14ac:dyDescent="0.3">
      <c r="C176" s="18" t="s">
        <v>69</v>
      </c>
      <c r="D176" s="31">
        <f>D175*D174</f>
        <v>0.69</v>
      </c>
      <c r="F176" s="8" t="s">
        <v>64</v>
      </c>
      <c r="G176" s="33">
        <f>SUM(H177:AA177)</f>
        <v>107363.52673508412</v>
      </c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spans="2:27" hidden="1" outlineLevel="1" x14ac:dyDescent="0.3">
      <c r="C177" s="18" t="s">
        <v>31</v>
      </c>
      <c r="D177" s="27">
        <v>0</v>
      </c>
      <c r="F177" s="9" t="s">
        <v>65</v>
      </c>
      <c r="G177" s="33"/>
      <c r="H177" s="33">
        <f>D148*D165*(1-D167)*D171/((1+G166)^H168)</f>
        <v>5601.2879999999996</v>
      </c>
      <c r="I177" s="33">
        <f>D148*D165*(1-D167)*(1-D168)^(I168-1)*D171/((1+G166)^I168)</f>
        <v>5576.0822039999994</v>
      </c>
      <c r="J177" s="33">
        <f>D148*D165*(1-D167)*(1-D168)^(J168-1)*D171/((1+G166)^J168)</f>
        <v>5550.989834082</v>
      </c>
      <c r="K177" s="33">
        <f>D148*D165*(1-D167)*(1-D168)^(K168-1)*D171/((1+G166)^K168)</f>
        <v>5526.0103798286318</v>
      </c>
      <c r="L177" s="33">
        <f>D148*D165*(1-D167)*(1-D168)^(L168-1)*D171/((1+G166)^L168)</f>
        <v>5501.143333119403</v>
      </c>
      <c r="M177" s="33">
        <f>D148*D165*(1-D167)*(1-D168)^(M168-1)*D171/((1+G166)^M168)</f>
        <v>5476.3881881203661</v>
      </c>
      <c r="N177" s="33">
        <f>D148*D165*(1-D167)*(1-D168)^(N168-1)*D171/((1+G166)^N168)</f>
        <v>5451.744441273825</v>
      </c>
      <c r="O177" s="33">
        <f>D148*D165*(1-D167)*(1-D168)^(O168-1)*D171/((1+G166)^O168)</f>
        <v>5427.2115912880927</v>
      </c>
      <c r="P177" s="33">
        <f>D148*D165*(1-D167)*(1-D168)^(P168-1)*D171/((1+G166)^P168)</f>
        <v>5402.789139127296</v>
      </c>
      <c r="Q177" s="33">
        <f>D148*D165*(1-D167)*(1-D168)^(Q168-1)*D171/((1+G166)^Q168)</f>
        <v>5378.4765880012246</v>
      </c>
      <c r="R177" s="33">
        <f>D148*D165*(1-D167)*(1-D168)^(R168-1)*D171/((1+G166)^R168)</f>
        <v>5354.2734433552196</v>
      </c>
      <c r="S177" s="33">
        <f>D148*D165*(1-D167)*(1-D168)^(S168-1)*D171/((1+G166)^S168)</f>
        <v>5330.179212860121</v>
      </c>
      <c r="T177" s="33">
        <f>D148*D165*(1-D167)*(1-D168)^(T168-1)*D171/((1+G166)^T168)</f>
        <v>5306.1934064022507</v>
      </c>
      <c r="U177" s="33">
        <f>D148*D165*(1-D167)*(1-D168)^(U168-1)*D171/((1+G166)^U168)</f>
        <v>5282.3155360734409</v>
      </c>
      <c r="V177" s="33">
        <f>D148*D165*(1-D167)*(1-D168)^(V168-1)*D171/((1+G166)^V168)</f>
        <v>5258.5451161611099</v>
      </c>
      <c r="W177" s="33">
        <f>D148*D165*(1-D167)*(1-D168)^(W168-1)*D171/((1+G166)^W168)</f>
        <v>5234.8816631383861</v>
      </c>
      <c r="X177" s="33">
        <f>D148*D165*(1-D167)*(1-D168)^(X168-1)*D171/((1+G166)^X168)</f>
        <v>5211.3246956542635</v>
      </c>
      <c r="Y177" s="33">
        <f>D148*D165*(1-D167)*(1-D168)^(Y168-1)*D171/((1+G166)^Y168)</f>
        <v>5187.8737345238196</v>
      </c>
      <c r="Z177" s="33">
        <f>D148*D165*(1-D167)*(1-D168)^(Z168-1)*D171/((1+G166)^Z168)</f>
        <v>5164.5283027184632</v>
      </c>
      <c r="AA177" s="33">
        <f>D148*D165*(1-D167)*(1-D168)^(AA168-1)*D171/((1+G166)^AA168)</f>
        <v>5141.2879253562305</v>
      </c>
    </row>
    <row r="178" spans="2:27" hidden="1" outlineLevel="1" x14ac:dyDescent="0.3">
      <c r="F178" s="4" t="s">
        <v>66</v>
      </c>
      <c r="G178" s="33">
        <f>SUM(H179:AA179)</f>
        <v>74.080833447208065</v>
      </c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spans="2:27" hidden="1" outlineLevel="1" x14ac:dyDescent="0.3">
      <c r="F179" s="7" t="s">
        <v>67</v>
      </c>
      <c r="G179" s="33"/>
      <c r="H179" s="33">
        <f>H177*D176/1000</f>
        <v>3.8648887199999993</v>
      </c>
      <c r="I179" s="33">
        <f>I177*D176/1000</f>
        <v>3.8474967207599993</v>
      </c>
      <c r="J179" s="33">
        <f>J177*D176/1000</f>
        <v>3.8301829855165797</v>
      </c>
      <c r="K179" s="33">
        <f>K177*D176/1000</f>
        <v>3.8129471620817559</v>
      </c>
      <c r="L179" s="33">
        <f>L177*D176/1000</f>
        <v>3.7957888998523877</v>
      </c>
      <c r="M179" s="33">
        <f>M177*D176/1000</f>
        <v>3.7787078498030522</v>
      </c>
      <c r="N179" s="33">
        <f>N177*D176/1000</f>
        <v>3.7617036644789392</v>
      </c>
      <c r="O179" s="33">
        <f>O177*D176/1000</f>
        <v>3.7447759979887838</v>
      </c>
      <c r="P179" s="33">
        <f>P177*D176/1000</f>
        <v>3.7279245059978341</v>
      </c>
      <c r="Q179" s="33">
        <f>Q177*D176/1000</f>
        <v>3.7111488457208446</v>
      </c>
      <c r="R179" s="33">
        <f>R177*D176/1000</f>
        <v>3.6944486759151012</v>
      </c>
      <c r="S179" s="33">
        <f>S177*D176/1000</f>
        <v>3.6778236568734832</v>
      </c>
      <c r="T179" s="33">
        <f>T177*D176/1000</f>
        <v>3.6612734504175526</v>
      </c>
      <c r="U179" s="33">
        <f>U177*D176/1000</f>
        <v>3.6447977198906738</v>
      </c>
      <c r="V179" s="33">
        <f>V177*D176/1000</f>
        <v>3.6283961301511654</v>
      </c>
      <c r="W179" s="33">
        <f>W177*D176/1000</f>
        <v>3.612068347565486</v>
      </c>
      <c r="X179" s="33">
        <f>X177*D176/1000</f>
        <v>3.5958140400014411</v>
      </c>
      <c r="Y179" s="33">
        <f>Y177*D176/1000</f>
        <v>3.5796328768214352</v>
      </c>
      <c r="Z179" s="33">
        <f>Z177*D176/1000</f>
        <v>3.5635245288757393</v>
      </c>
      <c r="AA179" s="33">
        <f>AA177*D176/1000</f>
        <v>3.5474886684957987</v>
      </c>
    </row>
    <row r="180" spans="2:27" hidden="1" outlineLevel="1" x14ac:dyDescent="0.3">
      <c r="F180" s="4" t="s">
        <v>20</v>
      </c>
      <c r="G180" s="33">
        <f>SUM(H181:AA181)</f>
        <v>11.474858361802017</v>
      </c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spans="2:27" hidden="1" outlineLevel="1" x14ac:dyDescent="0.3">
      <c r="F181" s="7" t="s">
        <v>21</v>
      </c>
      <c r="G181" s="33"/>
      <c r="H181" s="33">
        <f>(H179-H172-H174)*G167</f>
        <v>0.61395467999999997</v>
      </c>
      <c r="I181" s="33">
        <f>(I179-I172-I174)*G167</f>
        <v>0.60960668018999997</v>
      </c>
      <c r="J181" s="33">
        <f>(J179-J172-J174)*G167</f>
        <v>0.60527824637914507</v>
      </c>
      <c r="K181" s="33">
        <f>(K179-K172-K174)*G167</f>
        <v>0.60096929052043913</v>
      </c>
      <c r="L181" s="33">
        <f>(L179-L172-L174)*G167</f>
        <v>0.59667972496309707</v>
      </c>
      <c r="M181" s="33">
        <f>(M179-M172-M174)*G167</f>
        <v>0.5924094624507632</v>
      </c>
      <c r="N181" s="33">
        <f>(N179-N172-N174)*G167</f>
        <v>0.58815841611973485</v>
      </c>
      <c r="O181" s="33">
        <f>(O179-O172-O174)*G167</f>
        <v>0.58392649949719599</v>
      </c>
      <c r="P181" s="33">
        <f>(P179-P172-P174)*G167</f>
        <v>0.57971362649945868</v>
      </c>
      <c r="Q181" s="33">
        <f>(Q179-Q172-Q174)*G167</f>
        <v>0.5755197114302113</v>
      </c>
      <c r="R181" s="33">
        <f>(R179-R172-R174)*G167</f>
        <v>0.57134466897877534</v>
      </c>
      <c r="S181" s="33">
        <f>(S179-S172-S174)*G167</f>
        <v>0.56718841421837096</v>
      </c>
      <c r="T181" s="33">
        <f>(T179-T172-T174)*G167</f>
        <v>0.56305086260438819</v>
      </c>
      <c r="U181" s="33">
        <f>(U179-U172-U174)*G167</f>
        <v>0.5589319299726685</v>
      </c>
      <c r="V181" s="33">
        <f>(V179-V172-V174)*G167</f>
        <v>0.55483153253779149</v>
      </c>
      <c r="W181" s="33">
        <f>(W179-W172-W174)*G167</f>
        <v>0.55074958689137166</v>
      </c>
      <c r="X181" s="33">
        <f>(X179-X172-X174)*G167</f>
        <v>0.54668601000036032</v>
      </c>
      <c r="Y181" s="33">
        <f>(Y179-Y172-Y174)*G167</f>
        <v>0.54264071920535883</v>
      </c>
      <c r="Z181" s="33">
        <f>(Z179-Z172-Z174)*G167</f>
        <v>0.53861363221893499</v>
      </c>
      <c r="AA181" s="33">
        <f>(AA179-AA172-AA174)*G167</f>
        <v>0.53460466712394972</v>
      </c>
    </row>
    <row r="182" spans="2:27" hidden="1" outlineLevel="1" x14ac:dyDescent="0.3">
      <c r="F182" s="10" t="s">
        <v>22</v>
      </c>
      <c r="G182" s="33">
        <f>-G170</f>
        <v>-24.611999999999995</v>
      </c>
      <c r="H182" s="33">
        <f>H179-H181-H174</f>
        <v>3.0109340399999995</v>
      </c>
      <c r="I182" s="33">
        <f t="shared" ref="I182:AA182" si="7">I179-I181-I174</f>
        <v>2.9978900405699989</v>
      </c>
      <c r="J182" s="33">
        <f t="shared" si="7"/>
        <v>2.9849047391374341</v>
      </c>
      <c r="K182" s="33">
        <f t="shared" si="7"/>
        <v>2.9719778715613163</v>
      </c>
      <c r="L182" s="33">
        <f t="shared" si="7"/>
        <v>2.9591091748892904</v>
      </c>
      <c r="M182" s="33">
        <f t="shared" si="7"/>
        <v>2.9462983873522886</v>
      </c>
      <c r="N182" s="33">
        <f t="shared" si="7"/>
        <v>2.9335452483592039</v>
      </c>
      <c r="O182" s="33">
        <f t="shared" si="7"/>
        <v>2.920849498491588</v>
      </c>
      <c r="P182" s="33">
        <f t="shared" si="7"/>
        <v>2.908210879498375</v>
      </c>
      <c r="Q182" s="33">
        <f t="shared" si="7"/>
        <v>2.8956291342906333</v>
      </c>
      <c r="R182" s="33">
        <f t="shared" si="7"/>
        <v>2.8831040069363256</v>
      </c>
      <c r="S182" s="33">
        <f t="shared" si="7"/>
        <v>2.8706352426551121</v>
      </c>
      <c r="T182" s="33">
        <f t="shared" si="7"/>
        <v>2.858222587813164</v>
      </c>
      <c r="U182" s="33">
        <f t="shared" si="7"/>
        <v>2.8458657899180055</v>
      </c>
      <c r="V182" s="33">
        <f t="shared" si="7"/>
        <v>2.8335645976133739</v>
      </c>
      <c r="W182" s="33">
        <f t="shared" si="7"/>
        <v>2.8213187606741146</v>
      </c>
      <c r="X182" s="33">
        <f t="shared" si="7"/>
        <v>2.809128030001081</v>
      </c>
      <c r="Y182" s="33">
        <f t="shared" si="7"/>
        <v>2.7969921576160761</v>
      </c>
      <c r="Z182" s="33">
        <f t="shared" si="7"/>
        <v>2.7849108966568039</v>
      </c>
      <c r="AA182" s="33">
        <f t="shared" si="7"/>
        <v>2.7728840013718488</v>
      </c>
    </row>
    <row r="183" spans="2:27" ht="13.5" hidden="1" outlineLevel="1" thickBot="1" x14ac:dyDescent="0.35">
      <c r="F183" s="3" t="s">
        <v>68</v>
      </c>
      <c r="G183" s="40">
        <f>IRR(G182:AA182)</f>
        <v>0.10189968725118748</v>
      </c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2:27" ht="13.5" collapsed="1" thickTop="1" x14ac:dyDescent="0.3"/>
    <row r="185" spans="2:27" x14ac:dyDescent="0.3">
      <c r="B185" s="11" t="s">
        <v>136</v>
      </c>
      <c r="C185" s="11" t="s">
        <v>52</v>
      </c>
    </row>
    <row r="186" spans="2:27" x14ac:dyDescent="0.3">
      <c r="C186" s="11" t="s">
        <v>141</v>
      </c>
      <c r="D186" s="54">
        <f>D217</f>
        <v>1626</v>
      </c>
    </row>
    <row r="187" spans="2:27" x14ac:dyDescent="0.3">
      <c r="C187" s="16" t="s">
        <v>78</v>
      </c>
      <c r="D187" s="37">
        <f>(G216+G219+G226)/G222*1000</f>
        <v>0.29363845806695654</v>
      </c>
    </row>
    <row r="188" spans="2:27" x14ac:dyDescent="0.3">
      <c r="C188" s="13" t="s">
        <v>77</v>
      </c>
      <c r="D188" s="39">
        <f>(G197+G200+G207)/G203*1000</f>
        <v>0.41426168434886812</v>
      </c>
    </row>
    <row r="189" spans="2:27" x14ac:dyDescent="0.3">
      <c r="C189" s="13" t="s">
        <v>61</v>
      </c>
      <c r="D189" s="36">
        <f>G210</f>
        <v>0.6284986802986996</v>
      </c>
    </row>
    <row r="190" spans="2:27" x14ac:dyDescent="0.3">
      <c r="C190" s="13" t="s">
        <v>73</v>
      </c>
      <c r="D190" s="25">
        <f>SUM(G209:AA209)</f>
        <v>15.46860951951159</v>
      </c>
    </row>
    <row r="191" spans="2:27" ht="13.5" thickBot="1" x14ac:dyDescent="0.35">
      <c r="C191" s="23" t="s">
        <v>68</v>
      </c>
      <c r="D191" s="26">
        <f>G229</f>
        <v>0.14453729495054435</v>
      </c>
    </row>
    <row r="192" spans="2:27" ht="13.5" hidden="1" outlineLevel="1" thickTop="1" x14ac:dyDescent="0.3">
      <c r="E192" s="20"/>
      <c r="F192" s="38" t="s">
        <v>75</v>
      </c>
    </row>
    <row r="193" spans="3:27" hidden="1" outlineLevel="1" x14ac:dyDescent="0.3">
      <c r="C193" s="11" t="s">
        <v>71</v>
      </c>
      <c r="F193" s="13" t="s">
        <v>25</v>
      </c>
      <c r="G193" s="14">
        <v>7.0000000000000007E-2</v>
      </c>
    </row>
    <row r="194" spans="3:27" hidden="1" outlineLevel="1" x14ac:dyDescent="0.3">
      <c r="C194" s="18" t="s">
        <v>53</v>
      </c>
      <c r="D194" s="19">
        <f>分布式光伏电站IRR汇总!$B$2</f>
        <v>6</v>
      </c>
      <c r="F194" s="13" t="s">
        <v>26</v>
      </c>
      <c r="G194" s="14">
        <v>0.25</v>
      </c>
    </row>
    <row r="195" spans="3:27" hidden="1" outlineLevel="1" x14ac:dyDescent="0.3">
      <c r="C195" s="18" t="s">
        <v>56</v>
      </c>
      <c r="D195" s="19">
        <f>分布式光伏电站IRR汇总!$B$3</f>
        <v>120</v>
      </c>
      <c r="F195" s="1" t="s">
        <v>44</v>
      </c>
      <c r="G195" s="4"/>
      <c r="H195" s="5">
        <v>1</v>
      </c>
      <c r="I195" s="5">
        <v>2</v>
      </c>
      <c r="J195" s="5">
        <v>3</v>
      </c>
      <c r="K195" s="5">
        <v>4</v>
      </c>
      <c r="L195" s="5">
        <v>5</v>
      </c>
      <c r="M195" s="5">
        <v>6</v>
      </c>
      <c r="N195" s="5">
        <v>7</v>
      </c>
      <c r="O195" s="5">
        <v>8</v>
      </c>
      <c r="P195" s="5">
        <v>9</v>
      </c>
      <c r="Q195" s="5">
        <v>10</v>
      </c>
      <c r="R195" s="5">
        <v>11</v>
      </c>
      <c r="S195" s="5">
        <v>12</v>
      </c>
      <c r="T195" s="5">
        <v>13</v>
      </c>
      <c r="U195" s="5">
        <v>14</v>
      </c>
      <c r="V195" s="5">
        <v>15</v>
      </c>
      <c r="W195" s="5">
        <v>16</v>
      </c>
      <c r="X195" s="5">
        <v>17</v>
      </c>
      <c r="Y195" s="5">
        <v>18</v>
      </c>
      <c r="Z195" s="5">
        <v>19</v>
      </c>
      <c r="AA195" s="5">
        <v>20</v>
      </c>
    </row>
    <row r="196" spans="3:27" hidden="1" outlineLevel="1" x14ac:dyDescent="0.3">
      <c r="C196" s="18" t="s">
        <v>57</v>
      </c>
      <c r="D196" s="19">
        <f>分布式光伏电站IRR汇总!$B$4</f>
        <v>3</v>
      </c>
      <c r="F196" s="16"/>
      <c r="G196" s="2" t="s">
        <v>0</v>
      </c>
      <c r="H196" s="2" t="s">
        <v>1</v>
      </c>
      <c r="I196" s="2" t="s">
        <v>2</v>
      </c>
      <c r="J196" s="2" t="s">
        <v>3</v>
      </c>
      <c r="K196" s="2" t="s">
        <v>4</v>
      </c>
      <c r="L196" s="2" t="s">
        <v>5</v>
      </c>
      <c r="M196" s="2" t="s">
        <v>6</v>
      </c>
      <c r="N196" s="2" t="s">
        <v>7</v>
      </c>
      <c r="O196" s="2" t="s">
        <v>8</v>
      </c>
      <c r="P196" s="2" t="s">
        <v>9</v>
      </c>
      <c r="Q196" s="2" t="s">
        <v>10</v>
      </c>
      <c r="R196" s="2" t="s">
        <v>11</v>
      </c>
      <c r="S196" s="2" t="s">
        <v>12</v>
      </c>
      <c r="T196" s="2" t="s">
        <v>13</v>
      </c>
      <c r="U196" s="2" t="s">
        <v>45</v>
      </c>
      <c r="V196" s="2" t="s">
        <v>46</v>
      </c>
      <c r="W196" s="2" t="s">
        <v>47</v>
      </c>
      <c r="X196" s="2" t="s">
        <v>48</v>
      </c>
      <c r="Y196" s="2" t="s">
        <v>49</v>
      </c>
      <c r="Z196" s="2" t="s">
        <v>50</v>
      </c>
      <c r="AA196" s="2" t="s">
        <v>127</v>
      </c>
    </row>
    <row r="197" spans="3:27" hidden="1" outlineLevel="1" x14ac:dyDescent="0.3">
      <c r="C197" s="18" t="s">
        <v>54</v>
      </c>
      <c r="D197" s="19">
        <f>分布式光伏电站IRR汇总!$B$5</f>
        <v>5</v>
      </c>
      <c r="F197" s="6" t="s">
        <v>14</v>
      </c>
      <c r="G197" s="33">
        <f>D218</f>
        <v>24.611999999999995</v>
      </c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spans="3:27" hidden="1" outlineLevel="1" x14ac:dyDescent="0.3">
      <c r="C198" s="18" t="s">
        <v>55</v>
      </c>
      <c r="D198" s="19">
        <f>分布式光伏电站IRR汇总!$B$6</f>
        <v>15</v>
      </c>
      <c r="F198" s="6" t="s">
        <v>15</v>
      </c>
      <c r="G198" s="33">
        <f>SUM(H199:AA199)</f>
        <v>12.385144234005573</v>
      </c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spans="3:27" hidden="1" outlineLevel="1" x14ac:dyDescent="0.3">
      <c r="C199" s="18" t="s">
        <v>42</v>
      </c>
      <c r="D199" s="19">
        <f>分布式光伏电站IRR汇总!$B$7</f>
        <v>4.1019999999999994</v>
      </c>
      <c r="F199" s="7" t="s">
        <v>16</v>
      </c>
      <c r="G199" s="33"/>
      <c r="H199" s="33">
        <f>D218*(1-D216)/D212/((1+G193)^H195)</f>
        <v>1.0925887850467286</v>
      </c>
      <c r="I199" s="33">
        <f>D218*(1-D216)/D212/((1+G193)^I195)</f>
        <v>1.0211110140623632</v>
      </c>
      <c r="J199" s="33">
        <f>D218*(1-D216)/D212/((1+G193)^J195)</f>
        <v>0.95430935893678792</v>
      </c>
      <c r="K199" s="33">
        <f>D218*(1-D216)/D212/((1+G193)^K195)</f>
        <v>0.89187790554839996</v>
      </c>
      <c r="L199" s="33">
        <f>D218*(1-D216)/D212/((1+G193)^L195)</f>
        <v>0.83353075284897193</v>
      </c>
      <c r="M199" s="33">
        <f>D218*(1-D216)/D212/((1+G193)^M195)</f>
        <v>0.77900070359717</v>
      </c>
      <c r="N199" s="33">
        <f>D218*(1-D216)/D212/((1+G193)^N195)</f>
        <v>0.72803804074501866</v>
      </c>
      <c r="O199" s="33">
        <f>D218*(1-D216)/D212/((1+G193)^O195)</f>
        <v>0.6804093838738493</v>
      </c>
      <c r="P199" s="33">
        <f>D218*(1-D216)/D212/((1+G193)^P195)</f>
        <v>0.63589662044284967</v>
      </c>
      <c r="Q199" s="33">
        <f>D218*(1-D216)/D212/((1+G193)^Q195)</f>
        <v>0.59429590695593437</v>
      </c>
      <c r="R199" s="33">
        <f>D218*(1-D216)/D212/((1+G193)^R195)</f>
        <v>0.55541673547283577</v>
      </c>
      <c r="S199" s="33">
        <f>D218*(1-D216)/D212/((1+G193)^S195)</f>
        <v>0.51908106118956621</v>
      </c>
      <c r="T199" s="33">
        <f>D218*(1-D216)/D212/((1+G193)^T195)</f>
        <v>0.4851224870930525</v>
      </c>
      <c r="U199" s="33">
        <f>D218*(1-D216)/D212/((1+G193)^U195)</f>
        <v>0.45338550195612387</v>
      </c>
      <c r="V199" s="33">
        <f>D218*(1-D216)/D212/((1+G193)^V195)</f>
        <v>0.4237247681832933</v>
      </c>
      <c r="W199" s="33">
        <f>D218*(1-D216)/D212/((1+G193)^W195)</f>
        <v>0.39600445624606856</v>
      </c>
      <c r="X199" s="33">
        <f>D218*(1-D216)/D212/((1+G193)^X195)</f>
        <v>0.37009762265987711</v>
      </c>
      <c r="Y199" s="33">
        <f>D218*(1-D216)/D212/((1+G193)^Y195)</f>
        <v>0.34588562865409078</v>
      </c>
      <c r="Z199" s="33">
        <f>D218*(1-D216)/D212/((1+G193)^Z195)</f>
        <v>0.323257596872982</v>
      </c>
      <c r="AA199" s="33">
        <f>D218*(1-D216)/D212/((1+G193)^AA195)</f>
        <v>0.30210990361960938</v>
      </c>
    </row>
    <row r="200" spans="3:27" hidden="1" outlineLevel="1" x14ac:dyDescent="0.3">
      <c r="C200" s="21" t="s">
        <v>32</v>
      </c>
      <c r="D200" s="19">
        <f>分布式光伏电站IRR汇总!$B$8</f>
        <v>1.8870000000000002</v>
      </c>
      <c r="F200" s="6" t="s">
        <v>17</v>
      </c>
      <c r="G200" s="33">
        <f>SUM(H201:AA201)</f>
        <v>2.5425634189238777</v>
      </c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spans="3:27" hidden="1" outlineLevel="1" x14ac:dyDescent="0.3">
      <c r="C201" s="21" t="s">
        <v>33</v>
      </c>
      <c r="D201" s="19">
        <f>分布式光伏电站IRR汇总!$B$9</f>
        <v>0.18500000000000003</v>
      </c>
      <c r="F201" s="7" t="s">
        <v>18</v>
      </c>
      <c r="G201" s="33"/>
      <c r="H201" s="33">
        <f>D215*D194/((1+G193)^H195)</f>
        <v>0.22429906542056072</v>
      </c>
      <c r="I201" s="33">
        <f>D215*D194/((1+G193)^I195)</f>
        <v>0.20962529478557079</v>
      </c>
      <c r="J201" s="33">
        <f>D215*D194/((1+G193)^J195)</f>
        <v>0.19591149045380446</v>
      </c>
      <c r="K201" s="33">
        <f>D215*D194/((1+G193)^K195)</f>
        <v>0.18309485089140604</v>
      </c>
      <c r="L201" s="33">
        <f>D215*D194/((1+G193)^L195)</f>
        <v>0.17111668307608041</v>
      </c>
      <c r="M201" s="33">
        <f>D215*D194/((1+G193)^M195)</f>
        <v>0.15992213371596301</v>
      </c>
      <c r="N201" s="33">
        <f>D215*D194/((1+G193)^N195)</f>
        <v>0.14945993805230187</v>
      </c>
      <c r="O201" s="33">
        <f>D215*D194/((1+G193)^O195)</f>
        <v>0.13968218509560923</v>
      </c>
      <c r="P201" s="33">
        <f>D215*D194/((1+G193)^P195)</f>
        <v>0.13054409822019553</v>
      </c>
      <c r="Q201" s="33">
        <f>D215*D194/((1+G193)^Q195)</f>
        <v>0.12200383011233226</v>
      </c>
      <c r="R201" s="33">
        <f>D215*D194/((1+G193)^R195)</f>
        <v>0.1140222711330208</v>
      </c>
      <c r="S201" s="33">
        <f>D215*D194/((1+G193)^S195)</f>
        <v>0.10656287021777647</v>
      </c>
      <c r="T201" s="33">
        <f>D215*D194/((1+G193)^T195)</f>
        <v>9.9591467493249028E-2</v>
      </c>
      <c r="U201" s="33">
        <f>D215*D194/((1+G193)^U195)</f>
        <v>9.3076137844157969E-2</v>
      </c>
      <c r="V201" s="33">
        <f>D215*D194/((1+G193)^V195)</f>
        <v>8.6987044714166323E-2</v>
      </c>
      <c r="W201" s="33">
        <f>D215*D194/((1+G193)^W195)</f>
        <v>8.1296303471183481E-2</v>
      </c>
      <c r="X201" s="33">
        <f>D215*D194/((1+G193)^X195)</f>
        <v>7.5977853711386434E-2</v>
      </c>
      <c r="Y201" s="33">
        <f>D215*D194/((1+G193)^Y195)</f>
        <v>7.1007339917183582E-2</v>
      </c>
      <c r="Z201" s="33">
        <f>D215*D194/((1+G193)^Z195)</f>
        <v>6.6361999922601472E-2</v>
      </c>
      <c r="AA201" s="33">
        <f>D215*D194/((1+G193)^AA195)</f>
        <v>6.2020560675328483E-2</v>
      </c>
    </row>
    <row r="202" spans="3:27" hidden="1" outlineLevel="1" x14ac:dyDescent="0.3">
      <c r="C202" s="21" t="s">
        <v>34</v>
      </c>
      <c r="D202" s="19">
        <f>分布式光伏电站IRR汇总!$B$10</f>
        <v>0.222</v>
      </c>
      <c r="F202" s="6" t="s">
        <v>19</v>
      </c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>
        <f>D215*D218/((1+G193)^AA195)</f>
        <v>0.2544083398901974</v>
      </c>
    </row>
    <row r="203" spans="3:27" hidden="1" outlineLevel="1" x14ac:dyDescent="0.3">
      <c r="C203" s="21" t="s">
        <v>35</v>
      </c>
      <c r="D203" s="19">
        <f>分布式光伏电站IRR汇总!$B$11</f>
        <v>0.44400000000000001</v>
      </c>
      <c r="F203" s="8" t="s">
        <v>64</v>
      </c>
      <c r="G203" s="33">
        <f>SUM(H204:AA204)</f>
        <v>84894.466560375018</v>
      </c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spans="3:27" hidden="1" outlineLevel="1" x14ac:dyDescent="0.3">
      <c r="C204" s="21" t="s">
        <v>36</v>
      </c>
      <c r="D204" s="19">
        <f>分布式光伏电站IRR汇总!$B$12</f>
        <v>0.222</v>
      </c>
      <c r="F204" s="9" t="s">
        <v>65</v>
      </c>
      <c r="G204" s="33"/>
      <c r="H204" s="33">
        <f>D194*D211*(1-D213)*D217/((1+G193)^H195)</f>
        <v>7738.0580186915877</v>
      </c>
      <c r="I204" s="33">
        <f>D194*D211*(1-D213)*(1-D214)^(I195-1)*D217/((1+G193)^I195)</f>
        <v>7199.2866893527807</v>
      </c>
      <c r="J204" s="33">
        <f>D194*D211*(1-D213)*(1-D214)^(J195-1)*D217/((1+G193)^J195)</f>
        <v>6698.0279432249463</v>
      </c>
      <c r="K204" s="33">
        <f>D194*D211*(1-D213)*(1-D214)^(K195-1)*D217/((1+G193)^K195)</f>
        <v>6231.669922878913</v>
      </c>
      <c r="L204" s="33">
        <f>D194*D211*(1-D213)*(1-D214)^(L195-1)*D217/((1+G193)^L195)</f>
        <v>5797.7826245102406</v>
      </c>
      <c r="M204" s="33">
        <f>D194*D211*(1-D213)*(1-D214)^(M195-1)*D217/((1+G193)^M195)</f>
        <v>5394.1052361681732</v>
      </c>
      <c r="N204" s="33">
        <f>D194*D211*(1-D213)*(1-D214)^(N195-1)*D217/((1+G193)^N195)</f>
        <v>5018.5343575751549</v>
      </c>
      <c r="O204" s="33">
        <f>D194*D211*(1-D213)*(1-D214)^(O195-1)*D217/((1+G193)^O195)</f>
        <v>4669.1130401552027</v>
      </c>
      <c r="P204" s="33">
        <f>D194*D211*(1-D213)*(1-D214)^(P195-1)*D217/((1+G193)^P195)</f>
        <v>4344.0205901630879</v>
      </c>
      <c r="Q204" s="33">
        <f>D194*D211*(1-D213)*(1-D214)^(Q195-1)*D217/((1+G193)^Q195)</f>
        <v>4041.5630817825745</v>
      </c>
      <c r="R204" s="33">
        <f>D194*D211*(1-D213)*(1-D214)^(R195-1)*D217/((1+G193)^R195)</f>
        <v>3760.1645307612644</v>
      </c>
      <c r="S204" s="33">
        <f>D194*D211*(1-D213)*(1-D214)^(S195-1)*D217/((1+G193)^S195)</f>
        <v>3498.358682591439</v>
      </c>
      <c r="T204" s="33">
        <f>D194*D211*(1-D213)*(1-D214)^(T195-1)*D217/((1+G193)^T195)</f>
        <v>3254.7813724483899</v>
      </c>
      <c r="U204" s="33">
        <f>D194*D211*(1-D213)*(1-D214)^(U195-1)*D217/((1+G193)^U195)</f>
        <v>3028.1634170769835</v>
      </c>
      <c r="V204" s="33">
        <f>D194*D211*(1-D213)*(1-D214)^(V195-1)*D217/((1+G193)^V195)</f>
        <v>2817.3240015889128</v>
      </c>
      <c r="W204" s="33">
        <f>D194*D211*(1-D213)*(1-D214)^(W195-1)*D217/((1+G193)^W195)</f>
        <v>2621.1645267119288</v>
      </c>
      <c r="X204" s="33">
        <f>D194*D211*(1-D213)*(1-D214)^(X195-1)*D217/((1+G193)^X195)</f>
        <v>2438.6628844315187</v>
      </c>
      <c r="Y204" s="33">
        <f>D194*D211*(1-D213)*(1-D214)^(Y195-1)*D217/((1+G193)^Y195)</f>
        <v>2268.8681321977356</v>
      </c>
      <c r="Z204" s="33">
        <f>D194*D211*(1-D213)*(1-D214)^(Z195-1)*D217/((1+G193)^Z195)</f>
        <v>2110.8955379465851</v>
      </c>
      <c r="AA204" s="33">
        <f>D194*D211*(1-D213)*(1-D214)^(AA195-1)*D217/((1+G193)^AA195)</f>
        <v>1963.9219701175941</v>
      </c>
    </row>
    <row r="205" spans="3:27" hidden="1" outlineLevel="1" x14ac:dyDescent="0.3">
      <c r="C205" s="21" t="s">
        <v>37</v>
      </c>
      <c r="D205" s="19">
        <f>分布式光伏电站IRR汇总!$B$13</f>
        <v>0.15</v>
      </c>
      <c r="F205" s="4" t="s">
        <v>66</v>
      </c>
      <c r="G205" s="33">
        <f>SUM(H206:AA206)</f>
        <v>51.854994700270787</v>
      </c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spans="3:27" hidden="1" outlineLevel="1" x14ac:dyDescent="0.3">
      <c r="C206" s="21" t="s">
        <v>38</v>
      </c>
      <c r="D206" s="19">
        <f>分布式光伏电站IRR汇总!$B$14</f>
        <v>3.7000000000000005E-2</v>
      </c>
      <c r="F206" s="7" t="s">
        <v>67</v>
      </c>
      <c r="G206" s="33"/>
      <c r="H206" s="33">
        <f>H204*D222/1000</f>
        <v>4.7265384165442095</v>
      </c>
      <c r="I206" s="33">
        <f>I204*D222/1000</f>
        <v>4.3974476576352899</v>
      </c>
      <c r="J206" s="33">
        <f>J204*D222/1000</f>
        <v>4.0912702272672252</v>
      </c>
      <c r="K206" s="33">
        <f>K204*D222/1000</f>
        <v>3.8064107581724524</v>
      </c>
      <c r="L206" s="33">
        <f>L204*D222/1000</f>
        <v>3.5413849623931557</v>
      </c>
      <c r="M206" s="33">
        <f>M204*D222/1000</f>
        <v>3.2948118972545672</v>
      </c>
      <c r="N206" s="33">
        <f>N204*D222/1000</f>
        <v>3.0654067698288983</v>
      </c>
      <c r="O206" s="33">
        <f>O204*D222/1000</f>
        <v>2.8519742423968863</v>
      </c>
      <c r="P206" s="33">
        <f>P204*D222/1000</f>
        <v>2.6534022040243928</v>
      </c>
      <c r="Q206" s="33">
        <f>Q204*D222/1000</f>
        <v>2.4686559758002651</v>
      </c>
      <c r="R206" s="33">
        <f>R204*D222/1000</f>
        <v>2.2967729195412745</v>
      </c>
      <c r="S206" s="33">
        <f>S204*D222/1000</f>
        <v>2.1368574218722798</v>
      </c>
      <c r="T206" s="33">
        <f>T204*D222/1000</f>
        <v>1.9880762275456583</v>
      </c>
      <c r="U206" s="33">
        <f>U204*D222/1000</f>
        <v>1.8496540976838345</v>
      </c>
      <c r="V206" s="33">
        <f>V204*D222/1000</f>
        <v>1.7208697703217353</v>
      </c>
      <c r="W206" s="33">
        <f>W204*D222/1000</f>
        <v>1.6010522022012039</v>
      </c>
      <c r="X206" s="33">
        <f>X204*D222/1000</f>
        <v>1.4895770722348585</v>
      </c>
      <c r="Y206" s="33">
        <f>Y204*D222/1000</f>
        <v>1.3858635284203753</v>
      </c>
      <c r="Z206" s="33">
        <f>Z204*D222/1000</f>
        <v>1.2893711612546579</v>
      </c>
      <c r="AA206" s="33">
        <f>AA204*D222/1000</f>
        <v>1.1995971878775813</v>
      </c>
    </row>
    <row r="207" spans="3:27" hidden="1" outlineLevel="1" x14ac:dyDescent="0.3">
      <c r="C207" s="21" t="s">
        <v>39</v>
      </c>
      <c r="D207" s="19">
        <f>分布式光伏电站IRR汇总!$B$15</f>
        <v>0.25900000000000006</v>
      </c>
      <c r="F207" s="4" t="s">
        <v>20</v>
      </c>
      <c r="G207" s="33">
        <f>SUM(H208:V208)</f>
        <v>8.0139612902757449</v>
      </c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spans="3:27" hidden="1" outlineLevel="1" x14ac:dyDescent="0.3">
      <c r="C208" s="21" t="s">
        <v>40</v>
      </c>
      <c r="D208" s="19">
        <f>分布式光伏电站IRR汇总!$B$16</f>
        <v>7.400000000000001E-2</v>
      </c>
      <c r="F208" s="7" t="s">
        <v>21</v>
      </c>
      <c r="G208" s="33"/>
      <c r="H208" s="33">
        <f>(H206-H199-H201)*G194</f>
        <v>0.85241264151923002</v>
      </c>
      <c r="I208" s="33">
        <f>(I206-I199-I201)*G194</f>
        <v>0.79167783719683893</v>
      </c>
      <c r="J208" s="33">
        <f>(J206-J199-J201)*G194</f>
        <v>0.73526234446915817</v>
      </c>
      <c r="K208" s="33">
        <f>(K206-K199-K201)*G194</f>
        <v>0.68285950043316168</v>
      </c>
      <c r="L208" s="33">
        <f>(L206-L199-L201)*G194</f>
        <v>0.63418438161702584</v>
      </c>
      <c r="M208" s="33">
        <f>(M206-M199-M201)*G194</f>
        <v>0.58897226498535848</v>
      </c>
      <c r="N208" s="33">
        <f>(N206-N199-N201)*G194</f>
        <v>0.54697719775789444</v>
      </c>
      <c r="O208" s="33">
        <f>(O206-O199-O201)*G194</f>
        <v>0.507970668356857</v>
      </c>
      <c r="P208" s="33">
        <f>(P206-P199-P201)*G194</f>
        <v>0.47174037134033686</v>
      </c>
      <c r="Q208" s="33">
        <f>(Q206-Q199-Q201)*G194</f>
        <v>0.4380890596829996</v>
      </c>
      <c r="R208" s="33">
        <f>(R206-R199-R201)*G194</f>
        <v>0.40683347823385452</v>
      </c>
      <c r="S208" s="33">
        <f>(S206-S199-S201)*G194</f>
        <v>0.37780337261623426</v>
      </c>
      <c r="T208" s="33">
        <f>(T206-T199-T201)*G194</f>
        <v>0.35084056823983917</v>
      </c>
      <c r="U208" s="33">
        <f>(U206-U199-U201)*G194</f>
        <v>0.32579811447088813</v>
      </c>
      <c r="V208" s="33">
        <f>(V206-V199-V201)*G194</f>
        <v>0.30253948935606889</v>
      </c>
      <c r="W208" s="33">
        <f>(W206-W199-W201)*G194</f>
        <v>0.28093786062098797</v>
      </c>
      <c r="X208" s="33">
        <f>(X206-X199-X201)*G194</f>
        <v>0.26087539896589873</v>
      </c>
      <c r="Y208" s="33">
        <f>(Y206-Y199-Y201)*G194</f>
        <v>0.24224263996227524</v>
      </c>
      <c r="Z208" s="33">
        <f>(Z206-Z199-Z201)*G194</f>
        <v>0.22493789111476858</v>
      </c>
      <c r="AA208" s="33">
        <f>(AA206-AA199-AA201)*G194</f>
        <v>0.20886668089566088</v>
      </c>
    </row>
    <row r="209" spans="3:27" hidden="1" outlineLevel="1" x14ac:dyDescent="0.3">
      <c r="C209" s="21" t="s">
        <v>41</v>
      </c>
      <c r="D209" s="19">
        <f>分布式光伏电站IRR汇总!$B$17</f>
        <v>0.222</v>
      </c>
      <c r="F209" s="10" t="s">
        <v>22</v>
      </c>
      <c r="G209" s="33">
        <f>-G197</f>
        <v>-24.611999999999995</v>
      </c>
      <c r="H209" s="33">
        <f t="shared" ref="H209:AA209" si="8">H206-H208-H201</f>
        <v>3.6498267096044188</v>
      </c>
      <c r="I209" s="33">
        <f t="shared" si="8"/>
        <v>3.3961445256528799</v>
      </c>
      <c r="J209" s="33">
        <f t="shared" si="8"/>
        <v>3.1600963923442627</v>
      </c>
      <c r="K209" s="33">
        <f t="shared" si="8"/>
        <v>2.9404564068478849</v>
      </c>
      <c r="L209" s="33">
        <f t="shared" si="8"/>
        <v>2.7360838977000492</v>
      </c>
      <c r="M209" s="33">
        <f t="shared" si="8"/>
        <v>2.5459174985532456</v>
      </c>
      <c r="N209" s="33">
        <f t="shared" si="8"/>
        <v>2.3689696340187019</v>
      </c>
      <c r="O209" s="33">
        <f t="shared" si="8"/>
        <v>2.2043213889444204</v>
      </c>
      <c r="P209" s="33">
        <f t="shared" si="8"/>
        <v>2.0511177344638605</v>
      </c>
      <c r="Q209" s="33">
        <f t="shared" si="8"/>
        <v>1.9085630860049332</v>
      </c>
      <c r="R209" s="33">
        <f t="shared" si="8"/>
        <v>1.7759171701743992</v>
      </c>
      <c r="S209" s="33">
        <f t="shared" si="8"/>
        <v>1.652491179038269</v>
      </c>
      <c r="T209" s="33">
        <f t="shared" si="8"/>
        <v>1.5376441918125701</v>
      </c>
      <c r="U209" s="33">
        <f t="shared" si="8"/>
        <v>1.4307798453687883</v>
      </c>
      <c r="V209" s="33">
        <f t="shared" si="8"/>
        <v>1.3313432362515001</v>
      </c>
      <c r="W209" s="33">
        <f t="shared" si="8"/>
        <v>1.2388180381090323</v>
      </c>
      <c r="X209" s="33">
        <f t="shared" si="8"/>
        <v>1.1527238195575733</v>
      </c>
      <c r="Y209" s="33">
        <f t="shared" si="8"/>
        <v>1.0726135485409165</v>
      </c>
      <c r="Z209" s="33">
        <f t="shared" si="8"/>
        <v>0.99807127021728781</v>
      </c>
      <c r="AA209" s="33">
        <f t="shared" si="8"/>
        <v>0.92870994630659198</v>
      </c>
    </row>
    <row r="210" spans="3:27" ht="13.5" hidden="1" outlineLevel="1" thickBot="1" x14ac:dyDescent="0.35">
      <c r="C210" s="21" t="s">
        <v>74</v>
      </c>
      <c r="D210" s="19">
        <f>分布式光伏电站IRR汇总!$B$18</f>
        <v>0.4</v>
      </c>
      <c r="F210" s="3" t="s">
        <v>61</v>
      </c>
      <c r="G210" s="35">
        <f>SUM(G209:AA209)/G197</f>
        <v>0.6284986802986996</v>
      </c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3:27" ht="13.5" hidden="1" outlineLevel="1" thickTop="1" x14ac:dyDescent="0.3">
      <c r="C211" s="18" t="s">
        <v>58</v>
      </c>
      <c r="D211" s="19">
        <f>分布式光伏电站IRR汇总!$B$19</f>
        <v>0.86599999999999999</v>
      </c>
    </row>
    <row r="212" spans="3:27" hidden="1" outlineLevel="1" x14ac:dyDescent="0.3">
      <c r="C212" s="18" t="s">
        <v>62</v>
      </c>
      <c r="D212" s="19">
        <f>分布式光伏电站IRR汇总!$B$20</f>
        <v>20</v>
      </c>
      <c r="F212" s="13" t="s">
        <v>25</v>
      </c>
      <c r="G212" s="14">
        <v>0</v>
      </c>
    </row>
    <row r="213" spans="3:27" hidden="1" outlineLevel="1" x14ac:dyDescent="0.3">
      <c r="C213" s="18" t="s">
        <v>59</v>
      </c>
      <c r="D213" s="52">
        <f>分布式光伏电站IRR汇总!$B$21</f>
        <v>0.02</v>
      </c>
      <c r="F213" s="13" t="s">
        <v>26</v>
      </c>
      <c r="G213" s="14">
        <v>0.25</v>
      </c>
      <c r="Q213" s="15"/>
    </row>
    <row r="214" spans="3:27" hidden="1" outlineLevel="1" x14ac:dyDescent="0.3">
      <c r="C214" s="18" t="s">
        <v>60</v>
      </c>
      <c r="D214" s="52">
        <f>分布式光伏电站IRR汇总!$B$22</f>
        <v>4.4999999999999997E-3</v>
      </c>
      <c r="F214" s="1" t="s">
        <v>44</v>
      </c>
      <c r="G214" s="4"/>
      <c r="H214" s="5">
        <v>1</v>
      </c>
      <c r="I214" s="5">
        <v>2</v>
      </c>
      <c r="J214" s="5">
        <v>3</v>
      </c>
      <c r="K214" s="5">
        <v>4</v>
      </c>
      <c r="L214" s="5">
        <v>5</v>
      </c>
      <c r="M214" s="5">
        <v>6</v>
      </c>
      <c r="N214" s="5">
        <v>7</v>
      </c>
      <c r="O214" s="5">
        <v>8</v>
      </c>
      <c r="P214" s="5">
        <v>9</v>
      </c>
      <c r="Q214" s="5">
        <v>10</v>
      </c>
      <c r="R214" s="5">
        <v>11</v>
      </c>
      <c r="S214" s="5">
        <v>12</v>
      </c>
      <c r="T214" s="5">
        <v>13</v>
      </c>
      <c r="U214" s="5">
        <v>14</v>
      </c>
      <c r="V214" s="5">
        <v>15</v>
      </c>
      <c r="W214" s="5">
        <v>16</v>
      </c>
      <c r="X214" s="5">
        <v>17</v>
      </c>
      <c r="Y214" s="5">
        <v>18</v>
      </c>
      <c r="Z214" s="5">
        <v>19</v>
      </c>
      <c r="AA214" s="5">
        <v>20</v>
      </c>
    </row>
    <row r="215" spans="3:27" hidden="1" outlineLevel="1" x14ac:dyDescent="0.3">
      <c r="C215" s="18" t="s">
        <v>28</v>
      </c>
      <c r="D215" s="29">
        <f>分布式光伏电站IRR汇总!$B$23</f>
        <v>0.04</v>
      </c>
      <c r="F215" s="16"/>
      <c r="G215" s="2" t="s">
        <v>0</v>
      </c>
      <c r="H215" s="2" t="s">
        <v>1</v>
      </c>
      <c r="I215" s="2" t="s">
        <v>2</v>
      </c>
      <c r="J215" s="2" t="s">
        <v>3</v>
      </c>
      <c r="K215" s="2" t="s">
        <v>4</v>
      </c>
      <c r="L215" s="2" t="s">
        <v>5</v>
      </c>
      <c r="M215" s="2" t="s">
        <v>6</v>
      </c>
      <c r="N215" s="2" t="s">
        <v>7</v>
      </c>
      <c r="O215" s="2" t="s">
        <v>8</v>
      </c>
      <c r="P215" s="2" t="s">
        <v>9</v>
      </c>
      <c r="Q215" s="2" t="s">
        <v>10</v>
      </c>
      <c r="R215" s="2" t="s">
        <v>11</v>
      </c>
      <c r="S215" s="2" t="s">
        <v>12</v>
      </c>
      <c r="T215" s="2" t="s">
        <v>13</v>
      </c>
      <c r="U215" s="2" t="s">
        <v>45</v>
      </c>
      <c r="V215" s="2" t="s">
        <v>46</v>
      </c>
      <c r="W215" s="2" t="s">
        <v>47</v>
      </c>
      <c r="X215" s="2" t="s">
        <v>48</v>
      </c>
      <c r="Y215" s="2" t="s">
        <v>49</v>
      </c>
      <c r="Z215" s="2" t="s">
        <v>50</v>
      </c>
      <c r="AA215" s="2" t="s">
        <v>51</v>
      </c>
    </row>
    <row r="216" spans="3:27" hidden="1" outlineLevel="1" x14ac:dyDescent="0.3">
      <c r="C216" s="18" t="s">
        <v>43</v>
      </c>
      <c r="D216" s="19">
        <f>分布式光伏电站IRR汇总!$B$24</f>
        <v>0.05</v>
      </c>
      <c r="F216" s="6" t="s">
        <v>14</v>
      </c>
      <c r="G216" s="33">
        <f>D218</f>
        <v>24.611999999999995</v>
      </c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spans="3:27" hidden="1" outlineLevel="1" x14ac:dyDescent="0.3">
      <c r="C217" s="18" t="s">
        <v>126</v>
      </c>
      <c r="D217" s="28">
        <f>Backup分地区光伏小时数及电价!$E$5</f>
        <v>1626</v>
      </c>
      <c r="F217" s="6" t="s">
        <v>15</v>
      </c>
      <c r="G217" s="33">
        <f>SUM(H218:AA218)</f>
        <v>23.381399999999985</v>
      </c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spans="3:27" hidden="1" outlineLevel="1" x14ac:dyDescent="0.3">
      <c r="C218" s="24" t="s">
        <v>14</v>
      </c>
      <c r="D218" s="30">
        <f>D194*D199</f>
        <v>24.611999999999995</v>
      </c>
      <c r="F218" s="7" t="s">
        <v>16</v>
      </c>
      <c r="G218" s="33"/>
      <c r="H218" s="33">
        <f>D218*(1-D216)/D212/((1+G212)^H214)</f>
        <v>1.1690699999999996</v>
      </c>
      <c r="I218" s="33">
        <f>D218*(1-D216)/D212/((1+G212)^I214)</f>
        <v>1.1690699999999996</v>
      </c>
      <c r="J218" s="33">
        <f>D218*(1-D216)/D212/((1+G212)^J214)</f>
        <v>1.1690699999999996</v>
      </c>
      <c r="K218" s="33">
        <f>D218*(1-D216)/D212/((1+G212)^K214)</f>
        <v>1.1690699999999996</v>
      </c>
      <c r="L218" s="33">
        <f>D218*(1-D216)/D212/((1+G212)^L214)</f>
        <v>1.1690699999999996</v>
      </c>
      <c r="M218" s="33">
        <f>D218*(1-D216)/D212/((1+G212)^M214)</f>
        <v>1.1690699999999996</v>
      </c>
      <c r="N218" s="33">
        <f>D218*(1-D216)/D212/((1+G212)^N214)</f>
        <v>1.1690699999999996</v>
      </c>
      <c r="O218" s="33">
        <f>D218*(1-D216)/D212/((1+G212)^O214)</f>
        <v>1.1690699999999996</v>
      </c>
      <c r="P218" s="33">
        <f>D218*(1-D216)/D212/((1+G212)^P214)</f>
        <v>1.1690699999999996</v>
      </c>
      <c r="Q218" s="33">
        <f>D218*(1-D216)/D212/((1+G212)^Q214)</f>
        <v>1.1690699999999996</v>
      </c>
      <c r="R218" s="33">
        <f>D218*(1-D216)/D212/((1+G212)^R214)</f>
        <v>1.1690699999999996</v>
      </c>
      <c r="S218" s="33">
        <f>D218*(1-D216)/D212/((1+G212)^S214)</f>
        <v>1.1690699999999996</v>
      </c>
      <c r="T218" s="33">
        <f>D218*(1-D216)/D212/((1+G212)^T214)</f>
        <v>1.1690699999999996</v>
      </c>
      <c r="U218" s="33">
        <f>D218*(1-D216)/D212/((1+G212)^U214)</f>
        <v>1.1690699999999996</v>
      </c>
      <c r="V218" s="33">
        <f>D218*(1-D216)/D212/((1+G212)^V214)</f>
        <v>1.1690699999999996</v>
      </c>
      <c r="W218" s="33">
        <f>D218*(1-D216)/D212/((1+G212)^W214)</f>
        <v>1.1690699999999996</v>
      </c>
      <c r="X218" s="33">
        <f>D218*(1-D216)/D212/((1+G212)^X214)</f>
        <v>1.1690699999999996</v>
      </c>
      <c r="Y218" s="33">
        <f>D218*(1-D216)/D212/((1+G212)^Y214)</f>
        <v>1.1690699999999996</v>
      </c>
      <c r="Z218" s="33">
        <f>D218*(1-D216)/D212/((1+G212)^Z214)</f>
        <v>1.1690699999999996</v>
      </c>
      <c r="AA218" s="33">
        <f>D218*(1-D216)/D212/((1+G212)^AA214)</f>
        <v>1.1690699999999996</v>
      </c>
    </row>
    <row r="219" spans="3:27" hidden="1" outlineLevel="1" x14ac:dyDescent="0.3">
      <c r="C219" s="18" t="s">
        <v>29</v>
      </c>
      <c r="D219" s="29">
        <v>0.35980000000000001</v>
      </c>
      <c r="F219" s="6" t="s">
        <v>17</v>
      </c>
      <c r="G219" s="33">
        <f>SUM(H220:AA220)</f>
        <v>4.8000000000000025</v>
      </c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spans="3:27" hidden="1" outlineLevel="1" x14ac:dyDescent="0.3">
      <c r="C220" s="18" t="s">
        <v>30</v>
      </c>
      <c r="D220" s="31">
        <f>Backup分地区光伏小时数及电价!$I$5</f>
        <v>0.61081713333333343</v>
      </c>
      <c r="F220" s="7" t="s">
        <v>18</v>
      </c>
      <c r="G220" s="33"/>
      <c r="H220" s="33">
        <f>D215*D194/((1+G212)^H214)</f>
        <v>0.24</v>
      </c>
      <c r="I220" s="33">
        <f>D215*D194/((1+G212)^I214)</f>
        <v>0.24</v>
      </c>
      <c r="J220" s="33">
        <f>D215*D194/((1+G212)^J214)</f>
        <v>0.24</v>
      </c>
      <c r="K220" s="33">
        <f>D215*D194/((1+G212)^K214)</f>
        <v>0.24</v>
      </c>
      <c r="L220" s="33">
        <f>D215*D194/((1+G212)^L214)</f>
        <v>0.24</v>
      </c>
      <c r="M220" s="33">
        <f>D215*D194/((1+G212)^M214)</f>
        <v>0.24</v>
      </c>
      <c r="N220" s="33">
        <f>D215*D194/((1+G212)^N214)</f>
        <v>0.24</v>
      </c>
      <c r="O220" s="33">
        <f>D215*D194/((1+G212)^O214)</f>
        <v>0.24</v>
      </c>
      <c r="P220" s="33">
        <f>D215*D194/((1+G212)^P214)</f>
        <v>0.24</v>
      </c>
      <c r="Q220" s="33">
        <f>D215*D194/((1+G212)^Q214)</f>
        <v>0.24</v>
      </c>
      <c r="R220" s="33">
        <f>D215*D194/((1+G212)^R214)</f>
        <v>0.24</v>
      </c>
      <c r="S220" s="33">
        <f>D215*D194/((1+G212)^S214)</f>
        <v>0.24</v>
      </c>
      <c r="T220" s="33">
        <f>D215*D194/((1+G212)^T214)</f>
        <v>0.24</v>
      </c>
      <c r="U220" s="33">
        <f>D215*D194/((1+G212)^U214)</f>
        <v>0.24</v>
      </c>
      <c r="V220" s="33">
        <f>D215*D194/((1+G212)^V214)</f>
        <v>0.24</v>
      </c>
      <c r="W220" s="33">
        <f>D215*D194/((1+G212)^W214)</f>
        <v>0.24</v>
      </c>
      <c r="X220" s="33">
        <f>D215*D194/((1+G212)^X214)</f>
        <v>0.24</v>
      </c>
      <c r="Y220" s="33">
        <f>D215*D194/((1+G212)^Y214)</f>
        <v>0.24</v>
      </c>
      <c r="Z220" s="33">
        <f>D215*D194/((1+G212)^Z214)</f>
        <v>0.24</v>
      </c>
      <c r="AA220" s="33">
        <f>D215*D194/((1+G212)^AA214)</f>
        <v>0.24</v>
      </c>
    </row>
    <row r="221" spans="3:27" hidden="1" outlineLevel="1" x14ac:dyDescent="0.3">
      <c r="C221" s="18" t="s">
        <v>70</v>
      </c>
      <c r="D221" s="32">
        <f>分布式光伏电站IRR汇总!$B$27</f>
        <v>1</v>
      </c>
      <c r="F221" s="6" t="s">
        <v>19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>
        <f>D215*D218/((1+G212)^AA214)</f>
        <v>0.9844799999999998</v>
      </c>
    </row>
    <row r="222" spans="3:27" hidden="1" outlineLevel="1" x14ac:dyDescent="0.3">
      <c r="C222" s="18" t="s">
        <v>69</v>
      </c>
      <c r="D222" s="31">
        <f>D221*D220</f>
        <v>0.61081713333333343</v>
      </c>
      <c r="F222" s="8" t="s">
        <v>64</v>
      </c>
      <c r="G222" s="33">
        <f>SUM(H223:AA223)</f>
        <v>158702.81315567892</v>
      </c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spans="3:27" hidden="1" outlineLevel="1" x14ac:dyDescent="0.3">
      <c r="C223" s="18" t="s">
        <v>31</v>
      </c>
      <c r="D223" s="27">
        <v>0</v>
      </c>
      <c r="F223" s="9" t="s">
        <v>65</v>
      </c>
      <c r="G223" s="33"/>
      <c r="H223" s="33">
        <f>D194*D211*(1-D213)*D217/((1+G212)^H214)</f>
        <v>8279.7220799999996</v>
      </c>
      <c r="I223" s="33">
        <f>D194*D211*(1-D213)*(1-D214)^(I214-1)*D217/((1+G212)^I214)</f>
        <v>8242.4633306399992</v>
      </c>
      <c r="J223" s="33">
        <f>D194*D211*(1-D213)*(1-D214)^(J214-1)*D217/((1+G212)^J214)</f>
        <v>8205.3722456521191</v>
      </c>
      <c r="K223" s="33">
        <f>D194*D211*(1-D213)*(1-D214)^(K214-1)*D217/((1+G212)^K214)</f>
        <v>8168.4480705466867</v>
      </c>
      <c r="L223" s="33">
        <f>D194*D211*(1-D213)*(1-D214)^(L214-1)*D217/((1+G212)^L214)</f>
        <v>8131.6900542292269</v>
      </c>
      <c r="M223" s="33">
        <f>D194*D211*(1-D213)*(1-D214)^(M214-1)*D217/((1+G212)^M214)</f>
        <v>8095.097448985196</v>
      </c>
      <c r="N223" s="33">
        <f>D194*D211*(1-D213)*(1-D214)^(N214-1)*D217/((1+G212)^N214)</f>
        <v>8058.6695104647624</v>
      </c>
      <c r="O223" s="33">
        <f>D194*D211*(1-D213)*(1-D214)^(O214-1)*D217/((1+G212)^O214)</f>
        <v>8022.4054976676707</v>
      </c>
      <c r="P223" s="33">
        <f>D194*D211*(1-D213)*(1-D214)^(P214-1)*D217/((1+G212)^P214)</f>
        <v>7986.3046729281677</v>
      </c>
      <c r="Q223" s="33">
        <f>D194*D211*(1-D213)*(1-D214)^(Q214-1)*D217/((1+G212)^Q214)</f>
        <v>7950.3663018999914</v>
      </c>
      <c r="R223" s="33">
        <f>D194*D211*(1-D213)*(1-D214)^(R214-1)*D217/((1+G212)^R214)</f>
        <v>7914.5896535414422</v>
      </c>
      <c r="S223" s="33">
        <f>D194*D211*(1-D213)*(1-D214)^(S214-1)*D217/((1+G212)^S214)</f>
        <v>7878.9740001005057</v>
      </c>
      <c r="T223" s="33">
        <f>D194*D211*(1-D213)*(1-D214)^(T214-1)*D217/((1+G212)^T214)</f>
        <v>7843.5186171000541</v>
      </c>
      <c r="U223" s="33">
        <f>D194*D211*(1-D213)*(1-D214)^(U214-1)*D217/((1+G212)^U214)</f>
        <v>7808.2227833231036</v>
      </c>
      <c r="V223" s="33">
        <f>D194*D211*(1-D213)*(1-D214)^(V214-1)*D217/((1+G212)^V214)</f>
        <v>7773.0857807981502</v>
      </c>
      <c r="W223" s="33">
        <f>D194*D211*(1-D213)*(1-D214)^(W214-1)*D217/((1+G212)^W214)</f>
        <v>7738.1068947845597</v>
      </c>
      <c r="X223" s="33">
        <f>D194*D211*(1-D213)*(1-D214)^(X214-1)*D217/((1+G212)^X214)</f>
        <v>7703.2854137580298</v>
      </c>
      <c r="Y223" s="33">
        <f>D194*D211*(1-D213)*(1-D214)^(Y214-1)*D217/((1+G212)^Y214)</f>
        <v>7668.6206293961186</v>
      </c>
      <c r="Z223" s="33">
        <f>D194*D211*(1-D213)*(1-D214)^(Z214-1)*D217/((1+G212)^Z214)</f>
        <v>7634.1118365638376</v>
      </c>
      <c r="AA223" s="33">
        <f>D194*D211*(1-D213)*(1-D214)^(AA214-1)*D217/((1+G212)^AA214)</f>
        <v>7599.7583332993008</v>
      </c>
    </row>
    <row r="224" spans="3:27" hidden="1" outlineLevel="1" x14ac:dyDescent="0.3">
      <c r="F224" s="4" t="s">
        <v>66</v>
      </c>
      <c r="G224" s="33">
        <f>SUM(H225:AA225)</f>
        <v>96.93839738368743</v>
      </c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spans="2:27" hidden="1" outlineLevel="1" x14ac:dyDescent="0.3">
      <c r="F225" s="7" t="s">
        <v>67</v>
      </c>
      <c r="G225" s="33"/>
      <c r="H225" s="33">
        <f>H223*D222/1000</f>
        <v>5.0573961057023045</v>
      </c>
      <c r="I225" s="33">
        <f>I223*D222/1000</f>
        <v>5.0346378232266442</v>
      </c>
      <c r="J225" s="33">
        <f>J223*D222/1000</f>
        <v>5.0119819530221239</v>
      </c>
      <c r="K225" s="33">
        <f>K223*D222/1000</f>
        <v>4.9894280342335255</v>
      </c>
      <c r="L225" s="33">
        <f>L223*D222/1000</f>
        <v>4.9669756080794754</v>
      </c>
      <c r="M225" s="33">
        <f>M223*D222/1000</f>
        <v>4.9446242178431179</v>
      </c>
      <c r="N225" s="33">
        <f>N223*D222/1000</f>
        <v>4.922373408862823</v>
      </c>
      <c r="O225" s="33">
        <f>O223*D222/1000</f>
        <v>4.9002227285229409</v>
      </c>
      <c r="P225" s="33">
        <f>P223*D222/1000</f>
        <v>4.8781717262445881</v>
      </c>
      <c r="Q225" s="33">
        <f>Q223*D222/1000</f>
        <v>4.8562199534764874</v>
      </c>
      <c r="R225" s="33">
        <f>R223*D222/1000</f>
        <v>4.8343669636858442</v>
      </c>
      <c r="S225" s="33">
        <f>S223*D222/1000</f>
        <v>4.8126123123492581</v>
      </c>
      <c r="T225" s="33">
        <f>T223*D222/1000</f>
        <v>4.790955556943687</v>
      </c>
      <c r="U225" s="33">
        <f>U223*D222/1000</f>
        <v>4.7693962569374397</v>
      </c>
      <c r="V225" s="33">
        <f>V223*D222/1000</f>
        <v>4.7479339737812216</v>
      </c>
      <c r="W225" s="33">
        <f>W223*D222/1000</f>
        <v>4.7265682708992074</v>
      </c>
      <c r="X225" s="33">
        <f>X223*D222/1000</f>
        <v>4.7052987136801612</v>
      </c>
      <c r="Y225" s="33">
        <f>Y223*D222/1000</f>
        <v>4.6841248694686</v>
      </c>
      <c r="Z225" s="33">
        <f>Z223*D222/1000</f>
        <v>4.6630463075559927</v>
      </c>
      <c r="AA225" s="33">
        <f>AA223*D222/1000</f>
        <v>4.6420625991719904</v>
      </c>
    </row>
    <row r="226" spans="2:27" hidden="1" outlineLevel="1" x14ac:dyDescent="0.3">
      <c r="F226" s="4" t="s">
        <v>20</v>
      </c>
      <c r="G226" s="33">
        <f>SUM(H227:AA227)</f>
        <v>17.189249345921862</v>
      </c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spans="2:27" hidden="1" outlineLevel="1" x14ac:dyDescent="0.3">
      <c r="F227" s="7" t="s">
        <v>21</v>
      </c>
      <c r="G227" s="33"/>
      <c r="H227" s="33">
        <f>(H225-H218-H220)*G213</f>
        <v>0.91208152642557616</v>
      </c>
      <c r="I227" s="33">
        <f>(I225-I218-I220)*G213</f>
        <v>0.9063919558066611</v>
      </c>
      <c r="J227" s="33">
        <f>(J225-J218-J220)*G213</f>
        <v>0.90072798825553102</v>
      </c>
      <c r="K227" s="33">
        <f>(K225-K218-K220)*G213</f>
        <v>0.89508950855838143</v>
      </c>
      <c r="L227" s="33">
        <f>(L225-L218-L220)*G213</f>
        <v>0.88947640201986888</v>
      </c>
      <c r="M227" s="33">
        <f>(M225-M218-M220)*G213</f>
        <v>0.88388855446077952</v>
      </c>
      <c r="N227" s="33">
        <f>(N225-N218-N220)*G213</f>
        <v>0.8783258522157058</v>
      </c>
      <c r="O227" s="33">
        <f>(O225-O218-O220)*G213</f>
        <v>0.87278818213073528</v>
      </c>
      <c r="P227" s="33">
        <f>(P225-P218-P220)*G213</f>
        <v>0.86727543156114706</v>
      </c>
      <c r="Q227" s="33">
        <f>(Q225-Q218-Q220)*G213</f>
        <v>0.86178748836912189</v>
      </c>
      <c r="R227" s="33">
        <f>(R225-R218-R220)*G213</f>
        <v>0.85632424092146109</v>
      </c>
      <c r="S227" s="33">
        <f>(S225-S218-S220)*G213</f>
        <v>0.85088557808731458</v>
      </c>
      <c r="T227" s="33">
        <f>(T225-T218-T220)*G213</f>
        <v>0.8454713892359218</v>
      </c>
      <c r="U227" s="33">
        <f>(U225-U218-U220)*G213</f>
        <v>0.84008156423435998</v>
      </c>
      <c r="V227" s="33">
        <f>(V225-V218-V220)*G213</f>
        <v>0.83471599344530545</v>
      </c>
      <c r="W227" s="33">
        <f>(W225-W218-W220)*G213</f>
        <v>0.82937456772480189</v>
      </c>
      <c r="X227" s="33">
        <f>(X225-X218-X220)*G213</f>
        <v>0.82405717842004034</v>
      </c>
      <c r="Y227" s="33">
        <f>(Y225-Y218-Y220)*G213</f>
        <v>0.81876371736715003</v>
      </c>
      <c r="Z227" s="33">
        <f>(Z225-Z218-Z220)*G213</f>
        <v>0.81349407688899822</v>
      </c>
      <c r="AA227" s="33">
        <f>(AA225-AA218-AA220)*G213</f>
        <v>0.80824814979299764</v>
      </c>
    </row>
    <row r="228" spans="2:27" hidden="1" outlineLevel="1" x14ac:dyDescent="0.3">
      <c r="F228" s="10" t="s">
        <v>22</v>
      </c>
      <c r="G228" s="33">
        <f>-G216</f>
        <v>-24.611999999999995</v>
      </c>
      <c r="H228" s="33">
        <f>H225-H227-H220</f>
        <v>3.9053145792767285</v>
      </c>
      <c r="I228" s="33">
        <f t="shared" ref="I228:AA228" si="9">I225-I227-I220</f>
        <v>3.8882458674199825</v>
      </c>
      <c r="J228" s="33">
        <f t="shared" si="9"/>
        <v>3.8712539647665931</v>
      </c>
      <c r="K228" s="33">
        <f t="shared" si="9"/>
        <v>3.8543385256751437</v>
      </c>
      <c r="L228" s="33">
        <f t="shared" si="9"/>
        <v>3.837499206059606</v>
      </c>
      <c r="M228" s="33">
        <f t="shared" si="9"/>
        <v>3.8207356633823384</v>
      </c>
      <c r="N228" s="33">
        <f t="shared" si="9"/>
        <v>3.8040475566471166</v>
      </c>
      <c r="O228" s="33">
        <f t="shared" si="9"/>
        <v>3.7874345463922054</v>
      </c>
      <c r="P228" s="33">
        <f t="shared" si="9"/>
        <v>3.7708962946834408</v>
      </c>
      <c r="Q228" s="33">
        <f t="shared" si="9"/>
        <v>3.7544324651073655</v>
      </c>
      <c r="R228" s="33">
        <f t="shared" si="9"/>
        <v>3.7380427227643827</v>
      </c>
      <c r="S228" s="33">
        <f t="shared" si="9"/>
        <v>3.7217267342619431</v>
      </c>
      <c r="T228" s="33">
        <f t="shared" si="9"/>
        <v>3.7054841677077652</v>
      </c>
      <c r="U228" s="33">
        <f t="shared" si="9"/>
        <v>3.6893146927030793</v>
      </c>
      <c r="V228" s="33">
        <f t="shared" si="9"/>
        <v>3.6732179803359157</v>
      </c>
      <c r="W228" s="33">
        <f t="shared" si="9"/>
        <v>3.6571937031744053</v>
      </c>
      <c r="X228" s="33">
        <f t="shared" si="9"/>
        <v>3.6412415352601206</v>
      </c>
      <c r="Y228" s="33">
        <f t="shared" si="9"/>
        <v>3.6253611521014495</v>
      </c>
      <c r="Z228" s="33">
        <f t="shared" si="9"/>
        <v>3.6095522306669947</v>
      </c>
      <c r="AA228" s="33">
        <f t="shared" si="9"/>
        <v>3.5938144493789927</v>
      </c>
    </row>
    <row r="229" spans="2:27" ht="13.5" hidden="1" outlineLevel="1" thickBot="1" x14ac:dyDescent="0.35">
      <c r="F229" s="3" t="s">
        <v>68</v>
      </c>
      <c r="G229" s="40">
        <f>IRR(G228:AA228)</f>
        <v>0.14453729495054435</v>
      </c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2:27" ht="13.5" collapsed="1" thickTop="1" x14ac:dyDescent="0.3"/>
    <row r="231" spans="2:27" x14ac:dyDescent="0.3">
      <c r="B231" s="11" t="s">
        <v>137</v>
      </c>
      <c r="C231" s="11" t="s">
        <v>52</v>
      </c>
    </row>
    <row r="232" spans="2:27" x14ac:dyDescent="0.3">
      <c r="C232" s="11" t="s">
        <v>141</v>
      </c>
      <c r="D232" s="54">
        <f>D263</f>
        <v>1619</v>
      </c>
    </row>
    <row r="233" spans="2:27" x14ac:dyDescent="0.3">
      <c r="C233" s="16" t="s">
        <v>78</v>
      </c>
      <c r="D233" s="37">
        <f>(G262+G265+G272)/G268*1000</f>
        <v>0.29424780903862746</v>
      </c>
    </row>
    <row r="234" spans="2:27" x14ac:dyDescent="0.3">
      <c r="C234" s="13" t="s">
        <v>77</v>
      </c>
      <c r="D234" s="39">
        <f>(G243+G246+G253)/G249*1000</f>
        <v>0.41548125607884345</v>
      </c>
    </row>
    <row r="235" spans="2:27" x14ac:dyDescent="0.3">
      <c r="C235" s="13" t="s">
        <v>61</v>
      </c>
      <c r="D235" s="36">
        <f>G256</f>
        <v>0.62169596258281379</v>
      </c>
    </row>
    <row r="236" spans="2:27" x14ac:dyDescent="0.3">
      <c r="C236" s="13" t="s">
        <v>73</v>
      </c>
      <c r="D236" s="25">
        <f>SUM(G255:AA255)</f>
        <v>15.301181031088211</v>
      </c>
    </row>
    <row r="237" spans="2:27" ht="13.5" thickBot="1" x14ac:dyDescent="0.35">
      <c r="C237" s="23" t="s">
        <v>68</v>
      </c>
      <c r="D237" s="26">
        <f>G275</f>
        <v>0.14378662437529521</v>
      </c>
    </row>
    <row r="238" spans="2:27" ht="13.5" hidden="1" outlineLevel="1" thickTop="1" x14ac:dyDescent="0.3">
      <c r="E238" s="20"/>
      <c r="F238" s="38" t="s">
        <v>75</v>
      </c>
    </row>
    <row r="239" spans="2:27" hidden="1" outlineLevel="1" x14ac:dyDescent="0.3">
      <c r="C239" s="11" t="s">
        <v>71</v>
      </c>
      <c r="F239" s="13" t="s">
        <v>25</v>
      </c>
      <c r="G239" s="14">
        <v>7.0000000000000007E-2</v>
      </c>
    </row>
    <row r="240" spans="2:27" hidden="1" outlineLevel="1" x14ac:dyDescent="0.3">
      <c r="C240" s="18" t="s">
        <v>53</v>
      </c>
      <c r="D240" s="19">
        <f>分布式光伏电站IRR汇总!$B$2</f>
        <v>6</v>
      </c>
      <c r="F240" s="13" t="s">
        <v>26</v>
      </c>
      <c r="G240" s="14">
        <v>0.25</v>
      </c>
    </row>
    <row r="241" spans="3:27" hidden="1" outlineLevel="1" x14ac:dyDescent="0.3">
      <c r="C241" s="18" t="s">
        <v>56</v>
      </c>
      <c r="D241" s="19">
        <f>分布式光伏电站IRR汇总!$B$3</f>
        <v>120</v>
      </c>
      <c r="F241" s="1" t="s">
        <v>44</v>
      </c>
      <c r="G241" s="4"/>
      <c r="H241" s="5">
        <v>1</v>
      </c>
      <c r="I241" s="5">
        <v>2</v>
      </c>
      <c r="J241" s="5">
        <v>3</v>
      </c>
      <c r="K241" s="5">
        <v>4</v>
      </c>
      <c r="L241" s="5">
        <v>5</v>
      </c>
      <c r="M241" s="5">
        <v>6</v>
      </c>
      <c r="N241" s="5">
        <v>7</v>
      </c>
      <c r="O241" s="5">
        <v>8</v>
      </c>
      <c r="P241" s="5">
        <v>9</v>
      </c>
      <c r="Q241" s="5">
        <v>10</v>
      </c>
      <c r="R241" s="5">
        <v>11</v>
      </c>
      <c r="S241" s="5">
        <v>12</v>
      </c>
      <c r="T241" s="5">
        <v>13</v>
      </c>
      <c r="U241" s="5">
        <v>14</v>
      </c>
      <c r="V241" s="5">
        <v>15</v>
      </c>
      <c r="W241" s="5">
        <v>16</v>
      </c>
      <c r="X241" s="5">
        <v>17</v>
      </c>
      <c r="Y241" s="5">
        <v>18</v>
      </c>
      <c r="Z241" s="5">
        <v>19</v>
      </c>
      <c r="AA241" s="5">
        <v>20</v>
      </c>
    </row>
    <row r="242" spans="3:27" hidden="1" outlineLevel="1" x14ac:dyDescent="0.3">
      <c r="C242" s="18" t="s">
        <v>57</v>
      </c>
      <c r="D242" s="19">
        <f>分布式光伏电站IRR汇总!$B$4</f>
        <v>3</v>
      </c>
      <c r="F242" s="16"/>
      <c r="G242" s="2" t="s">
        <v>0</v>
      </c>
      <c r="H242" s="2" t="s">
        <v>1</v>
      </c>
      <c r="I242" s="2" t="s">
        <v>2</v>
      </c>
      <c r="J242" s="2" t="s">
        <v>3</v>
      </c>
      <c r="K242" s="2" t="s">
        <v>4</v>
      </c>
      <c r="L242" s="2" t="s">
        <v>5</v>
      </c>
      <c r="M242" s="2" t="s">
        <v>6</v>
      </c>
      <c r="N242" s="2" t="s">
        <v>7</v>
      </c>
      <c r="O242" s="2" t="s">
        <v>8</v>
      </c>
      <c r="P242" s="2" t="s">
        <v>9</v>
      </c>
      <c r="Q242" s="2" t="s">
        <v>10</v>
      </c>
      <c r="R242" s="2" t="s">
        <v>11</v>
      </c>
      <c r="S242" s="2" t="s">
        <v>12</v>
      </c>
      <c r="T242" s="2" t="s">
        <v>13</v>
      </c>
      <c r="U242" s="2" t="s">
        <v>45</v>
      </c>
      <c r="V242" s="2" t="s">
        <v>46</v>
      </c>
      <c r="W242" s="2" t="s">
        <v>47</v>
      </c>
      <c r="X242" s="2" t="s">
        <v>48</v>
      </c>
      <c r="Y242" s="2" t="s">
        <v>49</v>
      </c>
      <c r="Z242" s="2" t="s">
        <v>50</v>
      </c>
      <c r="AA242" s="2" t="s">
        <v>127</v>
      </c>
    </row>
    <row r="243" spans="3:27" hidden="1" outlineLevel="1" x14ac:dyDescent="0.3">
      <c r="C243" s="18" t="s">
        <v>54</v>
      </c>
      <c r="D243" s="19">
        <f>分布式光伏电站IRR汇总!$B$5</f>
        <v>5</v>
      </c>
      <c r="F243" s="6" t="s">
        <v>14</v>
      </c>
      <c r="G243" s="33">
        <f>D264</f>
        <v>24.611999999999995</v>
      </c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spans="3:27" hidden="1" outlineLevel="1" x14ac:dyDescent="0.3">
      <c r="C244" s="18" t="s">
        <v>55</v>
      </c>
      <c r="D244" s="19">
        <f>分布式光伏电站IRR汇总!$B$6</f>
        <v>15</v>
      </c>
      <c r="F244" s="6" t="s">
        <v>15</v>
      </c>
      <c r="G244" s="33">
        <f>SUM(H245:AA245)</f>
        <v>12.385144234005573</v>
      </c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spans="3:27" hidden="1" outlineLevel="1" x14ac:dyDescent="0.3">
      <c r="C245" s="18" t="s">
        <v>42</v>
      </c>
      <c r="D245" s="19">
        <f>分布式光伏电站IRR汇总!$B$7</f>
        <v>4.1019999999999994</v>
      </c>
      <c r="F245" s="7" t="s">
        <v>16</v>
      </c>
      <c r="G245" s="33"/>
      <c r="H245" s="33">
        <f>D264*(1-D262)/D258/((1+G239)^H241)</f>
        <v>1.0925887850467286</v>
      </c>
      <c r="I245" s="33">
        <f>D264*(1-D262)/D258/((1+G239)^I241)</f>
        <v>1.0211110140623632</v>
      </c>
      <c r="J245" s="33">
        <f>D264*(1-D262)/D258/((1+G239)^J241)</f>
        <v>0.95430935893678792</v>
      </c>
      <c r="K245" s="33">
        <f>D264*(1-D262)/D258/((1+G239)^K241)</f>
        <v>0.89187790554839996</v>
      </c>
      <c r="L245" s="33">
        <f>D264*(1-D262)/D258/((1+G239)^L241)</f>
        <v>0.83353075284897193</v>
      </c>
      <c r="M245" s="33">
        <f>D264*(1-D262)/D258/((1+G239)^M241)</f>
        <v>0.77900070359717</v>
      </c>
      <c r="N245" s="33">
        <f>D264*(1-D262)/D258/((1+G239)^N241)</f>
        <v>0.72803804074501866</v>
      </c>
      <c r="O245" s="33">
        <f>D264*(1-D262)/D258/((1+G239)^O241)</f>
        <v>0.6804093838738493</v>
      </c>
      <c r="P245" s="33">
        <f>D264*(1-D262)/D258/((1+G239)^P241)</f>
        <v>0.63589662044284967</v>
      </c>
      <c r="Q245" s="33">
        <f>D264*(1-D262)/D258/((1+G239)^Q241)</f>
        <v>0.59429590695593437</v>
      </c>
      <c r="R245" s="33">
        <f>D264*(1-D262)/D258/((1+G239)^R241)</f>
        <v>0.55541673547283577</v>
      </c>
      <c r="S245" s="33">
        <f>D264*(1-D262)/D258/((1+G239)^S241)</f>
        <v>0.51908106118956621</v>
      </c>
      <c r="T245" s="33">
        <f>D264*(1-D262)/D258/((1+G239)^T241)</f>
        <v>0.4851224870930525</v>
      </c>
      <c r="U245" s="33">
        <f>D264*(1-D262)/D258/((1+G239)^U241)</f>
        <v>0.45338550195612387</v>
      </c>
      <c r="V245" s="33">
        <f>D264*(1-D262)/D258/((1+G239)^V241)</f>
        <v>0.4237247681832933</v>
      </c>
      <c r="W245" s="33">
        <f>D264*(1-D262)/D258/((1+G239)^W241)</f>
        <v>0.39600445624606856</v>
      </c>
      <c r="X245" s="33">
        <f>D264*(1-D262)/D258/((1+G239)^X241)</f>
        <v>0.37009762265987711</v>
      </c>
      <c r="Y245" s="33">
        <f>D264*(1-D262)/D258/((1+G239)^Y241)</f>
        <v>0.34588562865409078</v>
      </c>
      <c r="Z245" s="33">
        <f>D264*(1-D262)/D258/((1+G239)^Z241)</f>
        <v>0.323257596872982</v>
      </c>
      <c r="AA245" s="33">
        <f>D264*(1-D262)/D258/((1+G239)^AA241)</f>
        <v>0.30210990361960938</v>
      </c>
    </row>
    <row r="246" spans="3:27" hidden="1" outlineLevel="1" x14ac:dyDescent="0.3">
      <c r="C246" s="21" t="s">
        <v>32</v>
      </c>
      <c r="D246" s="19">
        <f>分布式光伏电站IRR汇总!$B$8</f>
        <v>1.8870000000000002</v>
      </c>
      <c r="F246" s="6" t="s">
        <v>17</v>
      </c>
      <c r="G246" s="33">
        <f>SUM(H247:AA247)</f>
        <v>2.5425634189238777</v>
      </c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spans="3:27" hidden="1" outlineLevel="1" x14ac:dyDescent="0.3">
      <c r="C247" s="21" t="s">
        <v>33</v>
      </c>
      <c r="D247" s="19">
        <f>分布式光伏电站IRR汇总!$B$9</f>
        <v>0.18500000000000003</v>
      </c>
      <c r="F247" s="7" t="s">
        <v>18</v>
      </c>
      <c r="G247" s="33"/>
      <c r="H247" s="33">
        <f>D261*D240/((1+G239)^H241)</f>
        <v>0.22429906542056072</v>
      </c>
      <c r="I247" s="33">
        <f>D261*D240/((1+G239)^I241)</f>
        <v>0.20962529478557079</v>
      </c>
      <c r="J247" s="33">
        <f>D261*D240/((1+G239)^J241)</f>
        <v>0.19591149045380446</v>
      </c>
      <c r="K247" s="33">
        <f>D261*D240/((1+G239)^K241)</f>
        <v>0.18309485089140604</v>
      </c>
      <c r="L247" s="33">
        <f>D261*D240/((1+G239)^L241)</f>
        <v>0.17111668307608041</v>
      </c>
      <c r="M247" s="33">
        <f>D261*D240/((1+G239)^M241)</f>
        <v>0.15992213371596301</v>
      </c>
      <c r="N247" s="33">
        <f>D261*D240/((1+G239)^N241)</f>
        <v>0.14945993805230187</v>
      </c>
      <c r="O247" s="33">
        <f>D261*D240/((1+G239)^O241)</f>
        <v>0.13968218509560923</v>
      </c>
      <c r="P247" s="33">
        <f>D261*D240/((1+G239)^P241)</f>
        <v>0.13054409822019553</v>
      </c>
      <c r="Q247" s="33">
        <f>D261*D240/((1+G239)^Q241)</f>
        <v>0.12200383011233226</v>
      </c>
      <c r="R247" s="33">
        <f>D261*D240/((1+G239)^R241)</f>
        <v>0.1140222711330208</v>
      </c>
      <c r="S247" s="33">
        <f>D261*D240/((1+G239)^S241)</f>
        <v>0.10656287021777647</v>
      </c>
      <c r="T247" s="33">
        <f>D261*D240/((1+G239)^T241)</f>
        <v>9.9591467493249028E-2</v>
      </c>
      <c r="U247" s="33">
        <f>D261*D240/((1+G239)^U241)</f>
        <v>9.3076137844157969E-2</v>
      </c>
      <c r="V247" s="33">
        <f>D261*D240/((1+G239)^V241)</f>
        <v>8.6987044714166323E-2</v>
      </c>
      <c r="W247" s="33">
        <f>D261*D240/((1+G239)^W241)</f>
        <v>8.1296303471183481E-2</v>
      </c>
      <c r="X247" s="33">
        <f>D261*D240/((1+G239)^X241)</f>
        <v>7.5977853711386434E-2</v>
      </c>
      <c r="Y247" s="33">
        <f>D261*D240/((1+G239)^Y241)</f>
        <v>7.1007339917183582E-2</v>
      </c>
      <c r="Z247" s="33">
        <f>D261*D240/((1+G239)^Z241)</f>
        <v>6.6361999922601472E-2</v>
      </c>
      <c r="AA247" s="33">
        <f>D261*D240/((1+G239)^AA241)</f>
        <v>6.2020560675328483E-2</v>
      </c>
    </row>
    <row r="248" spans="3:27" hidden="1" outlineLevel="1" x14ac:dyDescent="0.3">
      <c r="C248" s="21" t="s">
        <v>34</v>
      </c>
      <c r="D248" s="19">
        <f>分布式光伏电站IRR汇总!$B$10</f>
        <v>0.222</v>
      </c>
      <c r="F248" s="6" t="s">
        <v>19</v>
      </c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>
        <f>D261*D264/((1+G239)^AA241)</f>
        <v>0.2544083398901974</v>
      </c>
    </row>
    <row r="249" spans="3:27" hidden="1" outlineLevel="1" x14ac:dyDescent="0.3">
      <c r="C249" s="21" t="s">
        <v>35</v>
      </c>
      <c r="D249" s="19">
        <f>分布式光伏电站IRR汇总!$B$11</f>
        <v>0.44400000000000001</v>
      </c>
      <c r="F249" s="8" t="s">
        <v>64</v>
      </c>
      <c r="G249" s="33">
        <f>SUM(H250:AA250)</f>
        <v>84528.992227089271</v>
      </c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spans="3:27" hidden="1" outlineLevel="1" x14ac:dyDescent="0.3">
      <c r="C250" s="21" t="s">
        <v>36</v>
      </c>
      <c r="D250" s="19">
        <f>分布式光伏电站IRR汇总!$B$12</f>
        <v>0.222</v>
      </c>
      <c r="F250" s="9" t="s">
        <v>65</v>
      </c>
      <c r="G250" s="33"/>
      <c r="H250" s="33">
        <f>D240*D257*(1-D259)*D263/((1+G239)^H241)</f>
        <v>7704.7453457943911</v>
      </c>
      <c r="I250" s="33">
        <f>D240*D257*(1-D259)*(1-D260)^(I241-1)*D263/((1+G239)^I241)</f>
        <v>7168.2934502227263</v>
      </c>
      <c r="J250" s="33">
        <f>D240*D257*(1-D259)*(1-D260)^(J241-1)*D263/((1+G239)^J241)</f>
        <v>6669.1926445763775</v>
      </c>
      <c r="K250" s="33">
        <f>D240*D257*(1-D259)*(1-D260)^(K241-1)*D263/((1+G239)^K241)</f>
        <v>6204.8423155848459</v>
      </c>
      <c r="L250" s="33">
        <f>D240*D257*(1-D259)*(1-D260)^(L241-1)*D263/((1+G239)^L241)</f>
        <v>5772.822920714686</v>
      </c>
      <c r="M250" s="33">
        <f>D240*D257*(1-D259)*(1-D260)^(M241-1)*D263/((1+G239)^M241)</f>
        <v>5370.8833809079169</v>
      </c>
      <c r="N250" s="33">
        <f>D240*D257*(1-D259)*(1-D260)^(N241-1)*D263/((1+G239)^N241)</f>
        <v>4996.9293511157293</v>
      </c>
      <c r="O250" s="33">
        <f>D240*D257*(1-D259)*(1-D260)^(O241-1)*D263/((1+G239)^O241)</f>
        <v>4649.0123075100082</v>
      </c>
      <c r="P250" s="33">
        <f>D240*D257*(1-D259)*(1-D260)^(P241-1)*D263/((1+G239)^P241)</f>
        <v>4325.3193945104795</v>
      </c>
      <c r="Q250" s="33">
        <f>D240*D257*(1-D259)*(1-D260)^(Q241-1)*D263/((1+G239)^Q241)</f>
        <v>4024.1639787244703</v>
      </c>
      <c r="R250" s="33">
        <f>D240*D257*(1-D259)*(1-D260)^(R241-1)*D263/((1+G239)^R241)</f>
        <v>3743.9768605796357</v>
      </c>
      <c r="S250" s="33">
        <f>D240*D257*(1-D259)*(1-D260)^(S241-1)*D263/((1+G239)^S241)</f>
        <v>3483.2980978570349</v>
      </c>
      <c r="T250" s="33">
        <f>D240*D257*(1-D259)*(1-D260)^(T241-1)*D263/((1+G239)^T241)</f>
        <v>3240.7693985202604</v>
      </c>
      <c r="U250" s="33">
        <f>D240*D257*(1-D259)*(1-D260)^(U241-1)*D263/((1+G239)^U241)</f>
        <v>3015.1270432027286</v>
      </c>
      <c r="V250" s="33">
        <f>D240*D257*(1-D259)*(1-D260)^(V241-1)*D263/((1+G239)^V241)</f>
        <v>2805.1953004750617</v>
      </c>
      <c r="W250" s="33">
        <f>D240*D257*(1-D259)*(1-D260)^(W241-1)*D263/((1+G239)^W241)</f>
        <v>2609.8803005821728</v>
      </c>
      <c r="X250" s="33">
        <f>D240*D257*(1-D259)*(1-D260)^(X241-1)*D263/((1+G239)^X241)</f>
        <v>2428.1643357285539</v>
      </c>
      <c r="Y250" s="33">
        <f>D240*D257*(1-D259)*(1-D260)^(Y241-1)*D263/((1+G239)^Y241)</f>
        <v>2259.1005572128743</v>
      </c>
      <c r="Z250" s="33">
        <f>D240*D257*(1-D259)*(1-D260)^(Z241-1)*D263/((1+G239)^Z241)</f>
        <v>2101.8080417807632</v>
      </c>
      <c r="AA250" s="33">
        <f>D240*D257*(1-D259)*(1-D260)^(AA241-1)*D263/((1+G239)^AA241)</f>
        <v>1955.4672014885516</v>
      </c>
    </row>
    <row r="251" spans="3:27" hidden="1" outlineLevel="1" x14ac:dyDescent="0.3">
      <c r="C251" s="21" t="s">
        <v>37</v>
      </c>
      <c r="D251" s="19">
        <f>分布式光伏电站IRR汇总!$B$13</f>
        <v>0.15</v>
      </c>
      <c r="F251" s="4" t="s">
        <v>66</v>
      </c>
      <c r="G251" s="33">
        <f>SUM(H252:AA252)</f>
        <v>51.631756715706302</v>
      </c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spans="3:27" hidden="1" outlineLevel="1" x14ac:dyDescent="0.3">
      <c r="C252" s="21" t="s">
        <v>38</v>
      </c>
      <c r="D252" s="19">
        <f>分布式光伏电站IRR汇总!$B$14</f>
        <v>3.7000000000000005E-2</v>
      </c>
      <c r="F252" s="7" t="s">
        <v>67</v>
      </c>
      <c r="G252" s="33"/>
      <c r="H252" s="33">
        <f>H250*D268/1000</f>
        <v>4.7061904651814732</v>
      </c>
      <c r="I252" s="33">
        <f>I250*D268/1000</f>
        <v>4.3785164561571559</v>
      </c>
      <c r="J252" s="33">
        <f>J250*D268/1000</f>
        <v>4.0736571328078961</v>
      </c>
      <c r="K252" s="33">
        <f>K250*D268/1000</f>
        <v>3.7900239959908983</v>
      </c>
      <c r="L252" s="33">
        <f>L250*D268/1000</f>
        <v>3.5261391476719055</v>
      </c>
      <c r="M252" s="33">
        <f>M250*D268/1000</f>
        <v>3.2806275901938156</v>
      </c>
      <c r="N252" s="33">
        <f>N250*D268/1000</f>
        <v>3.0522100617177039</v>
      </c>
      <c r="O252" s="33">
        <f>O250*D268/1000</f>
        <v>2.8396963705046487</v>
      </c>
      <c r="P252" s="33">
        <f>P250*D268/1000</f>
        <v>2.6419791933059606</v>
      </c>
      <c r="Q252" s="33">
        <f>Q250*D268/1000</f>
        <v>2.4580283055477428</v>
      </c>
      <c r="R252" s="33">
        <f>R250*D268/1000</f>
        <v>2.2868852132455864</v>
      </c>
      <c r="S252" s="33">
        <f>S250*D268/1000</f>
        <v>2.1276581586784875</v>
      </c>
      <c r="T252" s="33">
        <f>T250*D268/1000</f>
        <v>1.9795174737985366</v>
      </c>
      <c r="U252" s="33">
        <f>U250*D268/1000</f>
        <v>1.8416912571649005</v>
      </c>
      <c r="V252" s="33">
        <f>V250*D268/1000</f>
        <v>1.713461351876316</v>
      </c>
      <c r="W252" s="33">
        <f>W250*D268/1000</f>
        <v>1.5941596035447414</v>
      </c>
      <c r="X252" s="33">
        <f>X250*D268/1000</f>
        <v>1.4831643788119531</v>
      </c>
      <c r="Y252" s="33">
        <f>Y250*D268/1000</f>
        <v>1.3798973262685039</v>
      </c>
      <c r="Z252" s="33">
        <f>Z250*D268/1000</f>
        <v>1.2838203628974729</v>
      </c>
      <c r="AA252" s="33">
        <f>AA250*D268/1000</f>
        <v>1.1944328703405931</v>
      </c>
    </row>
    <row r="253" spans="3:27" hidden="1" outlineLevel="1" x14ac:dyDescent="0.3">
      <c r="C253" s="21" t="s">
        <v>39</v>
      </c>
      <c r="D253" s="19">
        <f>分布式光伏电站IRR汇总!$B$15</f>
        <v>0.25900000000000006</v>
      </c>
      <c r="F253" s="4" t="s">
        <v>20</v>
      </c>
      <c r="G253" s="33">
        <f>SUM(H254:V254)</f>
        <v>7.9656484466659725</v>
      </c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spans="3:27" hidden="1" outlineLevel="1" x14ac:dyDescent="0.3">
      <c r="C254" s="21" t="s">
        <v>40</v>
      </c>
      <c r="D254" s="19">
        <f>分布式光伏电站IRR汇总!$B$16</f>
        <v>7.400000000000001E-2</v>
      </c>
      <c r="F254" s="7" t="s">
        <v>21</v>
      </c>
      <c r="G254" s="33"/>
      <c r="H254" s="33">
        <f>(H252-H245-H247)*G240</f>
        <v>0.84732565367854595</v>
      </c>
      <c r="I254" s="33">
        <f>(I252-I245-I247)*G240</f>
        <v>0.78694503682730543</v>
      </c>
      <c r="J254" s="33">
        <f>(J252-J245-J247)*G240</f>
        <v>0.73085907085432589</v>
      </c>
      <c r="K254" s="33">
        <f>(K252-K245-K247)*G240</f>
        <v>0.67876280988777316</v>
      </c>
      <c r="L254" s="33">
        <f>(L252-L245-L247)*G240</f>
        <v>0.63037292793671318</v>
      </c>
      <c r="M254" s="33">
        <f>(M252-M245-M247)*G240</f>
        <v>0.58542618822017067</v>
      </c>
      <c r="N254" s="33">
        <f>(N252-N245-N247)*G240</f>
        <v>0.54367802073009586</v>
      </c>
      <c r="O254" s="33">
        <f>(O252-O245-O247)*G240</f>
        <v>0.5049012003837976</v>
      </c>
      <c r="P254" s="33">
        <f>(P252-P245-P247)*G240</f>
        <v>0.46888461866072884</v>
      </c>
      <c r="Q254" s="33">
        <f>(Q252-Q245-Q247)*G240</f>
        <v>0.43543214211986903</v>
      </c>
      <c r="R254" s="33">
        <f>(R252-R245-R247)*G240</f>
        <v>0.40436155165993248</v>
      </c>
      <c r="S254" s="33">
        <f>(S252-S245-S247)*G240</f>
        <v>0.37550355681778619</v>
      </c>
      <c r="T254" s="33">
        <f>(T252-T245-T247)*G240</f>
        <v>0.34870087980305881</v>
      </c>
      <c r="U254" s="33">
        <f>(U252-U245-U247)*G240</f>
        <v>0.32380740434115463</v>
      </c>
      <c r="V254" s="33">
        <f>(V252-V245-V247)*G240</f>
        <v>0.30068738474471413</v>
      </c>
      <c r="W254" s="33">
        <f>(W252-W245-W247)*G240</f>
        <v>0.27921471095687234</v>
      </c>
      <c r="X254" s="33">
        <f>(X252-X245-X247)*G240</f>
        <v>0.25927222561017238</v>
      </c>
      <c r="Y254" s="33">
        <f>(Y252-Y245-Y247)*G240</f>
        <v>0.2407510894243074</v>
      </c>
      <c r="Z254" s="33">
        <f>(Z252-Z245-Z247)*G240</f>
        <v>0.22355019152547234</v>
      </c>
      <c r="AA254" s="33">
        <f>(AA252-AA245-AA247)*G240</f>
        <v>0.20757560151141383</v>
      </c>
    </row>
    <row r="255" spans="3:27" hidden="1" outlineLevel="1" x14ac:dyDescent="0.3">
      <c r="C255" s="21" t="s">
        <v>41</v>
      </c>
      <c r="D255" s="19">
        <f>分布式光伏电站IRR汇总!$B$17</f>
        <v>0.222</v>
      </c>
      <c r="F255" s="10" t="s">
        <v>22</v>
      </c>
      <c r="G255" s="33">
        <f>-G243</f>
        <v>-24.611999999999995</v>
      </c>
      <c r="H255" s="33">
        <f t="shared" ref="H255:AA255" si="10">H252-H254-H247</f>
        <v>3.6345657460823664</v>
      </c>
      <c r="I255" s="33">
        <f t="shared" si="10"/>
        <v>3.3819461245442799</v>
      </c>
      <c r="J255" s="33">
        <f t="shared" si="10"/>
        <v>3.146886571499766</v>
      </c>
      <c r="K255" s="33">
        <f t="shared" si="10"/>
        <v>2.9281663352117193</v>
      </c>
      <c r="L255" s="33">
        <f t="shared" si="10"/>
        <v>2.7246495366591121</v>
      </c>
      <c r="M255" s="33">
        <f t="shared" si="10"/>
        <v>2.5352792682576819</v>
      </c>
      <c r="N255" s="33">
        <f t="shared" si="10"/>
        <v>2.3590721029353063</v>
      </c>
      <c r="O255" s="33">
        <f t="shared" si="10"/>
        <v>2.1951129850252422</v>
      </c>
      <c r="P255" s="33">
        <f t="shared" si="10"/>
        <v>2.0425504764250362</v>
      </c>
      <c r="Q255" s="33">
        <f t="shared" si="10"/>
        <v>1.9005923333155417</v>
      </c>
      <c r="R255" s="33">
        <f t="shared" si="10"/>
        <v>1.768501390452633</v>
      </c>
      <c r="S255" s="33">
        <f t="shared" si="10"/>
        <v>1.6455917316429247</v>
      </c>
      <c r="T255" s="33">
        <f t="shared" si="10"/>
        <v>1.5312251265022288</v>
      </c>
      <c r="U255" s="33">
        <f t="shared" si="10"/>
        <v>1.4248077149795877</v>
      </c>
      <c r="V255" s="33">
        <f t="shared" si="10"/>
        <v>1.3257869224174357</v>
      </c>
      <c r="W255" s="33">
        <f t="shared" si="10"/>
        <v>1.2336485891166855</v>
      </c>
      <c r="X255" s="33">
        <f t="shared" si="10"/>
        <v>1.1479142994903944</v>
      </c>
      <c r="Y255" s="33">
        <f t="shared" si="10"/>
        <v>1.0681388969270129</v>
      </c>
      <c r="Z255" s="33">
        <f t="shared" si="10"/>
        <v>0.99390817144939914</v>
      </c>
      <c r="AA255" s="33">
        <f t="shared" si="10"/>
        <v>0.92483670815385077</v>
      </c>
    </row>
    <row r="256" spans="3:27" ht="13.5" hidden="1" outlineLevel="1" thickBot="1" x14ac:dyDescent="0.35">
      <c r="C256" s="21" t="s">
        <v>74</v>
      </c>
      <c r="D256" s="19">
        <f>分布式光伏电站IRR汇总!$B$18</f>
        <v>0.4</v>
      </c>
      <c r="F256" s="3" t="s">
        <v>61</v>
      </c>
      <c r="G256" s="35">
        <f>SUM(G255:AA255)/G243</f>
        <v>0.62169596258281379</v>
      </c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3:27" ht="13.5" hidden="1" outlineLevel="1" thickTop="1" x14ac:dyDescent="0.3">
      <c r="C257" s="18" t="s">
        <v>58</v>
      </c>
      <c r="D257" s="19">
        <f>分布式光伏电站IRR汇总!$B$19</f>
        <v>0.86599999999999999</v>
      </c>
    </row>
    <row r="258" spans="3:27" hidden="1" outlineLevel="1" x14ac:dyDescent="0.3">
      <c r="C258" s="18" t="s">
        <v>62</v>
      </c>
      <c r="D258" s="19">
        <f>分布式光伏电站IRR汇总!$B$20</f>
        <v>20</v>
      </c>
      <c r="F258" s="13" t="s">
        <v>25</v>
      </c>
      <c r="G258" s="14">
        <v>0</v>
      </c>
    </row>
    <row r="259" spans="3:27" hidden="1" outlineLevel="1" x14ac:dyDescent="0.3">
      <c r="C259" s="18" t="s">
        <v>59</v>
      </c>
      <c r="D259" s="52">
        <f>分布式光伏电站IRR汇总!$B$21</f>
        <v>0.02</v>
      </c>
      <c r="F259" s="13" t="s">
        <v>26</v>
      </c>
      <c r="G259" s="14">
        <v>0.25</v>
      </c>
      <c r="Q259" s="15"/>
    </row>
    <row r="260" spans="3:27" hidden="1" outlineLevel="1" x14ac:dyDescent="0.3">
      <c r="C260" s="18" t="s">
        <v>60</v>
      </c>
      <c r="D260" s="52">
        <f>分布式光伏电站IRR汇总!$B$22</f>
        <v>4.4999999999999997E-3</v>
      </c>
      <c r="F260" s="1" t="s">
        <v>44</v>
      </c>
      <c r="G260" s="4"/>
      <c r="H260" s="5">
        <v>1</v>
      </c>
      <c r="I260" s="5">
        <v>2</v>
      </c>
      <c r="J260" s="5">
        <v>3</v>
      </c>
      <c r="K260" s="5">
        <v>4</v>
      </c>
      <c r="L260" s="5">
        <v>5</v>
      </c>
      <c r="M260" s="5">
        <v>6</v>
      </c>
      <c r="N260" s="5">
        <v>7</v>
      </c>
      <c r="O260" s="5">
        <v>8</v>
      </c>
      <c r="P260" s="5">
        <v>9</v>
      </c>
      <c r="Q260" s="5">
        <v>10</v>
      </c>
      <c r="R260" s="5">
        <v>11</v>
      </c>
      <c r="S260" s="5">
        <v>12</v>
      </c>
      <c r="T260" s="5">
        <v>13</v>
      </c>
      <c r="U260" s="5">
        <v>14</v>
      </c>
      <c r="V260" s="5">
        <v>15</v>
      </c>
      <c r="W260" s="5">
        <v>16</v>
      </c>
      <c r="X260" s="5">
        <v>17</v>
      </c>
      <c r="Y260" s="5">
        <v>18</v>
      </c>
      <c r="Z260" s="5">
        <v>19</v>
      </c>
      <c r="AA260" s="5">
        <v>20</v>
      </c>
    </row>
    <row r="261" spans="3:27" hidden="1" outlineLevel="1" x14ac:dyDescent="0.3">
      <c r="C261" s="18" t="s">
        <v>28</v>
      </c>
      <c r="D261" s="29">
        <f>分布式光伏电站IRR汇总!$B$23</f>
        <v>0.04</v>
      </c>
      <c r="F261" s="16"/>
      <c r="G261" s="2" t="s">
        <v>0</v>
      </c>
      <c r="H261" s="2" t="s">
        <v>1</v>
      </c>
      <c r="I261" s="2" t="s">
        <v>2</v>
      </c>
      <c r="J261" s="2" t="s">
        <v>3</v>
      </c>
      <c r="K261" s="2" t="s">
        <v>4</v>
      </c>
      <c r="L261" s="2" t="s">
        <v>5</v>
      </c>
      <c r="M261" s="2" t="s">
        <v>6</v>
      </c>
      <c r="N261" s="2" t="s">
        <v>7</v>
      </c>
      <c r="O261" s="2" t="s">
        <v>8</v>
      </c>
      <c r="P261" s="2" t="s">
        <v>9</v>
      </c>
      <c r="Q261" s="2" t="s">
        <v>10</v>
      </c>
      <c r="R261" s="2" t="s">
        <v>11</v>
      </c>
      <c r="S261" s="2" t="s">
        <v>12</v>
      </c>
      <c r="T261" s="2" t="s">
        <v>13</v>
      </c>
      <c r="U261" s="2" t="s">
        <v>45</v>
      </c>
      <c r="V261" s="2" t="s">
        <v>46</v>
      </c>
      <c r="W261" s="2" t="s">
        <v>47</v>
      </c>
      <c r="X261" s="2" t="s">
        <v>48</v>
      </c>
      <c r="Y261" s="2" t="s">
        <v>49</v>
      </c>
      <c r="Z261" s="2" t="s">
        <v>50</v>
      </c>
      <c r="AA261" s="2" t="s">
        <v>51</v>
      </c>
    </row>
    <row r="262" spans="3:27" hidden="1" outlineLevel="1" x14ac:dyDescent="0.3">
      <c r="C262" s="18" t="s">
        <v>43</v>
      </c>
      <c r="D262" s="19">
        <f>分布式光伏电站IRR汇总!$B$24</f>
        <v>0.05</v>
      </c>
      <c r="F262" s="6" t="s">
        <v>14</v>
      </c>
      <c r="G262" s="33">
        <f>D264</f>
        <v>24.611999999999995</v>
      </c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 spans="3:27" hidden="1" outlineLevel="1" x14ac:dyDescent="0.3">
      <c r="C263" s="18" t="s">
        <v>126</v>
      </c>
      <c r="D263" s="28">
        <f>Backup分地区光伏小时数及电价!E6</f>
        <v>1619</v>
      </c>
      <c r="F263" s="6" t="s">
        <v>15</v>
      </c>
      <c r="G263" s="33">
        <f>SUM(H264:AA264)</f>
        <v>23.381399999999985</v>
      </c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 spans="3:27" hidden="1" outlineLevel="1" x14ac:dyDescent="0.3">
      <c r="C264" s="24" t="s">
        <v>14</v>
      </c>
      <c r="D264" s="30">
        <f>D240*D245</f>
        <v>24.611999999999995</v>
      </c>
      <c r="F264" s="7" t="s">
        <v>16</v>
      </c>
      <c r="G264" s="33"/>
      <c r="H264" s="33">
        <f>D264*(1-D262)/D258/((1+G258)^H260)</f>
        <v>1.1690699999999996</v>
      </c>
      <c r="I264" s="33">
        <f>D264*(1-D262)/D258/((1+G258)^I260)</f>
        <v>1.1690699999999996</v>
      </c>
      <c r="J264" s="33">
        <f>D264*(1-D262)/D258/((1+G258)^J260)</f>
        <v>1.1690699999999996</v>
      </c>
      <c r="K264" s="33">
        <f>D264*(1-D262)/D258/((1+G258)^K260)</f>
        <v>1.1690699999999996</v>
      </c>
      <c r="L264" s="33">
        <f>D264*(1-D262)/D258/((1+G258)^L260)</f>
        <v>1.1690699999999996</v>
      </c>
      <c r="M264" s="33">
        <f>D264*(1-D262)/D258/((1+G258)^M260)</f>
        <v>1.1690699999999996</v>
      </c>
      <c r="N264" s="33">
        <f>D264*(1-D262)/D258/((1+G258)^N260)</f>
        <v>1.1690699999999996</v>
      </c>
      <c r="O264" s="33">
        <f>D264*(1-D262)/D258/((1+G258)^O260)</f>
        <v>1.1690699999999996</v>
      </c>
      <c r="P264" s="33">
        <f>D264*(1-D262)/D258/((1+G258)^P260)</f>
        <v>1.1690699999999996</v>
      </c>
      <c r="Q264" s="33">
        <f>D264*(1-D262)/D258/((1+G258)^Q260)</f>
        <v>1.1690699999999996</v>
      </c>
      <c r="R264" s="33">
        <f>D264*(1-D262)/D258/((1+G258)^R260)</f>
        <v>1.1690699999999996</v>
      </c>
      <c r="S264" s="33">
        <f>D264*(1-D262)/D258/((1+G258)^S260)</f>
        <v>1.1690699999999996</v>
      </c>
      <c r="T264" s="33">
        <f>D264*(1-D262)/D258/((1+G258)^T260)</f>
        <v>1.1690699999999996</v>
      </c>
      <c r="U264" s="33">
        <f>D264*(1-D262)/D258/((1+G258)^U260)</f>
        <v>1.1690699999999996</v>
      </c>
      <c r="V264" s="33">
        <f>D264*(1-D262)/D258/((1+G258)^V260)</f>
        <v>1.1690699999999996</v>
      </c>
      <c r="W264" s="33">
        <f>D264*(1-D262)/D258/((1+G258)^W260)</f>
        <v>1.1690699999999996</v>
      </c>
      <c r="X264" s="33">
        <f>D264*(1-D262)/D258/((1+G258)^X260)</f>
        <v>1.1690699999999996</v>
      </c>
      <c r="Y264" s="33">
        <f>D264*(1-D262)/D258/((1+G258)^Y260)</f>
        <v>1.1690699999999996</v>
      </c>
      <c r="Z264" s="33">
        <f>D264*(1-D262)/D258/((1+G258)^Z260)</f>
        <v>1.1690699999999996</v>
      </c>
      <c r="AA264" s="33">
        <f>D264*(1-D262)/D258/((1+G258)^AA260)</f>
        <v>1.1690699999999996</v>
      </c>
    </row>
    <row r="265" spans="3:27" hidden="1" outlineLevel="1" x14ac:dyDescent="0.3">
      <c r="C265" s="18" t="s">
        <v>29</v>
      </c>
      <c r="D265" s="29">
        <v>0.35980000000000001</v>
      </c>
      <c r="F265" s="6" t="s">
        <v>17</v>
      </c>
      <c r="G265" s="33">
        <f>SUM(H266:AA266)</f>
        <v>4.8000000000000025</v>
      </c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 spans="3:27" hidden="1" outlineLevel="1" x14ac:dyDescent="0.3">
      <c r="C266" s="18" t="s">
        <v>30</v>
      </c>
      <c r="D266" s="31">
        <f>Backup分地区光伏小时数及电价!$I$5</f>
        <v>0.61081713333333343</v>
      </c>
      <c r="F266" s="7" t="s">
        <v>18</v>
      </c>
      <c r="G266" s="33"/>
      <c r="H266" s="33">
        <f>D261*D240/((1+G258)^H260)</f>
        <v>0.24</v>
      </c>
      <c r="I266" s="33">
        <f>D261*D240/((1+G258)^I260)</f>
        <v>0.24</v>
      </c>
      <c r="J266" s="33">
        <f>D261*D240/((1+G258)^J260)</f>
        <v>0.24</v>
      </c>
      <c r="K266" s="33">
        <f>D261*D240/((1+G258)^K260)</f>
        <v>0.24</v>
      </c>
      <c r="L266" s="33">
        <f>D261*D240/((1+G258)^L260)</f>
        <v>0.24</v>
      </c>
      <c r="M266" s="33">
        <f>D261*D240/((1+G258)^M260)</f>
        <v>0.24</v>
      </c>
      <c r="N266" s="33">
        <f>D261*D240/((1+G258)^N260)</f>
        <v>0.24</v>
      </c>
      <c r="O266" s="33">
        <f>D261*D240/((1+G258)^O260)</f>
        <v>0.24</v>
      </c>
      <c r="P266" s="33">
        <f>D261*D240/((1+G258)^P260)</f>
        <v>0.24</v>
      </c>
      <c r="Q266" s="33">
        <f>D261*D240/((1+G258)^Q260)</f>
        <v>0.24</v>
      </c>
      <c r="R266" s="33">
        <f>D261*D240/((1+G258)^R260)</f>
        <v>0.24</v>
      </c>
      <c r="S266" s="33">
        <f>D261*D240/((1+G258)^S260)</f>
        <v>0.24</v>
      </c>
      <c r="T266" s="33">
        <f>D261*D240/((1+G258)^T260)</f>
        <v>0.24</v>
      </c>
      <c r="U266" s="33">
        <f>D261*D240/((1+G258)^U260)</f>
        <v>0.24</v>
      </c>
      <c r="V266" s="33">
        <f>D261*D240/((1+G258)^V260)</f>
        <v>0.24</v>
      </c>
      <c r="W266" s="33">
        <f>D261*D240/((1+G258)^W260)</f>
        <v>0.24</v>
      </c>
      <c r="X266" s="33">
        <f>D261*D240/((1+G258)^X260)</f>
        <v>0.24</v>
      </c>
      <c r="Y266" s="33">
        <f>D261*D240/((1+G258)^Y260)</f>
        <v>0.24</v>
      </c>
      <c r="Z266" s="33">
        <f>D261*D240/((1+G258)^Z260)</f>
        <v>0.24</v>
      </c>
      <c r="AA266" s="33">
        <f>D261*D240/((1+G258)^AA260)</f>
        <v>0.24</v>
      </c>
    </row>
    <row r="267" spans="3:27" hidden="1" outlineLevel="1" x14ac:dyDescent="0.3">
      <c r="C267" s="18" t="s">
        <v>70</v>
      </c>
      <c r="D267" s="32">
        <f>分布式光伏电站IRR汇总!$B$27</f>
        <v>1</v>
      </c>
      <c r="F267" s="6" t="s">
        <v>19</v>
      </c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>
        <f>D261*D264/((1+G258)^AA260)</f>
        <v>0.9844799999999998</v>
      </c>
    </row>
    <row r="268" spans="3:27" hidden="1" outlineLevel="1" x14ac:dyDescent="0.3">
      <c r="C268" s="18" t="s">
        <v>69</v>
      </c>
      <c r="D268" s="31">
        <f>D267*D266</f>
        <v>0.61081713333333343</v>
      </c>
      <c r="F268" s="8" t="s">
        <v>64</v>
      </c>
      <c r="G268" s="33">
        <f>SUM(H269:AA269)</f>
        <v>158019.59071281931</v>
      </c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 spans="3:27" hidden="1" outlineLevel="1" x14ac:dyDescent="0.3">
      <c r="C269" s="18" t="s">
        <v>31</v>
      </c>
      <c r="D269" s="27">
        <v>0</v>
      </c>
      <c r="F269" s="9" t="s">
        <v>65</v>
      </c>
      <c r="G269" s="33"/>
      <c r="H269" s="33">
        <f>D240*D257*(1-D259)*D263/((1+G258)^H260)</f>
        <v>8244.0775199999989</v>
      </c>
      <c r="I269" s="33">
        <f>D240*D257*(1-D259)*(1-D260)^(I260-1)*D263/((1+G258)^I260)</f>
        <v>8206.9791711599992</v>
      </c>
      <c r="J269" s="33">
        <f>D240*D257*(1-D259)*(1-D260)^(J260-1)*D263/((1+G258)^J260)</f>
        <v>8170.0477648897795</v>
      </c>
      <c r="K269" s="33">
        <f>D240*D257*(1-D259)*(1-D260)^(K260-1)*D263/((1+G258)^K260)</f>
        <v>8133.2825499477767</v>
      </c>
      <c r="L269" s="33">
        <f>D240*D257*(1-D259)*(1-D260)^(L260-1)*D263/((1+G258)^L260)</f>
        <v>8096.6827784730121</v>
      </c>
      <c r="M269" s="33">
        <f>D240*D257*(1-D259)*(1-D260)^(M260-1)*D263/((1+G258)^M260)</f>
        <v>8060.2477059698849</v>
      </c>
      <c r="N269" s="33">
        <f>D240*D257*(1-D259)*(1-D260)^(N260-1)*D263/((1+G258)^N260)</f>
        <v>8023.9765912930197</v>
      </c>
      <c r="O269" s="33">
        <f>D240*D257*(1-D259)*(1-D260)^(O260-1)*D263/((1+G258)^O260)</f>
        <v>7987.8686966322011</v>
      </c>
      <c r="P269" s="33">
        <f>D240*D257*(1-D259)*(1-D260)^(P260-1)*D263/((1+G258)^P260)</f>
        <v>7951.9232874973568</v>
      </c>
      <c r="Q269" s="33">
        <f>D240*D257*(1-D259)*(1-D260)^(Q260-1)*D263/((1+G258)^Q260)</f>
        <v>7916.13963270362</v>
      </c>
      <c r="R269" s="33">
        <f>D240*D257*(1-D259)*(1-D260)^(R260-1)*D263/((1+G258)^R260)</f>
        <v>7880.5170043564549</v>
      </c>
      <c r="S269" s="33">
        <f>D240*D257*(1-D259)*(1-D260)^(S260-1)*D263/((1+G258)^S260)</f>
        <v>7845.0546778368498</v>
      </c>
      <c r="T269" s="33">
        <f>D240*D257*(1-D259)*(1-D260)^(T260-1)*D263/((1+G258)^T260)</f>
        <v>7809.7519317865854</v>
      </c>
      <c r="U269" s="33">
        <f>D240*D257*(1-D259)*(1-D260)^(U260-1)*D263/((1+G258)^U260)</f>
        <v>7774.6080480935461</v>
      </c>
      <c r="V269" s="33">
        <f>D240*D257*(1-D259)*(1-D260)^(V260-1)*D263/((1+G258)^V260)</f>
        <v>7739.622311877125</v>
      </c>
      <c r="W269" s="33">
        <f>D240*D257*(1-D259)*(1-D260)^(W260-1)*D263/((1+G258)^W260)</f>
        <v>7704.7940114736793</v>
      </c>
      <c r="X269" s="33">
        <f>D240*D257*(1-D259)*(1-D260)^(X260-1)*D263/((1+G258)^X260)</f>
        <v>7670.1224384220477</v>
      </c>
      <c r="Y269" s="33">
        <f>D240*D257*(1-D259)*(1-D260)^(Y260-1)*D263/((1+G258)^Y260)</f>
        <v>7635.6068874491484</v>
      </c>
      <c r="Z269" s="33">
        <f>D240*D257*(1-D259)*(1-D260)^(Z260-1)*D263/((1+G258)^Z260)</f>
        <v>7601.2466564556289</v>
      </c>
      <c r="AA269" s="33">
        <f>D240*D257*(1-D259)*(1-D260)^(AA260-1)*D263/((1+G258)^AA260)</f>
        <v>7567.0410465015793</v>
      </c>
    </row>
    <row r="270" spans="3:27" hidden="1" outlineLevel="1" x14ac:dyDescent="0.3">
      <c r="C270" s="13"/>
      <c r="D270" s="17"/>
      <c r="F270" s="4" t="s">
        <v>66</v>
      </c>
      <c r="G270" s="33">
        <f>SUM(H271:AA271)</f>
        <v>96.521073409710922</v>
      </c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spans="3:27" hidden="1" outlineLevel="1" x14ac:dyDescent="0.3">
      <c r="C271" s="13"/>
      <c r="D271" s="17"/>
      <c r="F271" s="7" t="s">
        <v>67</v>
      </c>
      <c r="G271" s="33"/>
      <c r="H271" s="33">
        <f>H269*D268/1000</f>
        <v>5.0356237977441758</v>
      </c>
      <c r="I271" s="33">
        <f>I269*D268/1000</f>
        <v>5.0129634906543279</v>
      </c>
      <c r="J271" s="33">
        <f>J269*D268/1000</f>
        <v>4.9904051549463828</v>
      </c>
      <c r="K271" s="33">
        <f>K269*D268/1000</f>
        <v>4.9679483317491249</v>
      </c>
      <c r="L271" s="33">
        <f>L269*D268/1000</f>
        <v>4.9455925642562546</v>
      </c>
      <c r="M271" s="33">
        <f>M269*D268/1000</f>
        <v>4.923337397717102</v>
      </c>
      <c r="N271" s="33">
        <f>N269*D268/1000</f>
        <v>4.9011823794273752</v>
      </c>
      <c r="O271" s="33">
        <f>O269*D268/1000</f>
        <v>4.8791270587199511</v>
      </c>
      <c r="P271" s="33">
        <f>P269*D268/1000</f>
        <v>4.8571709869557118</v>
      </c>
      <c r="Q271" s="33">
        <f>Q269*D268/1000</f>
        <v>4.8353137175144116</v>
      </c>
      <c r="R271" s="33">
        <f>R269*D268/1000</f>
        <v>4.8135548057855972</v>
      </c>
      <c r="S271" s="33">
        <f>S269*D268/1000</f>
        <v>4.7918938091595615</v>
      </c>
      <c r="T271" s="33">
        <f>T269*D268/1000</f>
        <v>4.7703302870183455</v>
      </c>
      <c r="U271" s="33">
        <f>U269*D268/1000</f>
        <v>4.7488638007267632</v>
      </c>
      <c r="V271" s="33">
        <f>V269*D268/1000</f>
        <v>4.7274939136234924</v>
      </c>
      <c r="W271" s="33">
        <f>W269*D268/1000</f>
        <v>4.7062201910121875</v>
      </c>
      <c r="X271" s="33">
        <f>X269*D268/1000</f>
        <v>4.6850422001526324</v>
      </c>
      <c r="Y271" s="33">
        <f>Y269*D268/1000</f>
        <v>4.6639595102519449</v>
      </c>
      <c r="Z271" s="33">
        <f>Z269*D268/1000</f>
        <v>4.6429716924558129</v>
      </c>
      <c r="AA271" s="33">
        <f>AA269*D268/1000</f>
        <v>4.6220783198397619</v>
      </c>
    </row>
    <row r="272" spans="3:27" hidden="1" outlineLevel="1" x14ac:dyDescent="0.3">
      <c r="C272" s="13"/>
      <c r="D272" s="17"/>
      <c r="F272" s="4" t="s">
        <v>20</v>
      </c>
      <c r="G272" s="33">
        <f>SUM(H273:AA273)</f>
        <v>17.084918352427728</v>
      </c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spans="2:27" hidden="1" outlineLevel="1" x14ac:dyDescent="0.3">
      <c r="C273" s="13"/>
      <c r="D273" s="17"/>
      <c r="F273" s="7" t="s">
        <v>21</v>
      </c>
      <c r="G273" s="33"/>
      <c r="H273" s="33">
        <f>(H271-H264-H266)*G259</f>
        <v>0.90663844943604399</v>
      </c>
      <c r="I273" s="33">
        <f>(I271-I264-I266)*G259</f>
        <v>0.90097337266358202</v>
      </c>
      <c r="J273" s="33">
        <f>(J271-J264-J266)*G259</f>
        <v>0.89533378873659575</v>
      </c>
      <c r="K273" s="33">
        <f>(K271-K264-K266)*G259</f>
        <v>0.88971958293728126</v>
      </c>
      <c r="L273" s="33">
        <f>(L271-L264-L266)*G259</f>
        <v>0.88413064106406369</v>
      </c>
      <c r="M273" s="33">
        <f>(M271-M264-M266)*G259</f>
        <v>0.87856684942927554</v>
      </c>
      <c r="N273" s="33">
        <f>(N271-N264-N266)*G259</f>
        <v>0.87302809485684385</v>
      </c>
      <c r="O273" s="33">
        <f>(O271-O264-O266)*G259</f>
        <v>0.86751426467998782</v>
      </c>
      <c r="P273" s="33">
        <f>(P271-P264-P266)*G259</f>
        <v>0.862025246738928</v>
      </c>
      <c r="Q273" s="33">
        <f>(Q271-Q264-Q266)*G259</f>
        <v>0.85656092937860295</v>
      </c>
      <c r="R273" s="33">
        <f>(R271-R264-R266)*G259</f>
        <v>0.85112120144639936</v>
      </c>
      <c r="S273" s="33">
        <f>(S271-S264-S266)*G259</f>
        <v>0.84570595228989043</v>
      </c>
      <c r="T273" s="33">
        <f>(T271-T264-T266)*G259</f>
        <v>0.84031507175458642</v>
      </c>
      <c r="U273" s="33">
        <f>(U271-U264-U266)*G259</f>
        <v>0.83494845018169084</v>
      </c>
      <c r="V273" s="33">
        <f>(V271-V264-V266)*G259</f>
        <v>0.82960597840587313</v>
      </c>
      <c r="W273" s="33">
        <f>(W271-W264-W266)*G259</f>
        <v>0.82428754775304691</v>
      </c>
      <c r="X273" s="33">
        <f>(X271-X264-X266)*G259</f>
        <v>0.81899305003815814</v>
      </c>
      <c r="Y273" s="33">
        <f>(Y271-Y264-Y266)*G259</f>
        <v>0.81372237756298627</v>
      </c>
      <c r="Z273" s="33">
        <f>(Z271-Z264-Z266)*G259</f>
        <v>0.80847542311395326</v>
      </c>
      <c r="AA273" s="33">
        <f>(AA271-AA264-AA266)*G259</f>
        <v>0.80325207995994052</v>
      </c>
    </row>
    <row r="274" spans="2:27" hidden="1" outlineLevel="1" x14ac:dyDescent="0.3">
      <c r="C274" s="13"/>
      <c r="D274" s="17"/>
      <c r="F274" s="10" t="s">
        <v>22</v>
      </c>
      <c r="G274" s="33">
        <f>-G262</f>
        <v>-24.611999999999995</v>
      </c>
      <c r="H274" s="33">
        <f>H271-H273-H266</f>
        <v>3.8889853483081316</v>
      </c>
      <c r="I274" s="33">
        <f t="shared" ref="I274" si="11">I271-I273-I266</f>
        <v>3.8719901179907454</v>
      </c>
      <c r="J274" s="33">
        <f t="shared" ref="J274" si="12">J271-J273-J266</f>
        <v>3.8550713662097866</v>
      </c>
      <c r="K274" s="33">
        <f t="shared" ref="K274" si="13">K271-K273-K266</f>
        <v>3.8382287488118436</v>
      </c>
      <c r="L274" s="33">
        <f t="shared" ref="L274" si="14">L271-L273-L266</f>
        <v>3.8214619231921905</v>
      </c>
      <c r="M274" s="33">
        <f t="shared" ref="M274" si="15">M271-M273-M266</f>
        <v>3.8047705482878262</v>
      </c>
      <c r="N274" s="33">
        <f t="shared" ref="N274" si="16">N271-N273-N266</f>
        <v>3.7881542845705312</v>
      </c>
      <c r="O274" s="33">
        <f t="shared" ref="O274" si="17">O271-O273-O266</f>
        <v>3.7716127940399629</v>
      </c>
      <c r="P274" s="33">
        <f t="shared" ref="P274" si="18">P271-P273-P266</f>
        <v>3.7551457402167836</v>
      </c>
      <c r="Q274" s="33">
        <f t="shared" ref="Q274" si="19">Q271-Q273-Q266</f>
        <v>3.7387527881358089</v>
      </c>
      <c r="R274" s="33">
        <f t="shared" ref="R274" si="20">R271-R273-R266</f>
        <v>3.7224336043391979</v>
      </c>
      <c r="S274" s="33">
        <f t="shared" ref="S274" si="21">S271-S273-S266</f>
        <v>3.7061878568696711</v>
      </c>
      <c r="T274" s="33">
        <f t="shared" ref="T274" si="22">T271-T273-T266</f>
        <v>3.6900152152637586</v>
      </c>
      <c r="U274" s="33">
        <f t="shared" ref="U274" si="23">U271-U273-U266</f>
        <v>3.6739153505450721</v>
      </c>
      <c r="V274" s="33">
        <f t="shared" ref="V274" si="24">V271-V273-V266</f>
        <v>3.6578879352176195</v>
      </c>
      <c r="W274" s="33">
        <f t="shared" ref="W274" si="25">W271-W273-W266</f>
        <v>3.6419326432591408</v>
      </c>
      <c r="X274" s="33">
        <f t="shared" ref="X274" si="26">X271-X273-X266</f>
        <v>3.6260491501144738</v>
      </c>
      <c r="Y274" s="33">
        <f t="shared" ref="Y274" si="27">Y271-Y273-Y266</f>
        <v>3.6102371326889582</v>
      </c>
      <c r="Z274" s="33">
        <f t="shared" ref="Z274" si="28">Z271-Z273-Z266</f>
        <v>3.5944962693418594</v>
      </c>
      <c r="AA274" s="33">
        <f t="shared" ref="AA274" si="29">AA271-AA273-AA266</f>
        <v>3.5788262398798212</v>
      </c>
    </row>
    <row r="275" spans="2:27" ht="13.5" hidden="1" outlineLevel="1" thickBot="1" x14ac:dyDescent="0.35">
      <c r="C275" s="13"/>
      <c r="D275" s="17"/>
      <c r="F275" s="3" t="s">
        <v>68</v>
      </c>
      <c r="G275" s="40">
        <f>IRR(G274:AA274)</f>
        <v>0.14378662437529521</v>
      </c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2:27" ht="13.5" collapsed="1" thickTop="1" x14ac:dyDescent="0.3">
      <c r="C276" s="13"/>
      <c r="D276" s="17"/>
    </row>
    <row r="277" spans="2:27" x14ac:dyDescent="0.3">
      <c r="B277" s="11" t="s">
        <v>139</v>
      </c>
      <c r="C277" s="11" t="s">
        <v>52</v>
      </c>
    </row>
    <row r="278" spans="2:27" x14ac:dyDescent="0.3">
      <c r="C278" s="11" t="s">
        <v>141</v>
      </c>
      <c r="D278" s="54">
        <f>D309</f>
        <v>1655</v>
      </c>
    </row>
    <row r="279" spans="2:27" x14ac:dyDescent="0.3">
      <c r="C279" s="16" t="s">
        <v>78</v>
      </c>
      <c r="D279" s="37">
        <f>(G308+G311+G318)/G314*1000</f>
        <v>0.24238963330324548</v>
      </c>
    </row>
    <row r="280" spans="2:27" x14ac:dyDescent="0.3">
      <c r="C280" s="13" t="s">
        <v>77</v>
      </c>
      <c r="D280" s="39">
        <f>(G289+G292+G299)/G295*1000</f>
        <v>0.36709210704521689</v>
      </c>
    </row>
    <row r="281" spans="2:27" x14ac:dyDescent="0.3">
      <c r="C281" s="13" t="s">
        <v>61</v>
      </c>
      <c r="D281" s="36">
        <f>G302</f>
        <v>0.14291389618728748</v>
      </c>
    </row>
    <row r="282" spans="2:27" x14ac:dyDescent="0.3">
      <c r="C282" s="13" t="s">
        <v>73</v>
      </c>
      <c r="D282" s="25">
        <f>SUM(G301:AA301)</f>
        <v>3.5173968129615183</v>
      </c>
    </row>
    <row r="283" spans="2:27" ht="13.5" thickBot="1" x14ac:dyDescent="0.35">
      <c r="C283" s="23" t="s">
        <v>68</v>
      </c>
      <c r="D283" s="26">
        <f>G321</f>
        <v>8.8161200115596916E-2</v>
      </c>
    </row>
    <row r="284" spans="2:27" ht="13.5" hidden="1" outlineLevel="1" thickTop="1" x14ac:dyDescent="0.3">
      <c r="E284" s="20"/>
      <c r="F284" s="38" t="s">
        <v>75</v>
      </c>
    </row>
    <row r="285" spans="2:27" hidden="1" outlineLevel="1" x14ac:dyDescent="0.3">
      <c r="C285" s="11" t="s">
        <v>71</v>
      </c>
      <c r="F285" s="13" t="s">
        <v>25</v>
      </c>
      <c r="G285" s="14">
        <v>7.0000000000000007E-2</v>
      </c>
    </row>
    <row r="286" spans="2:27" hidden="1" outlineLevel="1" x14ac:dyDescent="0.3">
      <c r="C286" s="18" t="s">
        <v>53</v>
      </c>
      <c r="D286" s="19">
        <f>分布式光伏电站IRR汇总!$B$2</f>
        <v>6</v>
      </c>
      <c r="F286" s="13" t="s">
        <v>26</v>
      </c>
      <c r="G286" s="14">
        <v>0.25</v>
      </c>
    </row>
    <row r="287" spans="2:27" hidden="1" outlineLevel="1" x14ac:dyDescent="0.3">
      <c r="C287" s="18" t="s">
        <v>56</v>
      </c>
      <c r="D287" s="19">
        <f>分布式光伏电站IRR汇总!$B$3</f>
        <v>120</v>
      </c>
      <c r="F287" s="1" t="s">
        <v>44</v>
      </c>
      <c r="G287" s="4"/>
      <c r="H287" s="5">
        <v>1</v>
      </c>
      <c r="I287" s="5">
        <v>2</v>
      </c>
      <c r="J287" s="5">
        <v>3</v>
      </c>
      <c r="K287" s="5">
        <v>4</v>
      </c>
      <c r="L287" s="5">
        <v>5</v>
      </c>
      <c r="M287" s="5">
        <v>6</v>
      </c>
      <c r="N287" s="5">
        <v>7</v>
      </c>
      <c r="O287" s="5">
        <v>8</v>
      </c>
      <c r="P287" s="5">
        <v>9</v>
      </c>
      <c r="Q287" s="5">
        <v>10</v>
      </c>
      <c r="R287" s="5">
        <v>11</v>
      </c>
      <c r="S287" s="5">
        <v>12</v>
      </c>
      <c r="T287" s="5">
        <v>13</v>
      </c>
      <c r="U287" s="5">
        <v>14</v>
      </c>
      <c r="V287" s="5">
        <v>15</v>
      </c>
      <c r="W287" s="5">
        <v>16</v>
      </c>
      <c r="X287" s="5">
        <v>17</v>
      </c>
      <c r="Y287" s="5">
        <v>18</v>
      </c>
      <c r="Z287" s="5">
        <v>19</v>
      </c>
      <c r="AA287" s="5">
        <v>20</v>
      </c>
    </row>
    <row r="288" spans="2:27" hidden="1" outlineLevel="1" x14ac:dyDescent="0.3">
      <c r="C288" s="18" t="s">
        <v>57</v>
      </c>
      <c r="D288" s="19">
        <f>分布式光伏电站IRR汇总!$B$4</f>
        <v>3</v>
      </c>
      <c r="F288" s="16"/>
      <c r="G288" s="2" t="s">
        <v>0</v>
      </c>
      <c r="H288" s="2" t="s">
        <v>1</v>
      </c>
      <c r="I288" s="2" t="s">
        <v>2</v>
      </c>
      <c r="J288" s="2" t="s">
        <v>3</v>
      </c>
      <c r="K288" s="2" t="s">
        <v>4</v>
      </c>
      <c r="L288" s="2" t="s">
        <v>5</v>
      </c>
      <c r="M288" s="2" t="s">
        <v>6</v>
      </c>
      <c r="N288" s="2" t="s">
        <v>7</v>
      </c>
      <c r="O288" s="2" t="s">
        <v>8</v>
      </c>
      <c r="P288" s="2" t="s">
        <v>9</v>
      </c>
      <c r="Q288" s="2" t="s">
        <v>10</v>
      </c>
      <c r="R288" s="2" t="s">
        <v>11</v>
      </c>
      <c r="S288" s="2" t="s">
        <v>12</v>
      </c>
      <c r="T288" s="2" t="s">
        <v>13</v>
      </c>
      <c r="U288" s="2" t="s">
        <v>45</v>
      </c>
      <c r="V288" s="2" t="s">
        <v>46</v>
      </c>
      <c r="W288" s="2" t="s">
        <v>47</v>
      </c>
      <c r="X288" s="2" t="s">
        <v>48</v>
      </c>
      <c r="Y288" s="2" t="s">
        <v>49</v>
      </c>
      <c r="Z288" s="2" t="s">
        <v>50</v>
      </c>
      <c r="AA288" s="2" t="s">
        <v>127</v>
      </c>
    </row>
    <row r="289" spans="3:27" hidden="1" outlineLevel="1" x14ac:dyDescent="0.3">
      <c r="C289" s="18" t="s">
        <v>54</v>
      </c>
      <c r="D289" s="19">
        <f>分布式光伏电站IRR汇总!$B$5</f>
        <v>5</v>
      </c>
      <c r="F289" s="6" t="s">
        <v>14</v>
      </c>
      <c r="G289" s="33">
        <f>D310</f>
        <v>24.611999999999995</v>
      </c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 spans="3:27" hidden="1" outlineLevel="1" x14ac:dyDescent="0.3">
      <c r="C290" s="18" t="s">
        <v>55</v>
      </c>
      <c r="D290" s="19">
        <f>分布式光伏电站IRR汇总!$B$6</f>
        <v>15</v>
      </c>
      <c r="F290" s="6" t="s">
        <v>15</v>
      </c>
      <c r="G290" s="33">
        <f>SUM(H291:AA291)</f>
        <v>12.385144234005573</v>
      </c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 spans="3:27" hidden="1" outlineLevel="1" x14ac:dyDescent="0.3">
      <c r="C291" s="18" t="s">
        <v>42</v>
      </c>
      <c r="D291" s="19">
        <f>分布式光伏电站IRR汇总!$B$7</f>
        <v>4.1019999999999994</v>
      </c>
      <c r="F291" s="7" t="s">
        <v>16</v>
      </c>
      <c r="G291" s="33"/>
      <c r="H291" s="33">
        <f>D310*(1-D308)/D304/((1+G285)^H287)</f>
        <v>1.0925887850467286</v>
      </c>
      <c r="I291" s="33">
        <f>D310*(1-D308)/D304/((1+G285)^I287)</f>
        <v>1.0211110140623632</v>
      </c>
      <c r="J291" s="33">
        <f>D310*(1-D308)/D304/((1+G285)^J287)</f>
        <v>0.95430935893678792</v>
      </c>
      <c r="K291" s="33">
        <f>D310*(1-D308)/D304/((1+G285)^K287)</f>
        <v>0.89187790554839996</v>
      </c>
      <c r="L291" s="33">
        <f>D310*(1-D308)/D304/((1+G285)^L287)</f>
        <v>0.83353075284897193</v>
      </c>
      <c r="M291" s="33">
        <f>D310*(1-D308)/D304/((1+G285)^M287)</f>
        <v>0.77900070359717</v>
      </c>
      <c r="N291" s="33">
        <f>D310*(1-D308)/D304/((1+G285)^N287)</f>
        <v>0.72803804074501866</v>
      </c>
      <c r="O291" s="33">
        <f>D310*(1-D308)/D304/((1+G285)^O287)</f>
        <v>0.6804093838738493</v>
      </c>
      <c r="P291" s="33">
        <f>D310*(1-D308)/D304/((1+G285)^P287)</f>
        <v>0.63589662044284967</v>
      </c>
      <c r="Q291" s="33">
        <f>D310*(1-D308)/D304/((1+G285)^Q287)</f>
        <v>0.59429590695593437</v>
      </c>
      <c r="R291" s="33">
        <f>D310*(1-D308)/D304/((1+G285)^R287)</f>
        <v>0.55541673547283577</v>
      </c>
      <c r="S291" s="33">
        <f>D310*(1-D308)/D304/((1+G285)^S287)</f>
        <v>0.51908106118956621</v>
      </c>
      <c r="T291" s="33">
        <f>D310*(1-D308)/D304/((1+G285)^T287)</f>
        <v>0.4851224870930525</v>
      </c>
      <c r="U291" s="33">
        <f>D310*(1-D308)/D304/((1+G285)^U287)</f>
        <v>0.45338550195612387</v>
      </c>
      <c r="V291" s="33">
        <f>D310*(1-D308)/D304/((1+G285)^V287)</f>
        <v>0.4237247681832933</v>
      </c>
      <c r="W291" s="33">
        <f>D310*(1-D308)/D304/((1+G285)^W287)</f>
        <v>0.39600445624606856</v>
      </c>
      <c r="X291" s="33">
        <f>D310*(1-D308)/D304/((1+G285)^X287)</f>
        <v>0.37009762265987711</v>
      </c>
      <c r="Y291" s="33">
        <f>D310*(1-D308)/D304/((1+G285)^Y287)</f>
        <v>0.34588562865409078</v>
      </c>
      <c r="Z291" s="33">
        <f>D310*(1-D308)/D304/((1+G285)^Z287)</f>
        <v>0.323257596872982</v>
      </c>
      <c r="AA291" s="33">
        <f>D310*(1-D308)/D304/((1+G285)^AA287)</f>
        <v>0.30210990361960938</v>
      </c>
    </row>
    <row r="292" spans="3:27" hidden="1" outlineLevel="1" x14ac:dyDescent="0.3">
      <c r="C292" s="21" t="s">
        <v>32</v>
      </c>
      <c r="D292" s="19">
        <f>分布式光伏电站IRR汇总!$B$8</f>
        <v>1.8870000000000002</v>
      </c>
      <c r="F292" s="6" t="s">
        <v>17</v>
      </c>
      <c r="G292" s="33">
        <f>SUM(H293:AA293)</f>
        <v>2.5425634189238777</v>
      </c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spans="3:27" hidden="1" outlineLevel="1" x14ac:dyDescent="0.3">
      <c r="C293" s="21" t="s">
        <v>33</v>
      </c>
      <c r="D293" s="19">
        <f>分布式光伏电站IRR汇总!$B$9</f>
        <v>0.18500000000000003</v>
      </c>
      <c r="F293" s="7" t="s">
        <v>18</v>
      </c>
      <c r="G293" s="33"/>
      <c r="H293" s="33">
        <f>D307*D286/((1+G285)^H287)</f>
        <v>0.22429906542056072</v>
      </c>
      <c r="I293" s="33">
        <f>D307*D286/((1+G285)^I287)</f>
        <v>0.20962529478557079</v>
      </c>
      <c r="J293" s="33">
        <f>D307*D286/((1+G285)^J287)</f>
        <v>0.19591149045380446</v>
      </c>
      <c r="K293" s="33">
        <f>D307*D286/((1+G285)^K287)</f>
        <v>0.18309485089140604</v>
      </c>
      <c r="L293" s="33">
        <f>D307*D286/((1+G285)^L287)</f>
        <v>0.17111668307608041</v>
      </c>
      <c r="M293" s="33">
        <f>D307*D286/((1+G285)^M287)</f>
        <v>0.15992213371596301</v>
      </c>
      <c r="N293" s="33">
        <f>D307*D286/((1+G285)^N287)</f>
        <v>0.14945993805230187</v>
      </c>
      <c r="O293" s="33">
        <f>D307*D286/((1+G285)^O287)</f>
        <v>0.13968218509560923</v>
      </c>
      <c r="P293" s="33">
        <f>D307*D286/((1+G285)^P287)</f>
        <v>0.13054409822019553</v>
      </c>
      <c r="Q293" s="33">
        <f>D307*D286/((1+G285)^Q287)</f>
        <v>0.12200383011233226</v>
      </c>
      <c r="R293" s="33">
        <f>D307*D286/((1+G285)^R287)</f>
        <v>0.1140222711330208</v>
      </c>
      <c r="S293" s="33">
        <f>D307*D286/((1+G285)^S287)</f>
        <v>0.10656287021777647</v>
      </c>
      <c r="T293" s="33">
        <f>D307*D286/((1+G285)^T287)</f>
        <v>9.9591467493249028E-2</v>
      </c>
      <c r="U293" s="33">
        <f>D307*D286/((1+G285)^U287)</f>
        <v>9.3076137844157969E-2</v>
      </c>
      <c r="V293" s="33">
        <f>D307*D286/((1+G285)^V287)</f>
        <v>8.6987044714166323E-2</v>
      </c>
      <c r="W293" s="33">
        <f>D307*D286/((1+G285)^W287)</f>
        <v>8.1296303471183481E-2</v>
      </c>
      <c r="X293" s="33">
        <f>D307*D286/((1+G285)^X287)</f>
        <v>7.5977853711386434E-2</v>
      </c>
      <c r="Y293" s="33">
        <f>D307*D286/((1+G285)^Y287)</f>
        <v>7.1007339917183582E-2</v>
      </c>
      <c r="Z293" s="33">
        <f>D307*D286/((1+G285)^Z287)</f>
        <v>6.6361999922601472E-2</v>
      </c>
      <c r="AA293" s="33">
        <f>D307*D286/((1+G285)^AA287)</f>
        <v>6.2020560675328483E-2</v>
      </c>
    </row>
    <row r="294" spans="3:27" hidden="1" outlineLevel="1" x14ac:dyDescent="0.3">
      <c r="C294" s="21" t="s">
        <v>34</v>
      </c>
      <c r="D294" s="19">
        <f>分布式光伏电站IRR汇总!$B$10</f>
        <v>0.222</v>
      </c>
      <c r="F294" s="6" t="s">
        <v>19</v>
      </c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>
        <f>D307*D310/((1+G285)^AA287)</f>
        <v>0.2544083398901974</v>
      </c>
    </row>
    <row r="295" spans="3:27" hidden="1" outlineLevel="1" x14ac:dyDescent="0.3">
      <c r="C295" s="21" t="s">
        <v>35</v>
      </c>
      <c r="D295" s="19">
        <f>分布式光伏电站IRR汇总!$B$11</f>
        <v>0.44400000000000001</v>
      </c>
      <c r="F295" s="8" t="s">
        <v>64</v>
      </c>
      <c r="G295" s="33">
        <f>SUM(H296:AA296)</f>
        <v>86408.574512558815</v>
      </c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spans="3:27" hidden="1" outlineLevel="1" x14ac:dyDescent="0.3">
      <c r="C296" s="21" t="s">
        <v>36</v>
      </c>
      <c r="D296" s="19">
        <f>分布式光伏电站IRR汇总!$B$12</f>
        <v>0.222</v>
      </c>
      <c r="F296" s="9" t="s">
        <v>65</v>
      </c>
      <c r="G296" s="33"/>
      <c r="H296" s="33">
        <f>D286*D303*(1-D305)*D309/((1+G285)^H287)</f>
        <v>7876.0676635514001</v>
      </c>
      <c r="I296" s="33">
        <f>D286*D303*(1-D305)*(1-D306)^(I287-1)*D309/((1+G285)^I287)</f>
        <v>7327.6872514630086</v>
      </c>
      <c r="J296" s="33">
        <f>D286*D303*(1-D305)*(1-D306)^(J287-1)*D309/((1+G285)^J287)</f>
        <v>6817.4884661975939</v>
      </c>
      <c r="K296" s="33">
        <f>D286*D303*(1-D305)*(1-D306)^(K287-1)*D309/((1+G285)^K287)</f>
        <v>6342.8128673829033</v>
      </c>
      <c r="L296" s="33">
        <f>D286*D303*(1-D305)*(1-D306)^(L287-1)*D309/((1+G285)^L287)</f>
        <v>5901.1871116632519</v>
      </c>
      <c r="M296" s="33">
        <f>D286*D303*(1-D305)*(1-D306)^(M287-1)*D309/((1+G285)^M287)</f>
        <v>5490.310065103522</v>
      </c>
      <c r="N296" s="33">
        <f>D286*D303*(1-D305)*(1-D306)^(N287-1)*D309/((1+G285)^N287)</f>
        <v>5108.0408129070611</v>
      </c>
      <c r="O296" s="33">
        <f>D286*D303*(1-D305)*(1-D306)^(O287-1)*D309/((1+G285)^O287)</f>
        <v>4752.3875039710092</v>
      </c>
      <c r="P296" s="33">
        <f>D286*D303*(1-D305)*(1-D306)^(P287-1)*D309/((1+G285)^P287)</f>
        <v>4421.4969721524667</v>
      </c>
      <c r="Q296" s="33">
        <f>D286*D303*(1-D305)*(1-D306)^(Q287-1)*D309/((1+G285)^Q287)</f>
        <v>4113.6450801661513</v>
      </c>
      <c r="R296" s="33">
        <f>D286*D303*(1-D305)*(1-D306)^(R287-1)*D309/((1+G285)^R287)</f>
        <v>3827.2277357994421</v>
      </c>
      <c r="S296" s="33">
        <f>D286*D303*(1-D305)*(1-D306)^(S287-1)*D309/((1+G285)^S287)</f>
        <v>3560.7525336339677</v>
      </c>
      <c r="T296" s="33">
        <f>D286*D303*(1-D305)*(1-D306)^(T287-1)*D309/((1+G285)^T287)</f>
        <v>3312.8309787220701</v>
      </c>
      <c r="U296" s="33">
        <f>D286*D303*(1-D305)*(1-D306)^(U287-1)*D309/((1+G285)^U287)</f>
        <v>3082.1712516988982</v>
      </c>
      <c r="V296" s="33">
        <f>D286*D303*(1-D305)*(1-D306)^(V287-1)*D309/((1+G285)^V287)</f>
        <v>2867.5714776320115</v>
      </c>
      <c r="W296" s="33">
        <f>D286*D303*(1-D305)*(1-D306)^(W287-1)*D309/((1+G285)^W287)</f>
        <v>2667.9134635352043</v>
      </c>
      <c r="X296" s="33">
        <f>D286*D303*(1-D305)*(1-D306)^(X287-1)*D309/((1+G285)^X287)</f>
        <v>2482.1568719152297</v>
      </c>
      <c r="Y296" s="33">
        <f>D286*D303*(1-D305)*(1-D306)^(Y287-1)*D309/((1+G285)^Y287)</f>
        <v>2309.33379999216</v>
      </c>
      <c r="Z296" s="33">
        <f>D286*D303*(1-D305)*(1-D306)^(Z287-1)*D309/((1+G285)^Z287)</f>
        <v>2148.5437363478463</v>
      </c>
      <c r="AA296" s="33">
        <f>D286*D303*(1-D305)*(1-D306)^(AA287-1)*D309/((1+G285)^AA287)</f>
        <v>1998.9488687236274</v>
      </c>
    </row>
    <row r="297" spans="3:27" hidden="1" outlineLevel="1" x14ac:dyDescent="0.3">
      <c r="C297" s="21" t="s">
        <v>37</v>
      </c>
      <c r="D297" s="19">
        <f>分布式光伏电站IRR汇总!$B$13</f>
        <v>0.15</v>
      </c>
      <c r="F297" s="4" t="s">
        <v>66</v>
      </c>
      <c r="G297" s="33">
        <f>SUM(H298:AA298)</f>
        <v>35.92004442487071</v>
      </c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spans="3:27" hidden="1" outlineLevel="1" x14ac:dyDescent="0.3">
      <c r="C298" s="21" t="s">
        <v>38</v>
      </c>
      <c r="D298" s="19">
        <f>分布式光伏电站IRR汇总!$B$14</f>
        <v>3.7000000000000005E-2</v>
      </c>
      <c r="F298" s="7" t="s">
        <v>67</v>
      </c>
      <c r="G298" s="33"/>
      <c r="H298" s="33">
        <f>H296*D314/1000</f>
        <v>3.2740813277383172</v>
      </c>
      <c r="I298" s="33">
        <f>I296*D314/1000</f>
        <v>3.0461195904331726</v>
      </c>
      <c r="J298" s="33">
        <f>J296*D314/1000</f>
        <v>2.8340299553983401</v>
      </c>
      <c r="K298" s="33">
        <f>K296*D314/1000</f>
        <v>2.6367073089710731</v>
      </c>
      <c r="L298" s="33">
        <f>L296*D314/1000</f>
        <v>2.4531234823184143</v>
      </c>
      <c r="M298" s="33">
        <f>M296*D314/1000</f>
        <v>2.2823218940635344</v>
      </c>
      <c r="N298" s="33">
        <f>N296*D314/1000</f>
        <v>2.1234125659254657</v>
      </c>
      <c r="O298" s="33">
        <f>O296*D314/1000</f>
        <v>1.9755674854007486</v>
      </c>
      <c r="P298" s="33">
        <f>P296*D314/1000</f>
        <v>1.8380162913237805</v>
      </c>
      <c r="Q298" s="33">
        <f>Q296*D314/1000</f>
        <v>1.7100422598250691</v>
      </c>
      <c r="R298" s="33">
        <f>R296*D314/1000</f>
        <v>1.5909785697718282</v>
      </c>
      <c r="S298" s="33">
        <f>S296*D314/1000</f>
        <v>1.4802048282316405</v>
      </c>
      <c r="T298" s="33">
        <f>T296*D314/1000</f>
        <v>1.3771438378547645</v>
      </c>
      <c r="U298" s="33">
        <f>U296*D314/1000</f>
        <v>1.281258589331232</v>
      </c>
      <c r="V298" s="33">
        <f>V296*D314/1000</f>
        <v>1.1920494632516272</v>
      </c>
      <c r="W298" s="33">
        <f>W296*D314/1000</f>
        <v>1.1090516267915846</v>
      </c>
      <c r="X298" s="33">
        <f>X296*D314/1000</f>
        <v>1.0318326116551608</v>
      </c>
      <c r="Y298" s="33">
        <f>Y296*D314/1000</f>
        <v>0.95999006065674097</v>
      </c>
      <c r="Z298" s="33">
        <f>Z296*D314/1000</f>
        <v>0.89314963119979973</v>
      </c>
      <c r="AA298" s="33">
        <f>AA296*D314/1000</f>
        <v>0.83096304472841187</v>
      </c>
    </row>
    <row r="299" spans="3:27" hidden="1" outlineLevel="1" x14ac:dyDescent="0.3">
      <c r="C299" s="21" t="s">
        <v>39</v>
      </c>
      <c r="D299" s="19">
        <f>分布式光伏电站IRR汇总!$B$15</f>
        <v>0.25900000000000006</v>
      </c>
      <c r="F299" s="4" t="s">
        <v>20</v>
      </c>
      <c r="G299" s="33">
        <f>SUM(H300:V300)</f>
        <v>4.5653422656649667</v>
      </c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spans="3:27" hidden="1" outlineLevel="1" x14ac:dyDescent="0.3">
      <c r="C300" s="21" t="s">
        <v>40</v>
      </c>
      <c r="D300" s="19">
        <f>分布式光伏电站IRR汇总!$B$16</f>
        <v>7.400000000000001E-2</v>
      </c>
      <c r="F300" s="7" t="s">
        <v>21</v>
      </c>
      <c r="G300" s="33"/>
      <c r="H300" s="33">
        <f>(H298-H291-H293)*G286</f>
        <v>0.48929836931775694</v>
      </c>
      <c r="I300" s="33">
        <f>(I298-I291-I293)*G286</f>
        <v>0.45384582039630966</v>
      </c>
      <c r="J300" s="33">
        <f>(J298-J291-J293)*G286</f>
        <v>0.42095227650193695</v>
      </c>
      <c r="K300" s="33">
        <f>(K298-K291-K293)*G286</f>
        <v>0.39043363813281678</v>
      </c>
      <c r="L300" s="33">
        <f>(L298-L291-L293)*G286</f>
        <v>0.36211901159834048</v>
      </c>
      <c r="M300" s="33">
        <f>(M298-M291-M293)*G286</f>
        <v>0.33584976418760032</v>
      </c>
      <c r="N300" s="33">
        <f>(N298-N291-N293)*G286</f>
        <v>0.31147864678203629</v>
      </c>
      <c r="O300" s="33">
        <f>(O298-O291-O293)*G286</f>
        <v>0.2888689791078225</v>
      </c>
      <c r="P300" s="33">
        <f>(P298-P291-P293)*G286</f>
        <v>0.26789389316518386</v>
      </c>
      <c r="Q300" s="33">
        <f>(Q298-Q291-Q293)*G286</f>
        <v>0.2484356306892006</v>
      </c>
      <c r="R300" s="33">
        <f>(R298-R291-R293)*G286</f>
        <v>0.23038489079149294</v>
      </c>
      <c r="S300" s="33">
        <f>(S298-S291-S293)*G286</f>
        <v>0.21364022420607445</v>
      </c>
      <c r="T300" s="33">
        <f>(T298-T291-T293)*G286</f>
        <v>0.19810747081711574</v>
      </c>
      <c r="U300" s="33">
        <f>(U298-U291-U293)*G286</f>
        <v>0.18369923738273752</v>
      </c>
      <c r="V300" s="33">
        <f>(V298-V291-V293)*G286</f>
        <v>0.1703344125885419</v>
      </c>
      <c r="W300" s="33">
        <f>(W298-W291-W293)*G286</f>
        <v>0.15793771676858318</v>
      </c>
      <c r="X300" s="33">
        <f>(X298-X291-X293)*G286</f>
        <v>0.14643928382097432</v>
      </c>
      <c r="Y300" s="33">
        <f>(Y298-Y291-Y293)*G286</f>
        <v>0.13577427302136666</v>
      </c>
      <c r="Z300" s="33">
        <f>(Z298-Z291-Z293)*G286</f>
        <v>0.12588250860105404</v>
      </c>
      <c r="AA300" s="33">
        <f>(AA298-AA291-AA293)*G286</f>
        <v>0.11670814510836849</v>
      </c>
    </row>
    <row r="301" spans="3:27" hidden="1" outlineLevel="1" x14ac:dyDescent="0.3">
      <c r="C301" s="21" t="s">
        <v>41</v>
      </c>
      <c r="D301" s="19">
        <f>分布式光伏电站IRR汇总!$B$17</f>
        <v>0.222</v>
      </c>
      <c r="F301" s="10" t="s">
        <v>22</v>
      </c>
      <c r="G301" s="33">
        <f>-G289</f>
        <v>-24.611999999999995</v>
      </c>
      <c r="H301" s="33">
        <f t="shared" ref="H301:AA301" si="30">H298-H300-H293</f>
        <v>2.5604838929999993</v>
      </c>
      <c r="I301" s="33">
        <f t="shared" si="30"/>
        <v>2.3826484752512922</v>
      </c>
      <c r="J301" s="33">
        <f t="shared" si="30"/>
        <v>2.2171661884425986</v>
      </c>
      <c r="K301" s="33">
        <f t="shared" si="30"/>
        <v>2.0631788199468506</v>
      </c>
      <c r="L301" s="33">
        <f t="shared" si="30"/>
        <v>1.9198877876439935</v>
      </c>
      <c r="M301" s="33">
        <f t="shared" si="30"/>
        <v>1.7865499961599709</v>
      </c>
      <c r="N301" s="33">
        <f t="shared" si="30"/>
        <v>1.6624739810911275</v>
      </c>
      <c r="O301" s="33">
        <f t="shared" si="30"/>
        <v>1.5470163211973169</v>
      </c>
      <c r="P301" s="33">
        <f t="shared" si="30"/>
        <v>1.4395782999384013</v>
      </c>
      <c r="Q301" s="33">
        <f t="shared" si="30"/>
        <v>1.3396027990235362</v>
      </c>
      <c r="R301" s="33">
        <f t="shared" si="30"/>
        <v>1.2465714078473145</v>
      </c>
      <c r="S301" s="33">
        <f t="shared" si="30"/>
        <v>1.1600017338077895</v>
      </c>
      <c r="T301" s="33">
        <f t="shared" si="30"/>
        <v>1.0794448995443997</v>
      </c>
      <c r="U301" s="33">
        <f t="shared" si="30"/>
        <v>1.0044832141043365</v>
      </c>
      <c r="V301" s="33">
        <f t="shared" si="30"/>
        <v>0.93472800594891892</v>
      </c>
      <c r="W301" s="33">
        <f t="shared" si="30"/>
        <v>0.86981760655181806</v>
      </c>
      <c r="X301" s="33">
        <f t="shared" si="30"/>
        <v>0.80941547412280013</v>
      </c>
      <c r="Y301" s="33">
        <f t="shared" si="30"/>
        <v>0.75320844771819073</v>
      </c>
      <c r="Z301" s="33">
        <f t="shared" si="30"/>
        <v>0.70090512267614424</v>
      </c>
      <c r="AA301" s="33">
        <f t="shared" si="30"/>
        <v>0.65223433894471494</v>
      </c>
    </row>
    <row r="302" spans="3:27" ht="13.5" hidden="1" outlineLevel="1" thickBot="1" x14ac:dyDescent="0.35">
      <c r="C302" s="21" t="s">
        <v>74</v>
      </c>
      <c r="D302" s="19">
        <f>分布式光伏电站IRR汇总!$B$18</f>
        <v>0.4</v>
      </c>
      <c r="F302" s="3" t="s">
        <v>61</v>
      </c>
      <c r="G302" s="35">
        <f>SUM(G301:AA301)/G289</f>
        <v>0.14291389618728748</v>
      </c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3:27" ht="13.5" hidden="1" outlineLevel="1" thickTop="1" x14ac:dyDescent="0.3">
      <c r="C303" s="18" t="s">
        <v>58</v>
      </c>
      <c r="D303" s="19">
        <f>分布式光伏电站IRR汇总!$B$19</f>
        <v>0.86599999999999999</v>
      </c>
    </row>
    <row r="304" spans="3:27" hidden="1" outlineLevel="1" x14ac:dyDescent="0.3">
      <c r="C304" s="18" t="s">
        <v>62</v>
      </c>
      <c r="D304" s="19">
        <f>分布式光伏电站IRR汇总!$B$20</f>
        <v>20</v>
      </c>
      <c r="F304" s="13" t="s">
        <v>25</v>
      </c>
      <c r="G304" s="14">
        <v>0</v>
      </c>
    </row>
    <row r="305" spans="3:27" hidden="1" outlineLevel="1" x14ac:dyDescent="0.3">
      <c r="C305" s="18" t="s">
        <v>59</v>
      </c>
      <c r="D305" s="52">
        <f>分布式光伏电站IRR汇总!$B$21</f>
        <v>0.02</v>
      </c>
      <c r="F305" s="13" t="s">
        <v>26</v>
      </c>
      <c r="G305" s="14">
        <v>0.25</v>
      </c>
      <c r="Q305" s="15"/>
    </row>
    <row r="306" spans="3:27" hidden="1" outlineLevel="1" x14ac:dyDescent="0.3">
      <c r="C306" s="18" t="s">
        <v>60</v>
      </c>
      <c r="D306" s="52">
        <f>分布式光伏电站IRR汇总!$B$22</f>
        <v>4.4999999999999997E-3</v>
      </c>
      <c r="F306" s="1" t="s">
        <v>44</v>
      </c>
      <c r="G306" s="4"/>
      <c r="H306" s="5">
        <v>1</v>
      </c>
      <c r="I306" s="5">
        <v>2</v>
      </c>
      <c r="J306" s="5">
        <v>3</v>
      </c>
      <c r="K306" s="5">
        <v>4</v>
      </c>
      <c r="L306" s="5">
        <v>5</v>
      </c>
      <c r="M306" s="5">
        <v>6</v>
      </c>
      <c r="N306" s="5">
        <v>7</v>
      </c>
      <c r="O306" s="5">
        <v>8</v>
      </c>
      <c r="P306" s="5">
        <v>9</v>
      </c>
      <c r="Q306" s="5">
        <v>10</v>
      </c>
      <c r="R306" s="5">
        <v>11</v>
      </c>
      <c r="S306" s="5">
        <v>12</v>
      </c>
      <c r="T306" s="5">
        <v>13</v>
      </c>
      <c r="U306" s="5">
        <v>14</v>
      </c>
      <c r="V306" s="5">
        <v>15</v>
      </c>
      <c r="W306" s="5">
        <v>16</v>
      </c>
      <c r="X306" s="5">
        <v>17</v>
      </c>
      <c r="Y306" s="5">
        <v>18</v>
      </c>
      <c r="Z306" s="5">
        <v>19</v>
      </c>
      <c r="AA306" s="5">
        <v>20</v>
      </c>
    </row>
    <row r="307" spans="3:27" hidden="1" outlineLevel="1" x14ac:dyDescent="0.3">
      <c r="C307" s="18" t="s">
        <v>28</v>
      </c>
      <c r="D307" s="29">
        <f>分布式光伏电站IRR汇总!$B$23</f>
        <v>0.04</v>
      </c>
      <c r="F307" s="16"/>
      <c r="G307" s="2" t="s">
        <v>0</v>
      </c>
      <c r="H307" s="2" t="s">
        <v>1</v>
      </c>
      <c r="I307" s="2" t="s">
        <v>2</v>
      </c>
      <c r="J307" s="2" t="s">
        <v>3</v>
      </c>
      <c r="K307" s="2" t="s">
        <v>4</v>
      </c>
      <c r="L307" s="2" t="s">
        <v>5</v>
      </c>
      <c r="M307" s="2" t="s">
        <v>6</v>
      </c>
      <c r="N307" s="2" t="s">
        <v>7</v>
      </c>
      <c r="O307" s="2" t="s">
        <v>8</v>
      </c>
      <c r="P307" s="2" t="s">
        <v>9</v>
      </c>
      <c r="Q307" s="2" t="s">
        <v>10</v>
      </c>
      <c r="R307" s="2" t="s">
        <v>11</v>
      </c>
      <c r="S307" s="2" t="s">
        <v>12</v>
      </c>
      <c r="T307" s="2" t="s">
        <v>13</v>
      </c>
      <c r="U307" s="2" t="s">
        <v>45</v>
      </c>
      <c r="V307" s="2" t="s">
        <v>46</v>
      </c>
      <c r="W307" s="2" t="s">
        <v>47</v>
      </c>
      <c r="X307" s="2" t="s">
        <v>48</v>
      </c>
      <c r="Y307" s="2" t="s">
        <v>49</v>
      </c>
      <c r="Z307" s="2" t="s">
        <v>50</v>
      </c>
      <c r="AA307" s="2" t="s">
        <v>51</v>
      </c>
    </row>
    <row r="308" spans="3:27" hidden="1" outlineLevel="1" x14ac:dyDescent="0.3">
      <c r="C308" s="18" t="s">
        <v>43</v>
      </c>
      <c r="D308" s="19">
        <f>分布式光伏电站IRR汇总!$B$24</f>
        <v>0.05</v>
      </c>
      <c r="F308" s="6" t="s">
        <v>14</v>
      </c>
      <c r="G308" s="33">
        <f>D310</f>
        <v>24.611999999999995</v>
      </c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spans="3:27" hidden="1" outlineLevel="1" x14ac:dyDescent="0.3">
      <c r="C309" s="18" t="s">
        <v>126</v>
      </c>
      <c r="D309" s="28">
        <f>Backup分地区光伏小时数及电价!E7</f>
        <v>1655</v>
      </c>
      <c r="F309" s="6" t="s">
        <v>15</v>
      </c>
      <c r="G309" s="33">
        <f>SUM(H310:AA310)</f>
        <v>23.381399999999985</v>
      </c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spans="3:27" hidden="1" outlineLevel="1" x14ac:dyDescent="0.3">
      <c r="C310" s="24" t="s">
        <v>14</v>
      </c>
      <c r="D310" s="30">
        <f>D286*D291</f>
        <v>24.611999999999995</v>
      </c>
      <c r="F310" s="7" t="s">
        <v>16</v>
      </c>
      <c r="G310" s="33"/>
      <c r="H310" s="33">
        <f>D310*(1-D308)/D304/((1+G304)^H306)</f>
        <v>1.1690699999999996</v>
      </c>
      <c r="I310" s="33">
        <f>D310*(1-D308)/D304/((1+G304)^I306)</f>
        <v>1.1690699999999996</v>
      </c>
      <c r="J310" s="33">
        <f>D310*(1-D308)/D304/((1+G304)^J306)</f>
        <v>1.1690699999999996</v>
      </c>
      <c r="K310" s="33">
        <f>D310*(1-D308)/D304/((1+G304)^K306)</f>
        <v>1.1690699999999996</v>
      </c>
      <c r="L310" s="33">
        <f>D310*(1-D308)/D304/((1+G304)^L306)</f>
        <v>1.1690699999999996</v>
      </c>
      <c r="M310" s="33">
        <f>D310*(1-D308)/D304/((1+G304)^M306)</f>
        <v>1.1690699999999996</v>
      </c>
      <c r="N310" s="33">
        <f>D310*(1-D308)/D304/((1+G304)^N306)</f>
        <v>1.1690699999999996</v>
      </c>
      <c r="O310" s="33">
        <f>D310*(1-D308)/D304/((1+G304)^O306)</f>
        <v>1.1690699999999996</v>
      </c>
      <c r="P310" s="33">
        <f>D310*(1-D308)/D304/((1+G304)^P306)</f>
        <v>1.1690699999999996</v>
      </c>
      <c r="Q310" s="33">
        <f>D310*(1-D308)/D304/((1+G304)^Q306)</f>
        <v>1.1690699999999996</v>
      </c>
      <c r="R310" s="33">
        <f>D310*(1-D308)/D304/((1+G304)^R306)</f>
        <v>1.1690699999999996</v>
      </c>
      <c r="S310" s="33">
        <f>D310*(1-D308)/D304/((1+G304)^S306)</f>
        <v>1.1690699999999996</v>
      </c>
      <c r="T310" s="33">
        <f>D310*(1-D308)/D304/((1+G304)^T306)</f>
        <v>1.1690699999999996</v>
      </c>
      <c r="U310" s="33">
        <f>D310*(1-D308)/D304/((1+G304)^U306)</f>
        <v>1.1690699999999996</v>
      </c>
      <c r="V310" s="33">
        <f>D310*(1-D308)/D304/((1+G304)^V306)</f>
        <v>1.1690699999999996</v>
      </c>
      <c r="W310" s="33">
        <f>D310*(1-D308)/D304/((1+G304)^W306)</f>
        <v>1.1690699999999996</v>
      </c>
      <c r="X310" s="33">
        <f>D310*(1-D308)/D304/((1+G304)^X306)</f>
        <v>1.1690699999999996</v>
      </c>
      <c r="Y310" s="33">
        <f>D310*(1-D308)/D304/((1+G304)^Y306)</f>
        <v>1.1690699999999996</v>
      </c>
      <c r="Z310" s="33">
        <f>D310*(1-D308)/D304/((1+G304)^Z306)</f>
        <v>1.1690699999999996</v>
      </c>
      <c r="AA310" s="33">
        <f>D310*(1-D308)/D304/((1+G304)^AA306)</f>
        <v>1.1690699999999996</v>
      </c>
    </row>
    <row r="311" spans="3:27" hidden="1" outlineLevel="1" x14ac:dyDescent="0.3">
      <c r="C311" s="18" t="s">
        <v>29</v>
      </c>
      <c r="D311" s="29">
        <v>0.35980000000000001</v>
      </c>
      <c r="F311" s="6" t="s">
        <v>17</v>
      </c>
      <c r="G311" s="33">
        <f>SUM(H312:AA312)</f>
        <v>4.8000000000000025</v>
      </c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spans="3:27" hidden="1" outlineLevel="1" x14ac:dyDescent="0.3">
      <c r="C312" s="18" t="s">
        <v>30</v>
      </c>
      <c r="D312" s="53">
        <f>Backup分地区光伏小时数及电价!I7</f>
        <v>0.41570000000000001</v>
      </c>
      <c r="F312" s="7" t="s">
        <v>18</v>
      </c>
      <c r="G312" s="33"/>
      <c r="H312" s="33">
        <f>D307*D286/((1+G304)^H306)</f>
        <v>0.24</v>
      </c>
      <c r="I312" s="33">
        <f>D307*D286/((1+G304)^I306)</f>
        <v>0.24</v>
      </c>
      <c r="J312" s="33">
        <f>D307*D286/((1+G304)^J306)</f>
        <v>0.24</v>
      </c>
      <c r="K312" s="33">
        <f>D307*D286/((1+G304)^K306)</f>
        <v>0.24</v>
      </c>
      <c r="L312" s="33">
        <f>D307*D286/((1+G304)^L306)</f>
        <v>0.24</v>
      </c>
      <c r="M312" s="33">
        <f>D307*D286/((1+G304)^M306)</f>
        <v>0.24</v>
      </c>
      <c r="N312" s="33">
        <f>D307*D286/((1+G304)^N306)</f>
        <v>0.24</v>
      </c>
      <c r="O312" s="33">
        <f>D307*D286/((1+G304)^O306)</f>
        <v>0.24</v>
      </c>
      <c r="P312" s="33">
        <f>D307*D286/((1+G304)^P306)</f>
        <v>0.24</v>
      </c>
      <c r="Q312" s="33">
        <f>D307*D286/((1+G304)^Q306)</f>
        <v>0.24</v>
      </c>
      <c r="R312" s="33">
        <f>D307*D286/((1+G304)^R306)</f>
        <v>0.24</v>
      </c>
      <c r="S312" s="33">
        <f>D307*D286/((1+G304)^S306)</f>
        <v>0.24</v>
      </c>
      <c r="T312" s="33">
        <f>D307*D286/((1+G304)^T306)</f>
        <v>0.24</v>
      </c>
      <c r="U312" s="33">
        <f>D307*D286/((1+G304)^U306)</f>
        <v>0.24</v>
      </c>
      <c r="V312" s="33">
        <f>D307*D286/((1+G304)^V306)</f>
        <v>0.24</v>
      </c>
      <c r="W312" s="33">
        <f>D307*D286/((1+G304)^W306)</f>
        <v>0.24</v>
      </c>
      <c r="X312" s="33">
        <f>D307*D286/((1+G304)^X306)</f>
        <v>0.24</v>
      </c>
      <c r="Y312" s="33">
        <f>D307*D286/((1+G304)^Y306)</f>
        <v>0.24</v>
      </c>
      <c r="Z312" s="33">
        <f>D307*D286/((1+G304)^Z306)</f>
        <v>0.24</v>
      </c>
      <c r="AA312" s="33">
        <f>D307*D286/((1+G304)^AA306)</f>
        <v>0.24</v>
      </c>
    </row>
    <row r="313" spans="3:27" hidden="1" outlineLevel="1" x14ac:dyDescent="0.3">
      <c r="C313" s="18" t="s">
        <v>70</v>
      </c>
      <c r="D313" s="32">
        <f>分布式光伏电站IRR汇总!$B$27</f>
        <v>1</v>
      </c>
      <c r="F313" s="6" t="s">
        <v>19</v>
      </c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>
        <f>D307*D310/((1+G304)^AA306)</f>
        <v>0.9844799999999998</v>
      </c>
    </row>
    <row r="314" spans="3:27" hidden="1" outlineLevel="1" x14ac:dyDescent="0.3">
      <c r="C314" s="18" t="s">
        <v>69</v>
      </c>
      <c r="D314" s="31">
        <f>D313*D312</f>
        <v>0.41570000000000001</v>
      </c>
      <c r="F314" s="8" t="s">
        <v>64</v>
      </c>
      <c r="G314" s="33">
        <f>SUM(H315:AA315)</f>
        <v>161533.30613324023</v>
      </c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spans="3:27" hidden="1" outlineLevel="1" x14ac:dyDescent="0.3">
      <c r="C315" s="18" t="s">
        <v>31</v>
      </c>
      <c r="D315" s="27">
        <v>0</v>
      </c>
      <c r="F315" s="9" t="s">
        <v>65</v>
      </c>
      <c r="G315" s="33"/>
      <c r="H315" s="33">
        <f>D286*D303*(1-D305)*D309/((1+G304)^H306)</f>
        <v>8427.3923999999988</v>
      </c>
      <c r="I315" s="33">
        <f>D286*D303*(1-D305)*(1-D306)^(I306-1)*D309/((1+G304)^I306)</f>
        <v>8389.4691341999987</v>
      </c>
      <c r="J315" s="33">
        <f>D286*D303*(1-D305)*(1-D306)^(J306-1)*D309/((1+G304)^J306)</f>
        <v>8351.7165230961</v>
      </c>
      <c r="K315" s="33">
        <f>D286*D303*(1-D305)*(1-D306)^(K306-1)*D309/((1+G304)^K306)</f>
        <v>8314.1337987421684</v>
      </c>
      <c r="L315" s="33">
        <f>D286*D303*(1-D305)*(1-D306)^(L306-1)*D309/((1+G304)^L306)</f>
        <v>8276.7201966478297</v>
      </c>
      <c r="M315" s="33">
        <f>D286*D303*(1-D305)*(1-D306)^(M306-1)*D309/((1+G304)^M306)</f>
        <v>8239.4749557629148</v>
      </c>
      <c r="N315" s="33">
        <f>D286*D303*(1-D305)*(1-D306)^(N306-1)*D309/((1+G304)^N306)</f>
        <v>8202.3973184619808</v>
      </c>
      <c r="O315" s="33">
        <f>D286*D303*(1-D305)*(1-D306)^(O306-1)*D309/((1+G304)^O306)</f>
        <v>8165.4865305289022</v>
      </c>
      <c r="P315" s="33">
        <f>D286*D303*(1-D305)*(1-D306)^(P306-1)*D309/((1+G304)^P306)</f>
        <v>8128.7418411415229</v>
      </c>
      <c r="Q315" s="33">
        <f>D286*D303*(1-D305)*(1-D306)^(Q306-1)*D309/((1+G304)^Q306)</f>
        <v>8092.1625028563876</v>
      </c>
      <c r="R315" s="33">
        <f>D286*D303*(1-D305)*(1-D306)^(R306-1)*D309/((1+G304)^R306)</f>
        <v>8055.7477715935347</v>
      </c>
      <c r="S315" s="33">
        <f>D286*D303*(1-D305)*(1-D306)^(S306-1)*D309/((1+G304)^S306)</f>
        <v>8019.4969066213635</v>
      </c>
      <c r="T315" s="33">
        <f>D286*D303*(1-D305)*(1-D306)^(T306-1)*D309/((1+G304)^T306)</f>
        <v>7983.4091705415685</v>
      </c>
      <c r="U315" s="33">
        <f>D286*D303*(1-D305)*(1-D306)^(U306-1)*D309/((1+G304)^U306)</f>
        <v>7947.4838292741315</v>
      </c>
      <c r="V315" s="33">
        <f>D286*D303*(1-D305)*(1-D306)^(V306-1)*D309/((1+G304)^V306)</f>
        <v>7911.7201520423969</v>
      </c>
      <c r="W315" s="33">
        <f>D286*D303*(1-D305)*(1-D306)^(W306-1)*D309/((1+G304)^W306)</f>
        <v>7876.1174113582083</v>
      </c>
      <c r="X315" s="33">
        <f>D286*D303*(1-D305)*(1-D306)^(X306-1)*D309/((1+G304)^X306)</f>
        <v>7840.6748830070965</v>
      </c>
      <c r="Y315" s="33">
        <f>D286*D303*(1-D305)*(1-D306)^(Y306-1)*D309/((1+G304)^Y306)</f>
        <v>7805.3918460335644</v>
      </c>
      <c r="Z315" s="33">
        <f>D286*D303*(1-D305)*(1-D306)^(Z306-1)*D309/((1+G304)^Z306)</f>
        <v>7770.2675827264147</v>
      </c>
      <c r="AA315" s="33">
        <f>D286*D303*(1-D305)*(1-D306)^(AA306-1)*D309/((1+G304)^AA306)</f>
        <v>7735.3013786041465</v>
      </c>
    </row>
    <row r="316" spans="3:27" hidden="1" outlineLevel="1" x14ac:dyDescent="0.3">
      <c r="F316" s="4" t="s">
        <v>66</v>
      </c>
      <c r="G316" s="33">
        <f>SUM(H317:AA317)</f>
        <v>67.14939535958797</v>
      </c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spans="3:27" hidden="1" outlineLevel="1" x14ac:dyDescent="0.3">
      <c r="F317" s="7" t="s">
        <v>67</v>
      </c>
      <c r="G317" s="33"/>
      <c r="H317" s="33">
        <f>H315*D314/1000</f>
        <v>3.5032670206799996</v>
      </c>
      <c r="I317" s="33">
        <f>I315*D314/1000</f>
        <v>3.4875023190869396</v>
      </c>
      <c r="J317" s="33">
        <f>J315*D314/1000</f>
        <v>3.4718085586510488</v>
      </c>
      <c r="K317" s="33">
        <f>K315*D314/1000</f>
        <v>3.4561854201371194</v>
      </c>
      <c r="L317" s="33">
        <f>L315*D314/1000</f>
        <v>3.4406325857465032</v>
      </c>
      <c r="M317" s="33">
        <f>M315*D314/1000</f>
        <v>3.4251497391106436</v>
      </c>
      <c r="N317" s="33">
        <f>N315*D314/1000</f>
        <v>3.4097365652846454</v>
      </c>
      <c r="O317" s="33">
        <f>O315*D314/1000</f>
        <v>3.3943927507408649</v>
      </c>
      <c r="P317" s="33">
        <f>P315*D314/1000</f>
        <v>3.3791179833625309</v>
      </c>
      <c r="Q317" s="33">
        <f>Q315*D314/1000</f>
        <v>3.3639119524374004</v>
      </c>
      <c r="R317" s="33">
        <f>R315*D314/1000</f>
        <v>3.3487743486514323</v>
      </c>
      <c r="S317" s="33">
        <f>S315*D314/1000</f>
        <v>3.3337048640825011</v>
      </c>
      <c r="T317" s="33">
        <f>T315*D314/1000</f>
        <v>3.3187031921941301</v>
      </c>
      <c r="U317" s="33">
        <f>U315*D314/1000</f>
        <v>3.3037690278292566</v>
      </c>
      <c r="V317" s="33">
        <f>V315*D314/1000</f>
        <v>3.2889020672040248</v>
      </c>
      <c r="W317" s="33">
        <f>W315*D314/1000</f>
        <v>3.2741020079016074</v>
      </c>
      <c r="X317" s="33">
        <f>X315*D314/1000</f>
        <v>3.2593685488660502</v>
      </c>
      <c r="Y317" s="33">
        <f>Y315*D314/1000</f>
        <v>3.2447013903961528</v>
      </c>
      <c r="Z317" s="33">
        <f>Z315*D314/1000</f>
        <v>3.2301002341393703</v>
      </c>
      <c r="AA317" s="33">
        <f>AA315*D314/1000</f>
        <v>3.2155647830857439</v>
      </c>
    </row>
    <row r="318" spans="3:27" hidden="1" outlineLevel="1" x14ac:dyDescent="0.3">
      <c r="F318" s="4" t="s">
        <v>20</v>
      </c>
      <c r="G318" s="33">
        <f>SUM(H319:AA319)</f>
        <v>9.7419988398969952</v>
      </c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spans="3:27" hidden="1" outlineLevel="1" x14ac:dyDescent="0.3">
      <c r="F319" s="7" t="s">
        <v>21</v>
      </c>
      <c r="G319" s="33"/>
      <c r="H319" s="33">
        <f>(H317-H310-H312)*G305</f>
        <v>0.52354925517000006</v>
      </c>
      <c r="I319" s="33">
        <f>(I317-I310-I312)*G305</f>
        <v>0.51960807977173507</v>
      </c>
      <c r="J319" s="33">
        <f>(J317-J310-J312)*G305</f>
        <v>0.51568463966276235</v>
      </c>
      <c r="K319" s="33">
        <f>(K317-K310-K312)*G305</f>
        <v>0.51177885503427989</v>
      </c>
      <c r="L319" s="33">
        <f>(L317-L310-L312)*G305</f>
        <v>0.50789064643662596</v>
      </c>
      <c r="M319" s="33">
        <f>(M317-M310-M312)*G305</f>
        <v>0.50401993477766105</v>
      </c>
      <c r="N319" s="33">
        <f>(N317-N310-N312)*G305</f>
        <v>0.5001666413211614</v>
      </c>
      <c r="O319" s="33">
        <f>(O317-O310-O312)*G305</f>
        <v>0.49633068768521632</v>
      </c>
      <c r="P319" s="33">
        <f>(P317-P310-P312)*G305</f>
        <v>0.49251199584063282</v>
      </c>
      <c r="Q319" s="33">
        <f>(Q317-Q310-Q312)*G305</f>
        <v>0.48871048810935019</v>
      </c>
      <c r="R319" s="33">
        <f>(R317-R310-R312)*G305</f>
        <v>0.48492608716285818</v>
      </c>
      <c r="S319" s="33">
        <f>(S317-S310-S312)*G305</f>
        <v>0.48115871602062538</v>
      </c>
      <c r="T319" s="33">
        <f>(T317-T310-T312)*G305</f>
        <v>0.47740829804853263</v>
      </c>
      <c r="U319" s="33">
        <f>(U317-U310-U312)*G305</f>
        <v>0.47367475695731426</v>
      </c>
      <c r="V319" s="33">
        <f>(V317-V310-V312)*G305</f>
        <v>0.4699580168010063</v>
      </c>
      <c r="W319" s="33">
        <f>(W317-W310-W312)*G305</f>
        <v>0.46625800197540196</v>
      </c>
      <c r="X319" s="33">
        <f>(X317-X310-X312)*G305</f>
        <v>0.46257463721651265</v>
      </c>
      <c r="Y319" s="33">
        <f>(Y317-Y310-Y312)*G305</f>
        <v>0.4589078475990383</v>
      </c>
      <c r="Z319" s="33">
        <f>(Z317-Z310-Z312)*G305</f>
        <v>0.45525755853484268</v>
      </c>
      <c r="AA319" s="33">
        <f>(AA317-AA310-AA312)*G305</f>
        <v>0.45162369577143607</v>
      </c>
    </row>
    <row r="320" spans="3:27" hidden="1" outlineLevel="1" x14ac:dyDescent="0.3">
      <c r="F320" s="10" t="s">
        <v>22</v>
      </c>
      <c r="G320" s="33">
        <f>-G308</f>
        <v>-24.611999999999995</v>
      </c>
      <c r="H320" s="33">
        <f>H317-H319-H312</f>
        <v>2.7397177655099991</v>
      </c>
      <c r="I320" s="33">
        <f t="shared" ref="I320" si="31">I317-I319-I312</f>
        <v>2.7278942393152041</v>
      </c>
      <c r="J320" s="33">
        <f t="shared" ref="J320" si="32">J317-J319-J312</f>
        <v>2.716123918988286</v>
      </c>
      <c r="K320" s="33">
        <f t="shared" ref="K320" si="33">K317-K319-K312</f>
        <v>2.7044065651028397</v>
      </c>
      <c r="L320" s="33">
        <f t="shared" ref="L320" si="34">L317-L319-L312</f>
        <v>2.6927419393098768</v>
      </c>
      <c r="M320" s="33">
        <f t="shared" ref="M320" si="35">M317-M319-M312</f>
        <v>2.6811298043329828</v>
      </c>
      <c r="N320" s="33">
        <f t="shared" ref="N320" si="36">N317-N319-N312</f>
        <v>2.6695699239634836</v>
      </c>
      <c r="O320" s="33">
        <f t="shared" ref="O320" si="37">O317-O319-O312</f>
        <v>2.6580620630556488</v>
      </c>
      <c r="P320" s="33">
        <f t="shared" ref="P320" si="38">P317-P319-P312</f>
        <v>2.6466059875218981</v>
      </c>
      <c r="Q320" s="33">
        <f t="shared" ref="Q320" si="39">Q317-Q319-Q312</f>
        <v>2.6352014643280501</v>
      </c>
      <c r="R320" s="33">
        <f t="shared" ref="R320" si="40">R317-R319-R312</f>
        <v>2.6238482614885745</v>
      </c>
      <c r="S320" s="33">
        <f t="shared" ref="S320" si="41">S317-S319-S312</f>
        <v>2.6125461480618757</v>
      </c>
      <c r="T320" s="33">
        <f t="shared" ref="T320" si="42">T317-T319-T312</f>
        <v>2.6012948941455978</v>
      </c>
      <c r="U320" s="33">
        <f t="shared" ref="U320" si="43">U317-U319-U312</f>
        <v>2.5900942708719423</v>
      </c>
      <c r="V320" s="33">
        <f t="shared" ref="V320" si="44">V317-V319-V312</f>
        <v>2.5789440504030186</v>
      </c>
      <c r="W320" s="33">
        <f t="shared" ref="W320" si="45">W317-W319-W312</f>
        <v>2.5678440059262053</v>
      </c>
      <c r="X320" s="33">
        <f t="shared" ref="X320" si="46">X317-X319-X312</f>
        <v>2.556793911649538</v>
      </c>
      <c r="Y320" s="33">
        <f t="shared" ref="Y320" si="47">Y317-Y319-Y312</f>
        <v>2.5457935427971146</v>
      </c>
      <c r="Z320" s="33">
        <f t="shared" ref="Z320" si="48">Z317-Z319-Z312</f>
        <v>2.5348426756045273</v>
      </c>
      <c r="AA320" s="33">
        <f t="shared" ref="AA320" si="49">AA317-AA319-AA312</f>
        <v>2.5239410873143076</v>
      </c>
    </row>
    <row r="321" spans="2:27" ht="13.5" hidden="1" outlineLevel="1" thickBot="1" x14ac:dyDescent="0.35">
      <c r="F321" s="3" t="s">
        <v>68</v>
      </c>
      <c r="G321" s="40">
        <f>IRR(G320:AA320)</f>
        <v>8.8161200115596916E-2</v>
      </c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2:27" ht="13.5" collapsed="1" thickTop="1" x14ac:dyDescent="0.3"/>
    <row r="323" spans="2:27" x14ac:dyDescent="0.3">
      <c r="B323" s="11" t="s">
        <v>140</v>
      </c>
      <c r="C323" s="11" t="s">
        <v>52</v>
      </c>
    </row>
    <row r="324" spans="2:27" x14ac:dyDescent="0.3">
      <c r="C324" s="11" t="s">
        <v>141</v>
      </c>
      <c r="D324" s="54">
        <f>D355</f>
        <v>1414</v>
      </c>
    </row>
    <row r="325" spans="2:27" x14ac:dyDescent="0.3">
      <c r="C325" s="16" t="s">
        <v>78</v>
      </c>
      <c r="D325" s="37">
        <f>(G354+G357+G364)/G360*1000</f>
        <v>0.26598933388746199</v>
      </c>
    </row>
    <row r="326" spans="2:27" x14ac:dyDescent="0.3">
      <c r="C326" s="13" t="s">
        <v>77</v>
      </c>
      <c r="D326" s="39">
        <f>(G335+G338+G345)/G341*1000</f>
        <v>0.41432519438971521</v>
      </c>
    </row>
    <row r="327" spans="2:27" x14ac:dyDescent="0.3">
      <c r="C327" s="13" t="s">
        <v>61</v>
      </c>
      <c r="D327" s="36">
        <f>G348</f>
        <v>-1.6479478837087967E-2</v>
      </c>
    </row>
    <row r="328" spans="2:27" x14ac:dyDescent="0.3">
      <c r="C328" s="13" t="s">
        <v>73</v>
      </c>
      <c r="D328" s="25">
        <f>SUM(G347:AA347)</f>
        <v>-0.40559293313840894</v>
      </c>
    </row>
    <row r="329" spans="2:27" ht="13.5" thickBot="1" x14ac:dyDescent="0.35">
      <c r="C329" s="23" t="s">
        <v>68</v>
      </c>
      <c r="D329" s="26">
        <f>G367</f>
        <v>6.7838419573474029E-2</v>
      </c>
    </row>
    <row r="330" spans="2:27" ht="13.5" hidden="1" outlineLevel="1" thickTop="1" x14ac:dyDescent="0.3">
      <c r="E330" s="20"/>
      <c r="F330" s="38" t="s">
        <v>75</v>
      </c>
    </row>
    <row r="331" spans="2:27" hidden="1" outlineLevel="1" x14ac:dyDescent="0.3">
      <c r="C331" s="11" t="s">
        <v>71</v>
      </c>
      <c r="F331" s="13" t="s">
        <v>25</v>
      </c>
      <c r="G331" s="14">
        <v>7.0000000000000007E-2</v>
      </c>
    </row>
    <row r="332" spans="2:27" hidden="1" outlineLevel="1" x14ac:dyDescent="0.3">
      <c r="C332" s="18" t="s">
        <v>53</v>
      </c>
      <c r="D332" s="19">
        <f>分布式光伏电站IRR汇总!$B$2</f>
        <v>6</v>
      </c>
      <c r="F332" s="13" t="s">
        <v>26</v>
      </c>
      <c r="G332" s="14">
        <v>0.25</v>
      </c>
    </row>
    <row r="333" spans="2:27" hidden="1" outlineLevel="1" x14ac:dyDescent="0.3">
      <c r="C333" s="18" t="s">
        <v>56</v>
      </c>
      <c r="D333" s="19">
        <f>分布式光伏电站IRR汇总!$B$3</f>
        <v>120</v>
      </c>
      <c r="F333" s="1" t="s">
        <v>44</v>
      </c>
      <c r="G333" s="4"/>
      <c r="H333" s="5">
        <v>1</v>
      </c>
      <c r="I333" s="5">
        <v>2</v>
      </c>
      <c r="J333" s="5">
        <v>3</v>
      </c>
      <c r="K333" s="5">
        <v>4</v>
      </c>
      <c r="L333" s="5">
        <v>5</v>
      </c>
      <c r="M333" s="5">
        <v>6</v>
      </c>
      <c r="N333" s="5">
        <v>7</v>
      </c>
      <c r="O333" s="5">
        <v>8</v>
      </c>
      <c r="P333" s="5">
        <v>9</v>
      </c>
      <c r="Q333" s="5">
        <v>10</v>
      </c>
      <c r="R333" s="5">
        <v>11</v>
      </c>
      <c r="S333" s="5">
        <v>12</v>
      </c>
      <c r="T333" s="5">
        <v>13</v>
      </c>
      <c r="U333" s="5">
        <v>14</v>
      </c>
      <c r="V333" s="5">
        <v>15</v>
      </c>
      <c r="W333" s="5">
        <v>16</v>
      </c>
      <c r="X333" s="5">
        <v>17</v>
      </c>
      <c r="Y333" s="5">
        <v>18</v>
      </c>
      <c r="Z333" s="5">
        <v>19</v>
      </c>
      <c r="AA333" s="5">
        <v>20</v>
      </c>
    </row>
    <row r="334" spans="2:27" hidden="1" outlineLevel="1" x14ac:dyDescent="0.3">
      <c r="C334" s="18" t="s">
        <v>57</v>
      </c>
      <c r="D334" s="19">
        <f>分布式光伏电站IRR汇总!$B$4</f>
        <v>3</v>
      </c>
      <c r="F334" s="16"/>
      <c r="G334" s="2" t="s">
        <v>0</v>
      </c>
      <c r="H334" s="2" t="s">
        <v>1</v>
      </c>
      <c r="I334" s="2" t="s">
        <v>2</v>
      </c>
      <c r="J334" s="2" t="s">
        <v>3</v>
      </c>
      <c r="K334" s="2" t="s">
        <v>4</v>
      </c>
      <c r="L334" s="2" t="s">
        <v>5</v>
      </c>
      <c r="M334" s="2" t="s">
        <v>6</v>
      </c>
      <c r="N334" s="2" t="s">
        <v>7</v>
      </c>
      <c r="O334" s="2" t="s">
        <v>8</v>
      </c>
      <c r="P334" s="2" t="s">
        <v>9</v>
      </c>
      <c r="Q334" s="2" t="s">
        <v>10</v>
      </c>
      <c r="R334" s="2" t="s">
        <v>11</v>
      </c>
      <c r="S334" s="2" t="s">
        <v>12</v>
      </c>
      <c r="T334" s="2" t="s">
        <v>13</v>
      </c>
      <c r="U334" s="2" t="s">
        <v>45</v>
      </c>
      <c r="V334" s="2" t="s">
        <v>46</v>
      </c>
      <c r="W334" s="2" t="s">
        <v>47</v>
      </c>
      <c r="X334" s="2" t="s">
        <v>48</v>
      </c>
      <c r="Y334" s="2" t="s">
        <v>49</v>
      </c>
      <c r="Z334" s="2" t="s">
        <v>50</v>
      </c>
      <c r="AA334" s="2" t="s">
        <v>127</v>
      </c>
    </row>
    <row r="335" spans="2:27" hidden="1" outlineLevel="1" x14ac:dyDescent="0.3">
      <c r="C335" s="18" t="s">
        <v>54</v>
      </c>
      <c r="D335" s="19">
        <f>分布式光伏电站IRR汇总!$B$5</f>
        <v>5</v>
      </c>
      <c r="F335" s="6" t="s">
        <v>14</v>
      </c>
      <c r="G335" s="33">
        <f>D356</f>
        <v>24.611999999999995</v>
      </c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spans="2:27" hidden="1" outlineLevel="1" x14ac:dyDescent="0.3">
      <c r="C336" s="18" t="s">
        <v>55</v>
      </c>
      <c r="D336" s="19">
        <f>分布式光伏电站IRR汇总!$B$6</f>
        <v>15</v>
      </c>
      <c r="F336" s="6" t="s">
        <v>15</v>
      </c>
      <c r="G336" s="33">
        <f>SUM(H337:AA337)</f>
        <v>12.385144234005573</v>
      </c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spans="3:27" hidden="1" outlineLevel="1" x14ac:dyDescent="0.3">
      <c r="C337" s="18" t="s">
        <v>42</v>
      </c>
      <c r="D337" s="19">
        <f>分布式光伏电站IRR汇总!$B$7</f>
        <v>4.1019999999999994</v>
      </c>
      <c r="F337" s="7" t="s">
        <v>16</v>
      </c>
      <c r="G337" s="33"/>
      <c r="H337" s="33">
        <f>D356*(1-D354)/D350/((1+G331)^H333)</f>
        <v>1.0925887850467286</v>
      </c>
      <c r="I337" s="33">
        <f>D356*(1-D354)/D350/((1+G331)^I333)</f>
        <v>1.0211110140623632</v>
      </c>
      <c r="J337" s="33">
        <f>D356*(1-D354)/D350/((1+G331)^J333)</f>
        <v>0.95430935893678792</v>
      </c>
      <c r="K337" s="33">
        <f>D356*(1-D354)/D350/((1+G331)^K333)</f>
        <v>0.89187790554839996</v>
      </c>
      <c r="L337" s="33">
        <f>D356*(1-D354)/D350/((1+G331)^L333)</f>
        <v>0.83353075284897193</v>
      </c>
      <c r="M337" s="33">
        <f>D356*(1-D354)/D350/((1+G331)^M333)</f>
        <v>0.77900070359717</v>
      </c>
      <c r="N337" s="33">
        <f>D356*(1-D354)/D350/((1+G331)^N333)</f>
        <v>0.72803804074501866</v>
      </c>
      <c r="O337" s="33">
        <f>D356*(1-D354)/D350/((1+G331)^O333)</f>
        <v>0.6804093838738493</v>
      </c>
      <c r="P337" s="33">
        <f>D356*(1-D354)/D350/((1+G331)^P333)</f>
        <v>0.63589662044284967</v>
      </c>
      <c r="Q337" s="33">
        <f>D356*(1-D354)/D350/((1+G331)^Q333)</f>
        <v>0.59429590695593437</v>
      </c>
      <c r="R337" s="33">
        <f>D356*(1-D354)/D350/((1+G331)^R333)</f>
        <v>0.55541673547283577</v>
      </c>
      <c r="S337" s="33">
        <f>D356*(1-D354)/D350/((1+G331)^S333)</f>
        <v>0.51908106118956621</v>
      </c>
      <c r="T337" s="33">
        <f>D356*(1-D354)/D350/((1+G331)^T333)</f>
        <v>0.4851224870930525</v>
      </c>
      <c r="U337" s="33">
        <f>D356*(1-D354)/D350/((1+G331)^U333)</f>
        <v>0.45338550195612387</v>
      </c>
      <c r="V337" s="33">
        <f>D356*(1-D354)/D350/((1+G331)^V333)</f>
        <v>0.4237247681832933</v>
      </c>
      <c r="W337" s="33">
        <f>D356*(1-D354)/D350/((1+G331)^W333)</f>
        <v>0.39600445624606856</v>
      </c>
      <c r="X337" s="33">
        <f>D356*(1-D354)/D350/((1+G331)^X333)</f>
        <v>0.37009762265987711</v>
      </c>
      <c r="Y337" s="33">
        <f>D356*(1-D354)/D350/((1+G331)^Y333)</f>
        <v>0.34588562865409078</v>
      </c>
      <c r="Z337" s="33">
        <f>D356*(1-D354)/D350/((1+G331)^Z333)</f>
        <v>0.323257596872982</v>
      </c>
      <c r="AA337" s="33">
        <f>D356*(1-D354)/D350/((1+G331)^AA333)</f>
        <v>0.30210990361960938</v>
      </c>
    </row>
    <row r="338" spans="3:27" hidden="1" outlineLevel="1" x14ac:dyDescent="0.3">
      <c r="C338" s="21" t="s">
        <v>32</v>
      </c>
      <c r="D338" s="19">
        <f>分布式光伏电站IRR汇总!$B$8</f>
        <v>1.8870000000000002</v>
      </c>
      <c r="F338" s="6" t="s">
        <v>17</v>
      </c>
      <c r="G338" s="33">
        <f>SUM(H339:AA339)</f>
        <v>2.5425634189238777</v>
      </c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spans="3:27" hidden="1" outlineLevel="1" x14ac:dyDescent="0.3">
      <c r="C339" s="21" t="s">
        <v>33</v>
      </c>
      <c r="D339" s="19">
        <f>分布式光伏电站IRR汇总!$B$9</f>
        <v>0.18500000000000003</v>
      </c>
      <c r="F339" s="7" t="s">
        <v>18</v>
      </c>
      <c r="G339" s="33"/>
      <c r="H339" s="33">
        <f>D353*D332/((1+G331)^H333)</f>
        <v>0.22429906542056072</v>
      </c>
      <c r="I339" s="33">
        <f>D353*D332/((1+G331)^I333)</f>
        <v>0.20962529478557079</v>
      </c>
      <c r="J339" s="33">
        <f>D353*D332/((1+G331)^J333)</f>
        <v>0.19591149045380446</v>
      </c>
      <c r="K339" s="33">
        <f>D353*D332/((1+G331)^K333)</f>
        <v>0.18309485089140604</v>
      </c>
      <c r="L339" s="33">
        <f>D353*D332/((1+G331)^L333)</f>
        <v>0.17111668307608041</v>
      </c>
      <c r="M339" s="33">
        <f>D353*D332/((1+G331)^M333)</f>
        <v>0.15992213371596301</v>
      </c>
      <c r="N339" s="33">
        <f>D353*D332/((1+G331)^N333)</f>
        <v>0.14945993805230187</v>
      </c>
      <c r="O339" s="33">
        <f>D353*D332/((1+G331)^O333)</f>
        <v>0.13968218509560923</v>
      </c>
      <c r="P339" s="33">
        <f>D353*D332/((1+G331)^P333)</f>
        <v>0.13054409822019553</v>
      </c>
      <c r="Q339" s="33">
        <f>D353*D332/((1+G331)^Q333)</f>
        <v>0.12200383011233226</v>
      </c>
      <c r="R339" s="33">
        <f>D353*D332/((1+G331)^R333)</f>
        <v>0.1140222711330208</v>
      </c>
      <c r="S339" s="33">
        <f>D353*D332/((1+G331)^S333)</f>
        <v>0.10656287021777647</v>
      </c>
      <c r="T339" s="33">
        <f>D353*D332/((1+G331)^T333)</f>
        <v>9.9591467493249028E-2</v>
      </c>
      <c r="U339" s="33">
        <f>D353*D332/((1+G331)^U333)</f>
        <v>9.3076137844157969E-2</v>
      </c>
      <c r="V339" s="33">
        <f>D353*D332/((1+G331)^V333)</f>
        <v>8.6987044714166323E-2</v>
      </c>
      <c r="W339" s="33">
        <f>D353*D332/((1+G331)^W333)</f>
        <v>8.1296303471183481E-2</v>
      </c>
      <c r="X339" s="33">
        <f>D353*D332/((1+G331)^X333)</f>
        <v>7.5977853711386434E-2</v>
      </c>
      <c r="Y339" s="33">
        <f>D353*D332/((1+G331)^Y333)</f>
        <v>7.1007339917183582E-2</v>
      </c>
      <c r="Z339" s="33">
        <f>D353*D332/((1+G331)^Z333)</f>
        <v>6.6361999922601472E-2</v>
      </c>
      <c r="AA339" s="33">
        <f>D353*D332/((1+G331)^AA333)</f>
        <v>6.2020560675328483E-2</v>
      </c>
    </row>
    <row r="340" spans="3:27" hidden="1" outlineLevel="1" x14ac:dyDescent="0.3">
      <c r="C340" s="21" t="s">
        <v>34</v>
      </c>
      <c r="D340" s="19">
        <f>分布式光伏电站IRR汇总!$B$10</f>
        <v>0.222</v>
      </c>
      <c r="F340" s="6" t="s">
        <v>19</v>
      </c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>
        <f>D353*D356/((1+G331)^AA333)</f>
        <v>0.2544083398901974</v>
      </c>
    </row>
    <row r="341" spans="3:27" hidden="1" outlineLevel="1" x14ac:dyDescent="0.3">
      <c r="C341" s="21" t="s">
        <v>35</v>
      </c>
      <c r="D341" s="19">
        <f>分布式光伏电站IRR汇总!$B$11</f>
        <v>0.44400000000000001</v>
      </c>
      <c r="F341" s="8" t="s">
        <v>64</v>
      </c>
      <c r="G341" s="33">
        <f>SUM(H342:AA342)</f>
        <v>73825.815323720948</v>
      </c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spans="3:27" hidden="1" outlineLevel="1" x14ac:dyDescent="0.3">
      <c r="C342" s="21" t="s">
        <v>36</v>
      </c>
      <c r="D342" s="19">
        <f>分布式光伏电站IRR汇总!$B$12</f>
        <v>0.222</v>
      </c>
      <c r="F342" s="9" t="s">
        <v>65</v>
      </c>
      <c r="G342" s="33"/>
      <c r="H342" s="33">
        <f>D332*D349*(1-D351)*D355/((1+G331)^H333)</f>
        <v>6729.1599252336437</v>
      </c>
      <c r="I342" s="33">
        <f>D332*D349*(1-D351)*(1-D352)^(I333-1)*D355/((1+G331)^I333)</f>
        <v>6260.6343042711151</v>
      </c>
      <c r="J342" s="33">
        <f>D332*D349*(1-D351)*(1-D352)^(J333-1)*D355/((1+G331)^J333)</f>
        <v>5824.730327011117</v>
      </c>
      <c r="K342" s="33">
        <f>D332*D349*(1-D351)*(1-D352)^(K333-1)*D355/((1+G331)^K333)</f>
        <v>5419.1766734014655</v>
      </c>
      <c r="L342" s="33">
        <f>D332*D349*(1-D351)*(1-D352)^(L333-1)*D355/((1+G331)^L333)</f>
        <v>5041.8601667020175</v>
      </c>
      <c r="M342" s="33">
        <f>D332*D349*(1-D351)*(1-D352)^(M333-1)*D355/((1+G331)^M333)</f>
        <v>4690.8147625718302</v>
      </c>
      <c r="N342" s="33">
        <f>D332*D349*(1-D351)*(1-D352)^(N333-1)*D355/((1+G331)^N333)</f>
        <v>4364.2113048039791</v>
      </c>
      <c r="O342" s="33">
        <f>D332*D349*(1-D351)*(1-D352)^(O333-1)*D355/((1+G331)^O333)</f>
        <v>4060.3479943293091</v>
      </c>
      <c r="P342" s="33">
        <f>D332*D349*(1-D351)*(1-D352)^(P333-1)*D355/((1+G331)^P333)</f>
        <v>3777.6415218269412</v>
      </c>
      <c r="Q342" s="33">
        <f>D332*D349*(1-D351)*(1-D352)^(Q333-1)*D355/((1+G331)^Q333)</f>
        <v>3514.6188177371223</v>
      </c>
      <c r="R342" s="33">
        <f>D332*D349*(1-D351)*(1-D352)^(R333-1)*D355/((1+G331)^R333)</f>
        <v>3269.9093766890701</v>
      </c>
      <c r="S342" s="33">
        <f>D332*D349*(1-D351)*(1-D352)^(S333-1)*D355/((1+G331)^S333)</f>
        <v>3042.2381163495047</v>
      </c>
      <c r="T342" s="33">
        <f>D332*D349*(1-D351)*(1-D352)^(T333-1)*D355/((1+G331)^T333)</f>
        <v>2830.4187334821795</v>
      </c>
      <c r="U342" s="33">
        <f>D332*D349*(1-D351)*(1-D352)^(U333-1)*D355/((1+G331)^U333)</f>
        <v>2633.3475225995417</v>
      </c>
      <c r="V342" s="33">
        <f>D332*D349*(1-D351)*(1-D352)^(V333-1)*D355/((1+G331)^V333)</f>
        <v>2449.9976249979845</v>
      </c>
      <c r="W342" s="33">
        <f>D332*D349*(1-D351)*(1-D352)^(W333-1)*D355/((1+G331)^W333)</f>
        <v>2279.4136782107425</v>
      </c>
      <c r="X342" s="33">
        <f>D332*D349*(1-D351)*(1-D352)^(X333-1)*D355/((1+G331)^X333)</f>
        <v>2120.7068379988732</v>
      </c>
      <c r="Y342" s="33">
        <f>D332*D349*(1-D351)*(1-D352)^(Y333-1)*D355/((1+G331)^Y333)</f>
        <v>1973.0501469419421</v>
      </c>
      <c r="Z342" s="33">
        <f>D332*D349*(1-D351)*(1-D352)^(Z333-1)*D355/((1+G331)^Z333)</f>
        <v>1835.6742254959847</v>
      </c>
      <c r="AA342" s="33">
        <f>D332*D349*(1-D351)*(1-D352)^(AA333-1)*D355/((1+G331)^AA333)</f>
        <v>1707.8632630665918</v>
      </c>
    </row>
    <row r="343" spans="3:27" hidden="1" outlineLevel="1" x14ac:dyDescent="0.3">
      <c r="C343" s="21" t="s">
        <v>37</v>
      </c>
      <c r="D343" s="19">
        <f>分布式光伏电站IRR汇总!$B$13</f>
        <v>0.15</v>
      </c>
      <c r="F343" s="4" t="s">
        <v>66</v>
      </c>
      <c r="G343" s="33">
        <f>SUM(H344:AA344)</f>
        <v>30.689391430070799</v>
      </c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spans="3:27" hidden="1" outlineLevel="1" x14ac:dyDescent="0.3">
      <c r="C344" s="21" t="s">
        <v>38</v>
      </c>
      <c r="D344" s="19">
        <f>分布式光伏电站IRR汇总!$B$14</f>
        <v>3.7000000000000005E-2</v>
      </c>
      <c r="F344" s="7" t="s">
        <v>67</v>
      </c>
      <c r="G344" s="33"/>
      <c r="H344" s="33">
        <f>H342*D360/1000</f>
        <v>2.7973117809196255</v>
      </c>
      <c r="I344" s="33">
        <f>I342*D360/1000</f>
        <v>2.6025456802855027</v>
      </c>
      <c r="J344" s="33">
        <f>J342*D360/1000</f>
        <v>2.4213403969385214</v>
      </c>
      <c r="K344" s="33">
        <f>K342*D360/1000</f>
        <v>2.2527517431329893</v>
      </c>
      <c r="L344" s="33">
        <f>L342*D360/1000</f>
        <v>2.0959012712980289</v>
      </c>
      <c r="M344" s="33">
        <f>M342*D360/1000</f>
        <v>1.9499716968011098</v>
      </c>
      <c r="N344" s="33">
        <f>N342*D360/1000</f>
        <v>1.8142026394070141</v>
      </c>
      <c r="O344" s="33">
        <f>O342*D360/1000</f>
        <v>1.6878866612426939</v>
      </c>
      <c r="P344" s="33">
        <f>P342*D360/1000</f>
        <v>1.5703655806234595</v>
      </c>
      <c r="Q344" s="33">
        <f>Q342*D360/1000</f>
        <v>1.4610270425333218</v>
      </c>
      <c r="R344" s="33">
        <f>R342*D360/1000</f>
        <v>1.3593013278896464</v>
      </c>
      <c r="S344" s="33">
        <f>S342*D360/1000</f>
        <v>1.2646583849664892</v>
      </c>
      <c r="T344" s="33">
        <f>T342*D360/1000</f>
        <v>1.1766050675085422</v>
      </c>
      <c r="U344" s="33">
        <f>U342*D360/1000</f>
        <v>1.0946825651446295</v>
      </c>
      <c r="V344" s="33">
        <f>V342*D360/1000</f>
        <v>1.0184640127116622</v>
      </c>
      <c r="W344" s="33">
        <f>W342*D360/1000</f>
        <v>0.94755226603220566</v>
      </c>
      <c r="X344" s="33">
        <f>X342*D360/1000</f>
        <v>0.88157783255613165</v>
      </c>
      <c r="Y344" s="33">
        <f>Y342*D360/1000</f>
        <v>0.82019694608376537</v>
      </c>
      <c r="Z344" s="33">
        <f>Z342*D360/1000</f>
        <v>0.76308977553868085</v>
      </c>
      <c r="AA344" s="33">
        <f>AA342*D360/1000</f>
        <v>0.70995875845678225</v>
      </c>
    </row>
    <row r="345" spans="3:27" hidden="1" outlineLevel="1" x14ac:dyDescent="0.3">
      <c r="C345" s="21" t="s">
        <v>39</v>
      </c>
      <c r="D345" s="19">
        <f>分布式光伏电站IRR汇总!$B$15</f>
        <v>0.25900000000000006</v>
      </c>
      <c r="F345" s="4" t="s">
        <v>20</v>
      </c>
      <c r="G345" s="33">
        <f>SUM(H346:V346)</f>
        <v>3.4333318660560246</v>
      </c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spans="3:27" hidden="1" outlineLevel="1" x14ac:dyDescent="0.3">
      <c r="C346" s="21" t="s">
        <v>40</v>
      </c>
      <c r="D346" s="19">
        <f>分布式光伏电站IRR汇总!$B$16</f>
        <v>7.400000000000001E-2</v>
      </c>
      <c r="F346" s="7" t="s">
        <v>21</v>
      </c>
      <c r="G346" s="33"/>
      <c r="H346" s="33">
        <f>(H344-H337-H339)*G332</f>
        <v>0.37010598261308403</v>
      </c>
      <c r="I346" s="33">
        <f>(I344-I337-I339)*G332</f>
        <v>0.34295234285939219</v>
      </c>
      <c r="J346" s="33">
        <f>(J344-J337-J339)*G332</f>
        <v>0.31777988688698228</v>
      </c>
      <c r="K346" s="33">
        <f>(K344-K337-K339)*G332</f>
        <v>0.29444474667329584</v>
      </c>
      <c r="L346" s="33">
        <f>(L344-L337-L339)*G332</f>
        <v>0.27281345884324415</v>
      </c>
      <c r="M346" s="33">
        <f>(M344-M337-M339)*G332</f>
        <v>0.25276221487199418</v>
      </c>
      <c r="N346" s="33">
        <f>(N344-N337-N339)*G332</f>
        <v>0.2341761651524234</v>
      </c>
      <c r="O346" s="33">
        <f>(O344-O337-O339)*G332</f>
        <v>0.21694877306830881</v>
      </c>
      <c r="P346" s="33">
        <f>(P344-P337-P339)*G332</f>
        <v>0.20098121549010359</v>
      </c>
      <c r="Q346" s="33">
        <f>(Q344-Q337-Q339)*G332</f>
        <v>0.18618182636626379</v>
      </c>
      <c r="R346" s="33">
        <f>(R344-R337-R339)*G332</f>
        <v>0.17246558032094747</v>
      </c>
      <c r="S346" s="33">
        <f>(S344-S337-S339)*G332</f>
        <v>0.15975361338978664</v>
      </c>
      <c r="T346" s="33">
        <f>(T344-T337-T339)*G332</f>
        <v>0.14797277823056018</v>
      </c>
      <c r="U346" s="33">
        <f>(U344-U337-U339)*G332</f>
        <v>0.13705523133608688</v>
      </c>
      <c r="V346" s="33">
        <f>(V344-V337-V339)*G332</f>
        <v>0.12693804995355065</v>
      </c>
      <c r="W346" s="33">
        <f>(W344-W337-W339)*G332</f>
        <v>0.11756287657873839</v>
      </c>
      <c r="X346" s="33">
        <f>(X344-X337-X339)*G332</f>
        <v>0.10887558904621703</v>
      </c>
      <c r="Y346" s="33">
        <f>(Y344-Y337-Y339)*G332</f>
        <v>0.10082599437812276</v>
      </c>
      <c r="Z346" s="33">
        <f>(Z344-Z337-Z339)*G332</f>
        <v>9.3367544685774351E-2</v>
      </c>
      <c r="AA346" s="33">
        <f>(AA344-AA337-AA339)*G332</f>
        <v>8.6457073540461102E-2</v>
      </c>
    </row>
    <row r="347" spans="3:27" hidden="1" outlineLevel="1" x14ac:dyDescent="0.3">
      <c r="C347" s="21" t="s">
        <v>41</v>
      </c>
      <c r="D347" s="19">
        <f>分布式光伏电站IRR汇总!$B$17</f>
        <v>0.222</v>
      </c>
      <c r="F347" s="10" t="s">
        <v>22</v>
      </c>
      <c r="G347" s="33">
        <f>-G335</f>
        <v>-24.611999999999995</v>
      </c>
      <c r="H347" s="33">
        <f t="shared" ref="H347:AA347" si="50">H344-H346-H339</f>
        <v>2.2029067328859808</v>
      </c>
      <c r="I347" s="33">
        <f t="shared" si="50"/>
        <v>2.0499680426405398</v>
      </c>
      <c r="J347" s="33">
        <f t="shared" si="50"/>
        <v>1.9076490195977347</v>
      </c>
      <c r="K347" s="33">
        <f t="shared" si="50"/>
        <v>1.7752121455682874</v>
      </c>
      <c r="L347" s="33">
        <f t="shared" si="50"/>
        <v>1.6519711293787045</v>
      </c>
      <c r="M347" s="33">
        <f t="shared" si="50"/>
        <v>1.5372873482131526</v>
      </c>
      <c r="N347" s="33">
        <f t="shared" si="50"/>
        <v>1.4305665362022888</v>
      </c>
      <c r="O347" s="33">
        <f t="shared" si="50"/>
        <v>1.3312557030787759</v>
      </c>
      <c r="P347" s="33">
        <f t="shared" si="50"/>
        <v>1.2388402669131604</v>
      </c>
      <c r="Q347" s="33">
        <f t="shared" si="50"/>
        <v>1.1528413860547257</v>
      </c>
      <c r="R347" s="33">
        <f t="shared" si="50"/>
        <v>1.0728134764356783</v>
      </c>
      <c r="S347" s="33">
        <f t="shared" si="50"/>
        <v>0.9983419013589262</v>
      </c>
      <c r="T347" s="33">
        <f t="shared" si="50"/>
        <v>0.92904082178473302</v>
      </c>
      <c r="U347" s="33">
        <f t="shared" si="50"/>
        <v>0.86455119596438457</v>
      </c>
      <c r="V347" s="33">
        <f t="shared" si="50"/>
        <v>0.80453891804394528</v>
      </c>
      <c r="W347" s="33">
        <f t="shared" si="50"/>
        <v>0.74869308598228379</v>
      </c>
      <c r="X347" s="33">
        <f t="shared" si="50"/>
        <v>0.69672438979852824</v>
      </c>
      <c r="Y347" s="33">
        <f t="shared" si="50"/>
        <v>0.64836361178845903</v>
      </c>
      <c r="Z347" s="33">
        <f t="shared" si="50"/>
        <v>0.603360230930305</v>
      </c>
      <c r="AA347" s="33">
        <f t="shared" si="50"/>
        <v>0.56148112424099272</v>
      </c>
    </row>
    <row r="348" spans="3:27" ht="13.5" hidden="1" outlineLevel="1" thickBot="1" x14ac:dyDescent="0.35">
      <c r="C348" s="21" t="s">
        <v>74</v>
      </c>
      <c r="D348" s="19">
        <f>分布式光伏电站IRR汇总!$B$18</f>
        <v>0.4</v>
      </c>
      <c r="F348" s="3" t="s">
        <v>61</v>
      </c>
      <c r="G348" s="35">
        <f>SUM(G347:AA347)/G335</f>
        <v>-1.6479478837087967E-2</v>
      </c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3:27" ht="13.5" hidden="1" outlineLevel="1" thickTop="1" x14ac:dyDescent="0.3">
      <c r="C349" s="18" t="s">
        <v>58</v>
      </c>
      <c r="D349" s="19">
        <f>分布式光伏电站IRR汇总!$B$19</f>
        <v>0.86599999999999999</v>
      </c>
    </row>
    <row r="350" spans="3:27" hidden="1" outlineLevel="1" x14ac:dyDescent="0.3">
      <c r="C350" s="18" t="s">
        <v>62</v>
      </c>
      <c r="D350" s="19">
        <f>分布式光伏电站IRR汇总!$B$20</f>
        <v>20</v>
      </c>
      <c r="F350" s="13" t="s">
        <v>25</v>
      </c>
      <c r="G350" s="14">
        <v>0</v>
      </c>
    </row>
    <row r="351" spans="3:27" hidden="1" outlineLevel="1" x14ac:dyDescent="0.3">
      <c r="C351" s="18" t="s">
        <v>59</v>
      </c>
      <c r="D351" s="52">
        <f>分布式光伏电站IRR汇总!$B$21</f>
        <v>0.02</v>
      </c>
      <c r="F351" s="13" t="s">
        <v>26</v>
      </c>
      <c r="G351" s="14">
        <v>0.25</v>
      </c>
      <c r="Q351" s="15"/>
    </row>
    <row r="352" spans="3:27" hidden="1" outlineLevel="1" x14ac:dyDescent="0.3">
      <c r="C352" s="18" t="s">
        <v>60</v>
      </c>
      <c r="D352" s="52">
        <f>分布式光伏电站IRR汇总!$B$22</f>
        <v>4.4999999999999997E-3</v>
      </c>
      <c r="F352" s="1" t="s">
        <v>44</v>
      </c>
      <c r="G352" s="4"/>
      <c r="H352" s="5">
        <v>1</v>
      </c>
      <c r="I352" s="5">
        <v>2</v>
      </c>
      <c r="J352" s="5">
        <v>3</v>
      </c>
      <c r="K352" s="5">
        <v>4</v>
      </c>
      <c r="L352" s="5">
        <v>5</v>
      </c>
      <c r="M352" s="5">
        <v>6</v>
      </c>
      <c r="N352" s="5">
        <v>7</v>
      </c>
      <c r="O352" s="5">
        <v>8</v>
      </c>
      <c r="P352" s="5">
        <v>9</v>
      </c>
      <c r="Q352" s="5">
        <v>10</v>
      </c>
      <c r="R352" s="5">
        <v>11</v>
      </c>
      <c r="S352" s="5">
        <v>12</v>
      </c>
      <c r="T352" s="5">
        <v>13</v>
      </c>
      <c r="U352" s="5">
        <v>14</v>
      </c>
      <c r="V352" s="5">
        <v>15</v>
      </c>
      <c r="W352" s="5">
        <v>16</v>
      </c>
      <c r="X352" s="5">
        <v>17</v>
      </c>
      <c r="Y352" s="5">
        <v>18</v>
      </c>
      <c r="Z352" s="5">
        <v>19</v>
      </c>
      <c r="AA352" s="5">
        <v>20</v>
      </c>
    </row>
    <row r="353" spans="3:27" hidden="1" outlineLevel="1" x14ac:dyDescent="0.3">
      <c r="C353" s="18" t="s">
        <v>28</v>
      </c>
      <c r="D353" s="29">
        <f>分布式光伏电站IRR汇总!$B$23</f>
        <v>0.04</v>
      </c>
      <c r="F353" s="16"/>
      <c r="G353" s="2" t="s">
        <v>0</v>
      </c>
      <c r="H353" s="2" t="s">
        <v>1</v>
      </c>
      <c r="I353" s="2" t="s">
        <v>2</v>
      </c>
      <c r="J353" s="2" t="s">
        <v>3</v>
      </c>
      <c r="K353" s="2" t="s">
        <v>4</v>
      </c>
      <c r="L353" s="2" t="s">
        <v>5</v>
      </c>
      <c r="M353" s="2" t="s">
        <v>6</v>
      </c>
      <c r="N353" s="2" t="s">
        <v>7</v>
      </c>
      <c r="O353" s="2" t="s">
        <v>8</v>
      </c>
      <c r="P353" s="2" t="s">
        <v>9</v>
      </c>
      <c r="Q353" s="2" t="s">
        <v>10</v>
      </c>
      <c r="R353" s="2" t="s">
        <v>11</v>
      </c>
      <c r="S353" s="2" t="s">
        <v>12</v>
      </c>
      <c r="T353" s="2" t="s">
        <v>13</v>
      </c>
      <c r="U353" s="2" t="s">
        <v>45</v>
      </c>
      <c r="V353" s="2" t="s">
        <v>46</v>
      </c>
      <c r="W353" s="2" t="s">
        <v>47</v>
      </c>
      <c r="X353" s="2" t="s">
        <v>48</v>
      </c>
      <c r="Y353" s="2" t="s">
        <v>49</v>
      </c>
      <c r="Z353" s="2" t="s">
        <v>50</v>
      </c>
      <c r="AA353" s="2" t="s">
        <v>51</v>
      </c>
    </row>
    <row r="354" spans="3:27" hidden="1" outlineLevel="1" x14ac:dyDescent="0.3">
      <c r="C354" s="18" t="s">
        <v>43</v>
      </c>
      <c r="D354" s="19">
        <f>分布式光伏电站IRR汇总!$B$24</f>
        <v>0.05</v>
      </c>
      <c r="F354" s="6" t="s">
        <v>14</v>
      </c>
      <c r="G354" s="33">
        <f>D356</f>
        <v>24.611999999999995</v>
      </c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spans="3:27" hidden="1" outlineLevel="1" x14ac:dyDescent="0.3">
      <c r="C355" s="18" t="s">
        <v>126</v>
      </c>
      <c r="D355" s="28">
        <f>Backup分地区光伏小时数及电价!E8</f>
        <v>1414</v>
      </c>
      <c r="F355" s="6" t="s">
        <v>15</v>
      </c>
      <c r="G355" s="33">
        <f>SUM(H356:AA356)</f>
        <v>23.381399999999985</v>
      </c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spans="3:27" hidden="1" outlineLevel="1" x14ac:dyDescent="0.3">
      <c r="C356" s="24" t="s">
        <v>14</v>
      </c>
      <c r="D356" s="30">
        <f>D332*D337</f>
        <v>24.611999999999995</v>
      </c>
      <c r="F356" s="7" t="s">
        <v>16</v>
      </c>
      <c r="G356" s="33"/>
      <c r="H356" s="33">
        <f>D356*(1-D354)/D350/((1+G350)^H352)</f>
        <v>1.1690699999999996</v>
      </c>
      <c r="I356" s="33">
        <f>D356*(1-D354)/D350/((1+G350)^I352)</f>
        <v>1.1690699999999996</v>
      </c>
      <c r="J356" s="33">
        <f>D356*(1-D354)/D350/((1+G350)^J352)</f>
        <v>1.1690699999999996</v>
      </c>
      <c r="K356" s="33">
        <f>D356*(1-D354)/D350/((1+G350)^K352)</f>
        <v>1.1690699999999996</v>
      </c>
      <c r="L356" s="33">
        <f>D356*(1-D354)/D350/((1+G350)^L352)</f>
        <v>1.1690699999999996</v>
      </c>
      <c r="M356" s="33">
        <f>D356*(1-D354)/D350/((1+G350)^M352)</f>
        <v>1.1690699999999996</v>
      </c>
      <c r="N356" s="33">
        <f>D356*(1-D354)/D350/((1+G350)^N352)</f>
        <v>1.1690699999999996</v>
      </c>
      <c r="O356" s="33">
        <f>D356*(1-D354)/D350/((1+G350)^O352)</f>
        <v>1.1690699999999996</v>
      </c>
      <c r="P356" s="33">
        <f>D356*(1-D354)/D350/((1+G350)^P352)</f>
        <v>1.1690699999999996</v>
      </c>
      <c r="Q356" s="33">
        <f>D356*(1-D354)/D350/((1+G350)^Q352)</f>
        <v>1.1690699999999996</v>
      </c>
      <c r="R356" s="33">
        <f>D356*(1-D354)/D350/((1+G350)^R352)</f>
        <v>1.1690699999999996</v>
      </c>
      <c r="S356" s="33">
        <f>D356*(1-D354)/D350/((1+G350)^S352)</f>
        <v>1.1690699999999996</v>
      </c>
      <c r="T356" s="33">
        <f>D356*(1-D354)/D350/((1+G350)^T352)</f>
        <v>1.1690699999999996</v>
      </c>
      <c r="U356" s="33">
        <f>D356*(1-D354)/D350/((1+G350)^U352)</f>
        <v>1.1690699999999996</v>
      </c>
      <c r="V356" s="33">
        <f>D356*(1-D354)/D350/((1+G350)^V352)</f>
        <v>1.1690699999999996</v>
      </c>
      <c r="W356" s="33">
        <f>D356*(1-D354)/D350/((1+G350)^W352)</f>
        <v>1.1690699999999996</v>
      </c>
      <c r="X356" s="33">
        <f>D356*(1-D354)/D350/((1+G350)^X352)</f>
        <v>1.1690699999999996</v>
      </c>
      <c r="Y356" s="33">
        <f>D356*(1-D354)/D350/((1+G350)^Y352)</f>
        <v>1.1690699999999996</v>
      </c>
      <c r="Z356" s="33">
        <f>D356*(1-D354)/D350/((1+G350)^Z352)</f>
        <v>1.1690699999999996</v>
      </c>
      <c r="AA356" s="33">
        <f>D356*(1-D354)/D350/((1+G350)^AA352)</f>
        <v>1.1690699999999996</v>
      </c>
    </row>
    <row r="357" spans="3:27" hidden="1" outlineLevel="1" x14ac:dyDescent="0.3">
      <c r="C357" s="18" t="s">
        <v>29</v>
      </c>
      <c r="D357" s="29">
        <v>0.35980000000000001</v>
      </c>
      <c r="F357" s="6" t="s">
        <v>17</v>
      </c>
      <c r="G357" s="33">
        <f>SUM(H358:AA358)</f>
        <v>4.8000000000000025</v>
      </c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spans="3:27" hidden="1" outlineLevel="1" x14ac:dyDescent="0.3">
      <c r="C358" s="18" t="s">
        <v>30</v>
      </c>
      <c r="D358" s="53">
        <f>Backup分地区光伏小时数及电价!I8</f>
        <v>0.41570000000000001</v>
      </c>
      <c r="F358" s="7" t="s">
        <v>18</v>
      </c>
      <c r="G358" s="33"/>
      <c r="H358" s="33">
        <f>D353*D332/((1+G350)^H352)</f>
        <v>0.24</v>
      </c>
      <c r="I358" s="33">
        <f>D353*D332/((1+G350)^I352)</f>
        <v>0.24</v>
      </c>
      <c r="J358" s="33">
        <f>D353*D332/((1+G350)^J352)</f>
        <v>0.24</v>
      </c>
      <c r="K358" s="33">
        <f>D353*D332/((1+G350)^K352)</f>
        <v>0.24</v>
      </c>
      <c r="L358" s="33">
        <f>D353*D332/((1+G350)^L352)</f>
        <v>0.24</v>
      </c>
      <c r="M358" s="33">
        <f>D353*D332/((1+G350)^M352)</f>
        <v>0.24</v>
      </c>
      <c r="N358" s="33">
        <f>D353*D332/((1+G350)^N352)</f>
        <v>0.24</v>
      </c>
      <c r="O358" s="33">
        <f>D353*D332/((1+G350)^O352)</f>
        <v>0.24</v>
      </c>
      <c r="P358" s="33">
        <f>D353*D332/((1+G350)^P352)</f>
        <v>0.24</v>
      </c>
      <c r="Q358" s="33">
        <f>D353*D332/((1+G350)^Q352)</f>
        <v>0.24</v>
      </c>
      <c r="R358" s="33">
        <f>D353*D332/((1+G350)^R352)</f>
        <v>0.24</v>
      </c>
      <c r="S358" s="33">
        <f>D353*D332/((1+G350)^S352)</f>
        <v>0.24</v>
      </c>
      <c r="T358" s="33">
        <f>D353*D332/((1+G350)^T352)</f>
        <v>0.24</v>
      </c>
      <c r="U358" s="33">
        <f>D353*D332/((1+G350)^U352)</f>
        <v>0.24</v>
      </c>
      <c r="V358" s="33">
        <f>D353*D332/((1+G350)^V352)</f>
        <v>0.24</v>
      </c>
      <c r="W358" s="33">
        <f>D353*D332/((1+G350)^W352)</f>
        <v>0.24</v>
      </c>
      <c r="X358" s="33">
        <f>D353*D332/((1+G350)^X352)</f>
        <v>0.24</v>
      </c>
      <c r="Y358" s="33">
        <f>D353*D332/((1+G350)^Y352)</f>
        <v>0.24</v>
      </c>
      <c r="Z358" s="33">
        <f>D353*D332/((1+G350)^Z352)</f>
        <v>0.24</v>
      </c>
      <c r="AA358" s="33">
        <f>D353*D332/((1+G350)^AA352)</f>
        <v>0.24</v>
      </c>
    </row>
    <row r="359" spans="3:27" hidden="1" outlineLevel="1" x14ac:dyDescent="0.3">
      <c r="C359" s="18" t="s">
        <v>70</v>
      </c>
      <c r="D359" s="32">
        <f>分布式光伏电站IRR汇总!$B$27</f>
        <v>1</v>
      </c>
      <c r="F359" s="6" t="s">
        <v>19</v>
      </c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>
        <f>D353*D356/((1+G350)^AA352)</f>
        <v>0.9844799999999998</v>
      </c>
    </row>
    <row r="360" spans="3:27" hidden="1" outlineLevel="1" x14ac:dyDescent="0.3">
      <c r="C360" s="18" t="s">
        <v>69</v>
      </c>
      <c r="D360" s="31">
        <f>D359*D358</f>
        <v>0.41570000000000001</v>
      </c>
      <c r="F360" s="8" t="s">
        <v>64</v>
      </c>
      <c r="G360" s="33">
        <f>SUM(H361:AA361)</f>
        <v>138010.93345764451</v>
      </c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spans="3:27" hidden="1" outlineLevel="1" x14ac:dyDescent="0.3">
      <c r="C361" s="18" t="s">
        <v>31</v>
      </c>
      <c r="D361" s="27">
        <v>0</v>
      </c>
      <c r="F361" s="9" t="s">
        <v>65</v>
      </c>
      <c r="G361" s="33"/>
      <c r="H361" s="33">
        <f>D332*D349*(1-D351)*D355/((1+G350)^H352)</f>
        <v>7200.2011199999988</v>
      </c>
      <c r="I361" s="33">
        <f>D332*D349*(1-D351)*(1-D352)^(I352-1)*D355/((1+G350)^I352)</f>
        <v>7167.8002149599997</v>
      </c>
      <c r="J361" s="33">
        <f>D332*D349*(1-D351)*(1-D352)^(J352-1)*D355/((1+G350)^J352)</f>
        <v>7135.5451139926799</v>
      </c>
      <c r="K361" s="33">
        <f>D332*D349*(1-D351)*(1-D352)^(K352-1)*D355/((1+G350)^K352)</f>
        <v>7103.4351609797141</v>
      </c>
      <c r="L361" s="33">
        <f>D332*D349*(1-D351)*(1-D352)^(L352-1)*D355/((1+G350)^L352)</f>
        <v>7071.4697027553057</v>
      </c>
      <c r="M361" s="33">
        <f>D332*D349*(1-D351)*(1-D352)^(M352-1)*D355/((1+G350)^M352)</f>
        <v>7039.648089092907</v>
      </c>
      <c r="N361" s="33">
        <f>D332*D349*(1-D351)*(1-D352)^(N352-1)*D355/((1+G350)^N352)</f>
        <v>7007.9696726919892</v>
      </c>
      <c r="O361" s="33">
        <f>D332*D349*(1-D351)*(1-D352)^(O352-1)*D355/((1+G350)^O352)</f>
        <v>6976.4338091648751</v>
      </c>
      <c r="P361" s="33">
        <f>D332*D349*(1-D351)*(1-D352)^(P352-1)*D355/((1+G350)^P352)</f>
        <v>6945.0398570236339</v>
      </c>
      <c r="Q361" s="33">
        <f>D332*D349*(1-D351)*(1-D352)^(Q352-1)*D355/((1+G350)^Q352)</f>
        <v>6913.7871776670281</v>
      </c>
      <c r="R361" s="33">
        <f>D332*D349*(1-D351)*(1-D352)^(R352-1)*D355/((1+G350)^R352)</f>
        <v>6882.6751353675272</v>
      </c>
      <c r="S361" s="33">
        <f>D332*D349*(1-D351)*(1-D352)^(S352-1)*D355/((1+G350)^S352)</f>
        <v>6851.7030972583734</v>
      </c>
      <c r="T361" s="33">
        <f>D332*D349*(1-D351)*(1-D352)^(T352-1)*D355/((1+G350)^T352)</f>
        <v>6820.8704333207115</v>
      </c>
      <c r="U361" s="33">
        <f>D332*D349*(1-D351)*(1-D352)^(U352-1)*D355/((1+G350)^U352)</f>
        <v>6790.1765163707678</v>
      </c>
      <c r="V361" s="33">
        <f>D332*D349*(1-D351)*(1-D352)^(V352-1)*D355/((1+G350)^V352)</f>
        <v>6759.6207220470997</v>
      </c>
      <c r="W361" s="33">
        <f>D332*D349*(1-D351)*(1-D352)^(W352-1)*D355/((1+G350)^W352)</f>
        <v>6729.2024287978893</v>
      </c>
      <c r="X361" s="33">
        <f>D332*D349*(1-D351)*(1-D352)^(X352-1)*D355/((1+G350)^X352)</f>
        <v>6698.9210178682988</v>
      </c>
      <c r="Y361" s="33">
        <f>D332*D349*(1-D351)*(1-D352)^(Y352-1)*D355/((1+G350)^Y352)</f>
        <v>6668.775873287891</v>
      </c>
      <c r="Z361" s="33">
        <f>D332*D349*(1-D351)*(1-D352)^(Z352-1)*D355/((1+G350)^Z352)</f>
        <v>6638.7663818580968</v>
      </c>
      <c r="AA361" s="33">
        <f>D332*D349*(1-D351)*(1-D352)^(AA352-1)*D355/((1+G350)^AA352)</f>
        <v>6608.8919331397365</v>
      </c>
    </row>
    <row r="362" spans="3:27" hidden="1" outlineLevel="1" x14ac:dyDescent="0.3">
      <c r="F362" s="4" t="s">
        <v>66</v>
      </c>
      <c r="G362" s="33">
        <f>SUM(H363:AA363)</f>
        <v>57.371145038342839</v>
      </c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spans="3:27" hidden="1" outlineLevel="1" x14ac:dyDescent="0.3">
      <c r="F363" s="7" t="s">
        <v>67</v>
      </c>
      <c r="G363" s="33"/>
      <c r="H363" s="33">
        <f>H361*D360/1000</f>
        <v>2.9931236055839996</v>
      </c>
      <c r="I363" s="33">
        <f>I361*D360/1000</f>
        <v>2.9796545493588718</v>
      </c>
      <c r="J363" s="33">
        <f>J361*D360/1000</f>
        <v>2.9662461038867574</v>
      </c>
      <c r="K363" s="33">
        <f>K361*D360/1000</f>
        <v>2.9528979964192672</v>
      </c>
      <c r="L363" s="33">
        <f>L361*D360/1000</f>
        <v>2.9396099554353805</v>
      </c>
      <c r="M363" s="33">
        <f>M361*D360/1000</f>
        <v>2.9263817106359213</v>
      </c>
      <c r="N363" s="33">
        <f>N361*D360/1000</f>
        <v>2.9132129929380599</v>
      </c>
      <c r="O363" s="33">
        <f>O361*D360/1000</f>
        <v>2.9001035344698387</v>
      </c>
      <c r="P363" s="33">
        <f>P361*D360/1000</f>
        <v>2.8870530685647244</v>
      </c>
      <c r="Q363" s="33">
        <f>Q361*D360/1000</f>
        <v>2.8740613297561834</v>
      </c>
      <c r="R363" s="33">
        <f>R361*D360/1000</f>
        <v>2.8611280537722807</v>
      </c>
      <c r="S363" s="33">
        <f>S361*D360/1000</f>
        <v>2.848252977530306</v>
      </c>
      <c r="T363" s="33">
        <f>T361*D360/1000</f>
        <v>2.8354358391314198</v>
      </c>
      <c r="U363" s="33">
        <f>U361*D360/1000</f>
        <v>2.8226763778553283</v>
      </c>
      <c r="V363" s="33">
        <f>V361*D360/1000</f>
        <v>2.8099743341549792</v>
      </c>
      <c r="W363" s="33">
        <f>W361*D360/1000</f>
        <v>2.7973294496512828</v>
      </c>
      <c r="X363" s="33">
        <f>X361*D360/1000</f>
        <v>2.7847414671278519</v>
      </c>
      <c r="Y363" s="33">
        <f>Y361*D360/1000</f>
        <v>2.7722101305257767</v>
      </c>
      <c r="Z363" s="33">
        <f>Z361*D360/1000</f>
        <v>2.7597351849384109</v>
      </c>
      <c r="AA363" s="33">
        <f>AA361*D360/1000</f>
        <v>2.7473163766061885</v>
      </c>
    </row>
    <row r="364" spans="3:27" hidden="1" outlineLevel="1" x14ac:dyDescent="0.3">
      <c r="F364" s="4" t="s">
        <v>20</v>
      </c>
      <c r="G364" s="33">
        <f>SUM(H365:AA365)</f>
        <v>7.2974362595857096</v>
      </c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spans="3:27" hidden="1" outlineLevel="1" x14ac:dyDescent="0.3">
      <c r="F365" s="7" t="s">
        <v>21</v>
      </c>
      <c r="G365" s="33"/>
      <c r="H365" s="33">
        <f>(H363-H356-H358)*G351</f>
        <v>0.396013401396</v>
      </c>
      <c r="I365" s="33">
        <f>(I363-I356-I358)*G351</f>
        <v>0.39264613733971804</v>
      </c>
      <c r="J365" s="33">
        <f>(J363-J356-J358)*G351</f>
        <v>0.38929402597168944</v>
      </c>
      <c r="K365" s="33">
        <f>(K363-K356-K358)*G351</f>
        <v>0.3859569991048169</v>
      </c>
      <c r="L365" s="33">
        <f>(L363-L356-L358)*G351</f>
        <v>0.38263498885884523</v>
      </c>
      <c r="M365" s="33">
        <f>(M363-M356-M358)*G351</f>
        <v>0.37932792765898043</v>
      </c>
      <c r="N365" s="33">
        <f>(N363-N356-N358)*G351</f>
        <v>0.37603574823451508</v>
      </c>
      <c r="O365" s="33">
        <f>(O363-O356-O358)*G351</f>
        <v>0.37275838361745978</v>
      </c>
      <c r="P365" s="33">
        <f>(P363-P356-P358)*G351</f>
        <v>0.36949576714118121</v>
      </c>
      <c r="Q365" s="33">
        <f>(Q363-Q356-Q358)*G351</f>
        <v>0.36624783243904596</v>
      </c>
      <c r="R365" s="33">
        <f>(R363-R356-R358)*G351</f>
        <v>0.36301451344307029</v>
      </c>
      <c r="S365" s="33">
        <f>(S363-S356-S358)*G351</f>
        <v>0.35979574438257661</v>
      </c>
      <c r="T365" s="33">
        <f>(T363-T356-T358)*G351</f>
        <v>0.35659145978285506</v>
      </c>
      <c r="U365" s="33">
        <f>(U363-U356-U358)*G351</f>
        <v>0.35340159446383218</v>
      </c>
      <c r="V365" s="33">
        <f>(V363-V356-V358)*G351</f>
        <v>0.3502260835387449</v>
      </c>
      <c r="W365" s="33">
        <f>(W363-W356-W358)*G351</f>
        <v>0.34706486241282081</v>
      </c>
      <c r="X365" s="33">
        <f>(X363-X356-X358)*G351</f>
        <v>0.34391786678196307</v>
      </c>
      <c r="Y365" s="33">
        <f>(Y363-Y356-Y358)*G351</f>
        <v>0.34078503263144427</v>
      </c>
      <c r="Z365" s="33">
        <f>(Z363-Z356-Z358)*G351</f>
        <v>0.33766629623460281</v>
      </c>
      <c r="AA365" s="33">
        <f>(AA363-AA356-AA358)*G351</f>
        <v>0.33456159415154724</v>
      </c>
    </row>
    <row r="366" spans="3:27" hidden="1" outlineLevel="1" x14ac:dyDescent="0.3">
      <c r="F366" s="10" t="s">
        <v>22</v>
      </c>
      <c r="G366" s="33">
        <f>-G354</f>
        <v>-24.611999999999995</v>
      </c>
      <c r="H366" s="33">
        <f>H363-H365-H358</f>
        <v>2.3571102041879994</v>
      </c>
      <c r="I366" s="33">
        <f t="shared" ref="I366" si="51">I363-I365-I358</f>
        <v>2.3470084120191537</v>
      </c>
      <c r="J366" s="33">
        <f t="shared" ref="J366" si="52">J363-J365-J358</f>
        <v>2.3369520779150683</v>
      </c>
      <c r="K366" s="33">
        <f t="shared" ref="K366" si="53">K363-K365-K358</f>
        <v>2.3269409973144501</v>
      </c>
      <c r="L366" s="33">
        <f t="shared" ref="L366" si="54">L363-L365-L358</f>
        <v>2.3169749665765353</v>
      </c>
      <c r="M366" s="33">
        <f t="shared" ref="M366" si="55">M363-M365-M358</f>
        <v>2.3070537829769409</v>
      </c>
      <c r="N366" s="33">
        <f t="shared" ref="N366" si="56">N363-N365-N358</f>
        <v>2.297177244703545</v>
      </c>
      <c r="O366" s="33">
        <f t="shared" ref="O366" si="57">O363-O365-O358</f>
        <v>2.2873451508523788</v>
      </c>
      <c r="P366" s="33">
        <f t="shared" ref="P366" si="58">P363-P365-P358</f>
        <v>2.2775573014235428</v>
      </c>
      <c r="Q366" s="33">
        <f t="shared" ref="Q366" si="59">Q363-Q365-Q358</f>
        <v>2.2678134973171371</v>
      </c>
      <c r="R366" s="33">
        <f t="shared" ref="R366" si="60">R363-R365-R358</f>
        <v>2.2581135403292105</v>
      </c>
      <c r="S366" s="33">
        <f t="shared" ref="S366" si="61">S363-S365-S358</f>
        <v>2.2484572331477297</v>
      </c>
      <c r="T366" s="33">
        <f t="shared" ref="T366" si="62">T363-T365-T358</f>
        <v>2.2388443793485644</v>
      </c>
      <c r="U366" s="33">
        <f t="shared" ref="U366" si="63">U363-U365-U358</f>
        <v>2.2292747833914959</v>
      </c>
      <c r="V366" s="33">
        <f t="shared" ref="V366" si="64">V363-V365-V358</f>
        <v>2.2197482506162345</v>
      </c>
      <c r="W366" s="33">
        <f t="shared" ref="W366" si="65">W363-W365-W358</f>
        <v>2.2102645872384619</v>
      </c>
      <c r="X366" s="33">
        <f t="shared" ref="X366" si="66">X363-X365-X358</f>
        <v>2.2008236003458892</v>
      </c>
      <c r="Y366" s="33">
        <f t="shared" ref="Y366" si="67">Y363-Y365-Y358</f>
        <v>2.1914250978943324</v>
      </c>
      <c r="Z366" s="33">
        <f t="shared" ref="Z366" si="68">Z363-Z365-Z358</f>
        <v>2.1820688887038084</v>
      </c>
      <c r="AA366" s="33">
        <f t="shared" ref="AA366" si="69">AA363-AA365-AA358</f>
        <v>2.1727547824546409</v>
      </c>
    </row>
    <row r="367" spans="3:27" ht="13.5" hidden="1" outlineLevel="1" thickBot="1" x14ac:dyDescent="0.35">
      <c r="F367" s="3" t="s">
        <v>68</v>
      </c>
      <c r="G367" s="40">
        <f>IRR(G366:AA366)</f>
        <v>6.7838419573474029E-2</v>
      </c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3:27" ht="13.5" collapsed="1" thickTop="1" x14ac:dyDescent="0.3"/>
    <row r="369" spans="2:27" x14ac:dyDescent="0.3">
      <c r="B369" s="11" t="s">
        <v>143</v>
      </c>
      <c r="C369" s="11" t="s">
        <v>52</v>
      </c>
    </row>
    <row r="370" spans="2:27" x14ac:dyDescent="0.3">
      <c r="C370" s="11" t="s">
        <v>141</v>
      </c>
      <c r="D370" s="54">
        <f>D401</f>
        <v>1535</v>
      </c>
    </row>
    <row r="371" spans="2:27" x14ac:dyDescent="0.3">
      <c r="C371" s="16" t="s">
        <v>78</v>
      </c>
      <c r="D371" s="37">
        <f>(G400+G403+G410)/G406*1000</f>
        <v>0.31880714671023092</v>
      </c>
    </row>
    <row r="372" spans="2:27" x14ac:dyDescent="0.3">
      <c r="C372" s="13" t="s">
        <v>77</v>
      </c>
      <c r="D372" s="39">
        <f>(G381+G384+G391)/G387*1000</f>
        <v>0.44553885035571328</v>
      </c>
    </row>
    <row r="373" spans="2:27" x14ac:dyDescent="0.3">
      <c r="C373" s="13" t="s">
        <v>61</v>
      </c>
      <c r="D373" s="36">
        <f>G394</f>
        <v>0.70431250456935612</v>
      </c>
    </row>
    <row r="374" spans="2:27" x14ac:dyDescent="0.3">
      <c r="C374" s="13" t="s">
        <v>73</v>
      </c>
      <c r="D374" s="25">
        <f>SUM(G393:AA393)</f>
        <v>17.33453936246099</v>
      </c>
    </row>
    <row r="375" spans="2:27" ht="13.5" thickBot="1" x14ac:dyDescent="0.35">
      <c r="C375" s="23" t="s">
        <v>68</v>
      </c>
      <c r="D375" s="26">
        <f>G413</f>
        <v>0.15284888939603913</v>
      </c>
    </row>
    <row r="376" spans="2:27" ht="13.5" hidden="1" outlineLevel="1" thickTop="1" x14ac:dyDescent="0.3">
      <c r="E376" s="20"/>
      <c r="F376" s="38" t="s">
        <v>75</v>
      </c>
    </row>
    <row r="377" spans="2:27" hidden="1" outlineLevel="1" x14ac:dyDescent="0.3">
      <c r="C377" s="11" t="s">
        <v>71</v>
      </c>
      <c r="F377" s="13" t="s">
        <v>25</v>
      </c>
      <c r="G377" s="14">
        <v>7.0000000000000007E-2</v>
      </c>
    </row>
    <row r="378" spans="2:27" hidden="1" outlineLevel="1" x14ac:dyDescent="0.3">
      <c r="C378" s="18" t="s">
        <v>53</v>
      </c>
      <c r="D378" s="19">
        <f>分布式光伏电站IRR汇总!$B$2</f>
        <v>6</v>
      </c>
      <c r="F378" s="13" t="s">
        <v>26</v>
      </c>
      <c r="G378" s="14">
        <v>0.25</v>
      </c>
    </row>
    <row r="379" spans="2:27" hidden="1" outlineLevel="1" x14ac:dyDescent="0.3">
      <c r="C379" s="18" t="s">
        <v>56</v>
      </c>
      <c r="D379" s="19">
        <f>分布式光伏电站IRR汇总!$B$3</f>
        <v>120</v>
      </c>
      <c r="F379" s="1" t="s">
        <v>44</v>
      </c>
      <c r="G379" s="4"/>
      <c r="H379" s="5">
        <v>1</v>
      </c>
      <c r="I379" s="5">
        <v>2</v>
      </c>
      <c r="J379" s="5">
        <v>3</v>
      </c>
      <c r="K379" s="5">
        <v>4</v>
      </c>
      <c r="L379" s="5">
        <v>5</v>
      </c>
      <c r="M379" s="5">
        <v>6</v>
      </c>
      <c r="N379" s="5">
        <v>7</v>
      </c>
      <c r="O379" s="5">
        <v>8</v>
      </c>
      <c r="P379" s="5">
        <v>9</v>
      </c>
      <c r="Q379" s="5">
        <v>10</v>
      </c>
      <c r="R379" s="5">
        <v>11</v>
      </c>
      <c r="S379" s="5">
        <v>12</v>
      </c>
      <c r="T379" s="5">
        <v>13</v>
      </c>
      <c r="U379" s="5">
        <v>14</v>
      </c>
      <c r="V379" s="5">
        <v>15</v>
      </c>
      <c r="W379" s="5">
        <v>16</v>
      </c>
      <c r="X379" s="5">
        <v>17</v>
      </c>
      <c r="Y379" s="5">
        <v>18</v>
      </c>
      <c r="Z379" s="5">
        <v>19</v>
      </c>
      <c r="AA379" s="5">
        <v>20</v>
      </c>
    </row>
    <row r="380" spans="2:27" hidden="1" outlineLevel="1" x14ac:dyDescent="0.3">
      <c r="C380" s="18" t="s">
        <v>57</v>
      </c>
      <c r="D380" s="19">
        <f>分布式光伏电站IRR汇总!$B$4</f>
        <v>3</v>
      </c>
      <c r="F380" s="16"/>
      <c r="G380" s="2" t="s">
        <v>0</v>
      </c>
      <c r="H380" s="2" t="s">
        <v>1</v>
      </c>
      <c r="I380" s="2" t="s">
        <v>2</v>
      </c>
      <c r="J380" s="2" t="s">
        <v>3</v>
      </c>
      <c r="K380" s="2" t="s">
        <v>4</v>
      </c>
      <c r="L380" s="2" t="s">
        <v>5</v>
      </c>
      <c r="M380" s="2" t="s">
        <v>6</v>
      </c>
      <c r="N380" s="2" t="s">
        <v>7</v>
      </c>
      <c r="O380" s="2" t="s">
        <v>8</v>
      </c>
      <c r="P380" s="2" t="s">
        <v>9</v>
      </c>
      <c r="Q380" s="2" t="s">
        <v>10</v>
      </c>
      <c r="R380" s="2" t="s">
        <v>11</v>
      </c>
      <c r="S380" s="2" t="s">
        <v>12</v>
      </c>
      <c r="T380" s="2" t="s">
        <v>13</v>
      </c>
      <c r="U380" s="2" t="s">
        <v>45</v>
      </c>
      <c r="V380" s="2" t="s">
        <v>46</v>
      </c>
      <c r="W380" s="2" t="s">
        <v>47</v>
      </c>
      <c r="X380" s="2" t="s">
        <v>48</v>
      </c>
      <c r="Y380" s="2" t="s">
        <v>49</v>
      </c>
      <c r="Z380" s="2" t="s">
        <v>50</v>
      </c>
      <c r="AA380" s="2" t="s">
        <v>127</v>
      </c>
    </row>
    <row r="381" spans="2:27" hidden="1" outlineLevel="1" x14ac:dyDescent="0.3">
      <c r="C381" s="18" t="s">
        <v>54</v>
      </c>
      <c r="D381" s="19">
        <f>分布式光伏电站IRR汇总!$B$5</f>
        <v>5</v>
      </c>
      <c r="F381" s="6" t="s">
        <v>14</v>
      </c>
      <c r="G381" s="33">
        <f>D402</f>
        <v>24.611999999999995</v>
      </c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spans="2:27" hidden="1" outlineLevel="1" x14ac:dyDescent="0.3">
      <c r="C382" s="18" t="s">
        <v>55</v>
      </c>
      <c r="D382" s="19">
        <f>分布式光伏电站IRR汇总!$B$6</f>
        <v>15</v>
      </c>
      <c r="F382" s="6" t="s">
        <v>15</v>
      </c>
      <c r="G382" s="33">
        <f>SUM(H383:AA383)</f>
        <v>12.385144234005573</v>
      </c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spans="2:27" hidden="1" outlineLevel="1" x14ac:dyDescent="0.3">
      <c r="C383" s="18" t="s">
        <v>42</v>
      </c>
      <c r="D383" s="19">
        <f>分布式光伏电站IRR汇总!$B$7</f>
        <v>4.1019999999999994</v>
      </c>
      <c r="F383" s="7" t="s">
        <v>16</v>
      </c>
      <c r="G383" s="33"/>
      <c r="H383" s="33">
        <f>D402*(1-D400)/D396/((1+G377)^H379)</f>
        <v>1.0925887850467286</v>
      </c>
      <c r="I383" s="33">
        <f>D402*(1-D400)/D396/((1+G377)^I379)</f>
        <v>1.0211110140623632</v>
      </c>
      <c r="J383" s="33">
        <f>D402*(1-D400)/D396/((1+G377)^J379)</f>
        <v>0.95430935893678792</v>
      </c>
      <c r="K383" s="33">
        <f>D402*(1-D400)/D396/((1+G377)^K379)</f>
        <v>0.89187790554839996</v>
      </c>
      <c r="L383" s="33">
        <f>D402*(1-D400)/D396/((1+G377)^L379)</f>
        <v>0.83353075284897193</v>
      </c>
      <c r="M383" s="33">
        <f>D402*(1-D400)/D396/((1+G377)^M379)</f>
        <v>0.77900070359717</v>
      </c>
      <c r="N383" s="33">
        <f>D402*(1-D400)/D396/((1+G377)^N379)</f>
        <v>0.72803804074501866</v>
      </c>
      <c r="O383" s="33">
        <f>D402*(1-D400)/D396/((1+G377)^O379)</f>
        <v>0.6804093838738493</v>
      </c>
      <c r="P383" s="33">
        <f>D402*(1-D400)/D396/((1+G377)^P379)</f>
        <v>0.63589662044284967</v>
      </c>
      <c r="Q383" s="33">
        <f>D402*(1-D400)/D396/((1+G377)^Q379)</f>
        <v>0.59429590695593437</v>
      </c>
      <c r="R383" s="33">
        <f>D402*(1-D400)/D396/((1+G377)^R379)</f>
        <v>0.55541673547283577</v>
      </c>
      <c r="S383" s="33">
        <f>D402*(1-D400)/D396/((1+G377)^S379)</f>
        <v>0.51908106118956621</v>
      </c>
      <c r="T383" s="33">
        <f>D402*(1-D400)/D396/((1+G377)^T379)</f>
        <v>0.4851224870930525</v>
      </c>
      <c r="U383" s="33">
        <f>D402*(1-D400)/D396/((1+G377)^U379)</f>
        <v>0.45338550195612387</v>
      </c>
      <c r="V383" s="33">
        <f>D402*(1-D400)/D396/((1+G377)^V379)</f>
        <v>0.4237247681832933</v>
      </c>
      <c r="W383" s="33">
        <f>D402*(1-D400)/D396/((1+G377)^W379)</f>
        <v>0.39600445624606856</v>
      </c>
      <c r="X383" s="33">
        <f>D402*(1-D400)/D396/((1+G377)^X379)</f>
        <v>0.37009762265987711</v>
      </c>
      <c r="Y383" s="33">
        <f>D402*(1-D400)/D396/((1+G377)^Y379)</f>
        <v>0.34588562865409078</v>
      </c>
      <c r="Z383" s="33">
        <f>D402*(1-D400)/D396/((1+G377)^Z379)</f>
        <v>0.323257596872982</v>
      </c>
      <c r="AA383" s="33">
        <f>D402*(1-D400)/D396/((1+G377)^AA379)</f>
        <v>0.30210990361960938</v>
      </c>
    </row>
    <row r="384" spans="2:27" hidden="1" outlineLevel="1" x14ac:dyDescent="0.3">
      <c r="C384" s="21" t="s">
        <v>32</v>
      </c>
      <c r="D384" s="19">
        <f>分布式光伏电站IRR汇总!$B$8</f>
        <v>1.8870000000000002</v>
      </c>
      <c r="F384" s="6" t="s">
        <v>17</v>
      </c>
      <c r="G384" s="33">
        <f>SUM(H385:AA385)</f>
        <v>2.5425634189238777</v>
      </c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spans="3:27" hidden="1" outlineLevel="1" x14ac:dyDescent="0.3">
      <c r="C385" s="21" t="s">
        <v>33</v>
      </c>
      <c r="D385" s="19">
        <f>分布式光伏电站IRR汇总!$B$9</f>
        <v>0.18500000000000003</v>
      </c>
      <c r="F385" s="7" t="s">
        <v>18</v>
      </c>
      <c r="G385" s="33"/>
      <c r="H385" s="33">
        <f>D399*D378/((1+G377)^H379)</f>
        <v>0.22429906542056072</v>
      </c>
      <c r="I385" s="33">
        <f>D399*D378/((1+G377)^I379)</f>
        <v>0.20962529478557079</v>
      </c>
      <c r="J385" s="33">
        <f>D399*D378/((1+G377)^J379)</f>
        <v>0.19591149045380446</v>
      </c>
      <c r="K385" s="33">
        <f>D399*D378/((1+G377)^K379)</f>
        <v>0.18309485089140604</v>
      </c>
      <c r="L385" s="33">
        <f>D399*D378/((1+G377)^L379)</f>
        <v>0.17111668307608041</v>
      </c>
      <c r="M385" s="33">
        <f>D399*D378/((1+G377)^M379)</f>
        <v>0.15992213371596301</v>
      </c>
      <c r="N385" s="33">
        <f>D399*D378/((1+G377)^N379)</f>
        <v>0.14945993805230187</v>
      </c>
      <c r="O385" s="33">
        <f>D399*D378/((1+G377)^O379)</f>
        <v>0.13968218509560923</v>
      </c>
      <c r="P385" s="33">
        <f>D399*D378/((1+G377)^P379)</f>
        <v>0.13054409822019553</v>
      </c>
      <c r="Q385" s="33">
        <f>D399*D378/((1+G377)^Q379)</f>
        <v>0.12200383011233226</v>
      </c>
      <c r="R385" s="33">
        <f>D399*D378/((1+G377)^R379)</f>
        <v>0.1140222711330208</v>
      </c>
      <c r="S385" s="33">
        <f>D399*D378/((1+G377)^S379)</f>
        <v>0.10656287021777647</v>
      </c>
      <c r="T385" s="33">
        <f>D399*D378/((1+G377)^T379)</f>
        <v>9.9591467493249028E-2</v>
      </c>
      <c r="U385" s="33">
        <f>D399*D378/((1+G377)^U379)</f>
        <v>9.3076137844157969E-2</v>
      </c>
      <c r="V385" s="33">
        <f>D399*D378/((1+G377)^V379)</f>
        <v>8.6987044714166323E-2</v>
      </c>
      <c r="W385" s="33">
        <f>D399*D378/((1+G377)^W379)</f>
        <v>8.1296303471183481E-2</v>
      </c>
      <c r="X385" s="33">
        <f>D399*D378/((1+G377)^X379)</f>
        <v>7.5977853711386434E-2</v>
      </c>
      <c r="Y385" s="33">
        <f>D399*D378/((1+G377)^Y379)</f>
        <v>7.1007339917183582E-2</v>
      </c>
      <c r="Z385" s="33">
        <f>D399*D378/((1+G377)^Z379)</f>
        <v>6.6361999922601472E-2</v>
      </c>
      <c r="AA385" s="33">
        <f>D399*D378/((1+G377)^AA379)</f>
        <v>6.2020560675328483E-2</v>
      </c>
    </row>
    <row r="386" spans="3:27" hidden="1" outlineLevel="1" x14ac:dyDescent="0.3">
      <c r="C386" s="21" t="s">
        <v>34</v>
      </c>
      <c r="D386" s="19">
        <f>分布式光伏电站IRR汇总!$B$10</f>
        <v>0.222</v>
      </c>
      <c r="F386" s="6" t="s">
        <v>19</v>
      </c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>
        <f>D399*D402/((1+G377)^AA379)</f>
        <v>0.2544083398901974</v>
      </c>
    </row>
    <row r="387" spans="3:27" hidden="1" outlineLevel="1" x14ac:dyDescent="0.3">
      <c r="C387" s="21" t="s">
        <v>35</v>
      </c>
      <c r="D387" s="19">
        <f>分布式光伏电站IRR汇总!$B$11</f>
        <v>0.44400000000000001</v>
      </c>
      <c r="F387" s="8" t="s">
        <v>64</v>
      </c>
      <c r="G387" s="33">
        <f>SUM(H388:AA388)</f>
        <v>80143.300227660322</v>
      </c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spans="3:27" hidden="1" outlineLevel="1" x14ac:dyDescent="0.3">
      <c r="C388" s="21" t="s">
        <v>36</v>
      </c>
      <c r="D388" s="19">
        <f>分布式光伏电站IRR汇总!$B$12</f>
        <v>0.222</v>
      </c>
      <c r="F388" s="9" t="s">
        <v>65</v>
      </c>
      <c r="G388" s="33"/>
      <c r="H388" s="33">
        <f>D378*D395*(1-D397)*D401/((1+G377)^H379)</f>
        <v>7304.9932710280355</v>
      </c>
      <c r="I388" s="33">
        <f>D378*D395*(1-D397)*(1-D398)^(I379-1)*D401/((1+G377)^I379)</f>
        <v>6796.3745806620655</v>
      </c>
      <c r="J388" s="33">
        <f>D378*D395*(1-D397)*(1-D398)^(J379-1)*D401/((1+G377)^J379)</f>
        <v>6323.1690607935388</v>
      </c>
      <c r="K388" s="33">
        <f>D378*D395*(1-D397)*(1-D398)^(K379-1)*D401/((1+G377)^K379)</f>
        <v>5882.9110280560462</v>
      </c>
      <c r="L388" s="33">
        <f>D378*D395*(1-D397)*(1-D398)^(L379-1)*D401/((1+G377)^L379)</f>
        <v>5473.3064751680313</v>
      </c>
      <c r="M388" s="33">
        <f>D378*D395*(1-D397)*(1-D398)^(M379-1)*D401/((1+G377)^M379)</f>
        <v>5092.2211177848376</v>
      </c>
      <c r="N388" s="33">
        <f>D378*D395*(1-D397)*(1-D398)^(N379-1)*D401/((1+G377)^N379)</f>
        <v>4737.6692736026216</v>
      </c>
      <c r="O388" s="33">
        <f>D378*D395*(1-D397)*(1-D398)^(O379-1)*D401/((1+G377)^O379)</f>
        <v>4407.8035157676732</v>
      </c>
      <c r="P388" s="33">
        <f>D378*D395*(1-D397)*(1-D398)^(P379-1)*D401/((1+G377)^P379)</f>
        <v>4100.9050466791759</v>
      </c>
      <c r="Q388" s="33">
        <f>D378*D395*(1-D397)*(1-D398)^(Q379-1)*D401/((1+G377)^Q379)</f>
        <v>3815.3747420272157</v>
      </c>
      <c r="R388" s="33">
        <f>D378*D395*(1-D397)*(1-D398)^(R379-1)*D401/((1+G377)^R379)</f>
        <v>3549.7248184000869</v>
      </c>
      <c r="S388" s="33">
        <f>D378*D395*(1-D397)*(1-D398)^(S379-1)*D401/((1+G377)^S379)</f>
        <v>3302.5710810441933</v>
      </c>
      <c r="T388" s="33">
        <f>D378*D395*(1-D397)*(1-D398)^(T379-1)*D401/((1+G377)^T379)</f>
        <v>3072.6257113827055</v>
      </c>
      <c r="U388" s="33">
        <f>D378*D395*(1-D397)*(1-D398)^(U379-1)*D401/((1+G377)^U379)</f>
        <v>2858.6905567116664</v>
      </c>
      <c r="V388" s="33">
        <f>D378*D395*(1-D397)*(1-D398)^(V379-1)*D401/((1+G377)^V379)</f>
        <v>2659.6508871088445</v>
      </c>
      <c r="W388" s="33">
        <f>D378*D395*(1-D397)*(1-D398)^(W379-1)*D401/((1+G377)^W379)</f>
        <v>2474.4695870250989</v>
      </c>
      <c r="X388" s="33">
        <f>D378*D395*(1-D397)*(1-D398)^(X379-1)*D401/((1+G377)^X379)</f>
        <v>2302.1817512929774</v>
      </c>
      <c r="Y388" s="33">
        <f>D378*D395*(1-D397)*(1-D398)^(Y379-1)*D401/((1+G377)^Y379)</f>
        <v>2141.8896573945412</v>
      </c>
      <c r="Z388" s="33">
        <f>D378*D395*(1-D397)*(1-D398)^(Z379-1)*D401/((1+G377)^Z379)</f>
        <v>1992.7580877909027</v>
      </c>
      <c r="AA388" s="33">
        <f>D378*D395*(1-D397)*(1-D398)^(AA379-1)*D401/((1+G377)^AA379)</f>
        <v>1854.0099779400412</v>
      </c>
    </row>
    <row r="389" spans="3:27" hidden="1" outlineLevel="1" x14ac:dyDescent="0.3">
      <c r="C389" s="21" t="s">
        <v>37</v>
      </c>
      <c r="D389" s="19">
        <f>分布式光伏电站IRR汇总!$B$13</f>
        <v>0.15</v>
      </c>
      <c r="F389" s="4" t="s">
        <v>66</v>
      </c>
      <c r="G389" s="33">
        <f>SUM(H390:AA390)</f>
        <v>54.342901157536659</v>
      </c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spans="3:27" hidden="1" outlineLevel="1" x14ac:dyDescent="0.3">
      <c r="C390" s="21" t="s">
        <v>38</v>
      </c>
      <c r="D390" s="19">
        <f>分布式光伏电站IRR汇总!$B$14</f>
        <v>3.7000000000000005E-2</v>
      </c>
      <c r="F390" s="7" t="s">
        <v>67</v>
      </c>
      <c r="G390" s="33"/>
      <c r="H390" s="33">
        <f>H388*D406/1000</f>
        <v>4.9533089622747655</v>
      </c>
      <c r="I390" s="33">
        <f>I388*D406/1000</f>
        <v>4.6084290392004954</v>
      </c>
      <c r="J390" s="33">
        <f>J388*D406/1000</f>
        <v>4.2875617836673765</v>
      </c>
      <c r="K390" s="33">
        <f>K388*D406/1000</f>
        <v>3.9890352856456772</v>
      </c>
      <c r="L390" s="33">
        <f>L388*D406/1000</f>
        <v>3.7112940437946458</v>
      </c>
      <c r="M390" s="33">
        <f>M388*D406/1000</f>
        <v>3.4528908603715611</v>
      </c>
      <c r="N390" s="33">
        <f>N388*D406/1000</f>
        <v>3.2124793004671859</v>
      </c>
      <c r="O390" s="33">
        <f>O388*D406/1000</f>
        <v>2.9888066762757792</v>
      </c>
      <c r="P390" s="33">
        <f>P388*D406/1000</f>
        <v>2.7807075198434936</v>
      </c>
      <c r="Q390" s="33">
        <f>Q388*D406/1000</f>
        <v>2.5870975102842975</v>
      </c>
      <c r="R390" s="33">
        <f>R388*D406/1000</f>
        <v>2.4069678238205778</v>
      </c>
      <c r="S390" s="33">
        <f>S388*D406/1000</f>
        <v>2.2393798772087719</v>
      </c>
      <c r="T390" s="33">
        <f>T388*D406/1000</f>
        <v>2.0834604371601237</v>
      </c>
      <c r="U390" s="33">
        <f>U388*D406/1000</f>
        <v>1.938397070273741</v>
      </c>
      <c r="V390" s="33">
        <f>V388*D406/1000</f>
        <v>1.8034339097733729</v>
      </c>
      <c r="W390" s="33">
        <f>W388*D406/1000</f>
        <v>1.6778677169900873</v>
      </c>
      <c r="X390" s="33">
        <f>X388*D406/1000</f>
        <v>1.5610442170688148</v>
      </c>
      <c r="Y390" s="33">
        <f>Y388*D406/1000</f>
        <v>1.4523546898056126</v>
      </c>
      <c r="Z390" s="33">
        <f>Z388*D406/1000</f>
        <v>1.3512327978518572</v>
      </c>
      <c r="AA390" s="33">
        <f>AA388*D406/1000</f>
        <v>1.2571516357584338</v>
      </c>
    </row>
    <row r="391" spans="3:27" hidden="1" outlineLevel="1" x14ac:dyDescent="0.3">
      <c r="C391" s="21" t="s">
        <v>39</v>
      </c>
      <c r="D391" s="19">
        <f>分布式光伏电站IRR汇总!$B$15</f>
        <v>0.25900000000000006</v>
      </c>
      <c r="F391" s="4" t="s">
        <v>20</v>
      </c>
      <c r="G391" s="33">
        <f>SUM(H392:V392)</f>
        <v>8.5523904282206811</v>
      </c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spans="3:27" hidden="1" outlineLevel="1" x14ac:dyDescent="0.3">
      <c r="C392" s="21" t="s">
        <v>40</v>
      </c>
      <c r="D392" s="19">
        <f>分布式光伏电站IRR汇总!$B$16</f>
        <v>7.400000000000001E-2</v>
      </c>
      <c r="F392" s="7" t="s">
        <v>21</v>
      </c>
      <c r="G392" s="33"/>
      <c r="H392" s="33">
        <f>(H390-H383-H385)*G378</f>
        <v>0.90910527795186902</v>
      </c>
      <c r="I392" s="33">
        <f>(I390-I383-I385)*G378</f>
        <v>0.84442318258814031</v>
      </c>
      <c r="J392" s="33">
        <f>(J390-J383-J385)*G378</f>
        <v>0.78433523356919599</v>
      </c>
      <c r="K392" s="33">
        <f>(K390-K383-K385)*G378</f>
        <v>0.72851563230146787</v>
      </c>
      <c r="L392" s="33">
        <f>(L390-L383-L385)*G378</f>
        <v>0.67666165196739825</v>
      </c>
      <c r="M392" s="33">
        <f>(M390-M383-M385)*G378</f>
        <v>0.62849200576460695</v>
      </c>
      <c r="N392" s="33">
        <f>(N390-N383-N385)*G378</f>
        <v>0.58374533041746635</v>
      </c>
      <c r="O392" s="33">
        <f>(O390-O383-O385)*G378</f>
        <v>0.54217877682658022</v>
      </c>
      <c r="P392" s="33">
        <f>(P390-P383-P385)*G378</f>
        <v>0.50356670029511208</v>
      </c>
      <c r="Q392" s="33">
        <f>(Q390-Q383-Q385)*G378</f>
        <v>0.4676994433040077</v>
      </c>
      <c r="R392" s="33">
        <f>(R390-R383-R385)*G378</f>
        <v>0.43438220430368035</v>
      </c>
      <c r="S392" s="33">
        <f>(S390-S383-S385)*G378</f>
        <v>0.40343398645035727</v>
      </c>
      <c r="T392" s="33">
        <f>(T390-T383-T385)*G378</f>
        <v>0.37468662064345554</v>
      </c>
      <c r="U392" s="33">
        <f>(U390-U383-U385)*G378</f>
        <v>0.34798385761836476</v>
      </c>
      <c r="V392" s="33">
        <f>(V390-V383-V385)*G378</f>
        <v>0.32318052421897836</v>
      </c>
      <c r="W392" s="33">
        <f>(W390-W383-W385)*G378</f>
        <v>0.30014173931820881</v>
      </c>
      <c r="X392" s="33">
        <f>(X390-X383-X385)*G378</f>
        <v>0.27874218517438781</v>
      </c>
      <c r="Y392" s="33">
        <f>(Y390-Y383-Y385)*G378</f>
        <v>0.25886543030858455</v>
      </c>
      <c r="Z392" s="33">
        <f>(Z390-Z383-Z385)*G378</f>
        <v>0.24040330026406842</v>
      </c>
      <c r="AA392" s="33">
        <f>(AA390-AA383-AA385)*G378</f>
        <v>0.22325529286587401</v>
      </c>
    </row>
    <row r="393" spans="3:27" hidden="1" outlineLevel="1" x14ac:dyDescent="0.3">
      <c r="C393" s="21" t="s">
        <v>41</v>
      </c>
      <c r="D393" s="19">
        <f>分布式光伏电站IRR汇总!$B$17</f>
        <v>0.222</v>
      </c>
      <c r="F393" s="10" t="s">
        <v>22</v>
      </c>
      <c r="G393" s="33">
        <f>-G381</f>
        <v>-24.611999999999995</v>
      </c>
      <c r="H393" s="33">
        <f t="shared" ref="H393:AA393" si="70">H390-H392-H385</f>
        <v>3.8199046189023358</v>
      </c>
      <c r="I393" s="33">
        <f t="shared" si="70"/>
        <v>3.5543805618267843</v>
      </c>
      <c r="J393" s="33">
        <f t="shared" si="70"/>
        <v>3.3073150596443761</v>
      </c>
      <c r="K393" s="33">
        <f t="shared" si="70"/>
        <v>3.0774248024528035</v>
      </c>
      <c r="L393" s="33">
        <f t="shared" si="70"/>
        <v>2.8635157087511667</v>
      </c>
      <c r="M393" s="33">
        <f t="shared" si="70"/>
        <v>2.664476720890991</v>
      </c>
      <c r="N393" s="33">
        <f t="shared" si="70"/>
        <v>2.4792740319974178</v>
      </c>
      <c r="O393" s="33">
        <f t="shared" si="70"/>
        <v>2.3069457143535899</v>
      </c>
      <c r="P393" s="33">
        <f t="shared" si="70"/>
        <v>2.1465967213281858</v>
      </c>
      <c r="Q393" s="33">
        <f t="shared" si="70"/>
        <v>1.9973942368679574</v>
      </c>
      <c r="R393" s="33">
        <f t="shared" si="70"/>
        <v>1.8585633483838766</v>
      </c>
      <c r="S393" s="33">
        <f t="shared" si="70"/>
        <v>1.729383020540638</v>
      </c>
      <c r="T393" s="33">
        <f t="shared" si="70"/>
        <v>1.6091823490234192</v>
      </c>
      <c r="U393" s="33">
        <f t="shared" si="70"/>
        <v>1.4973370748112182</v>
      </c>
      <c r="V393" s="33">
        <f t="shared" si="70"/>
        <v>1.3932663408402282</v>
      </c>
      <c r="W393" s="33">
        <f t="shared" si="70"/>
        <v>1.2964296742006949</v>
      </c>
      <c r="X393" s="33">
        <f t="shared" si="70"/>
        <v>1.2063241781830405</v>
      </c>
      <c r="Y393" s="33">
        <f t="shared" si="70"/>
        <v>1.1224819195798443</v>
      </c>
      <c r="Z393" s="33">
        <f t="shared" si="70"/>
        <v>1.0444674976651873</v>
      </c>
      <c r="AA393" s="33">
        <f t="shared" si="70"/>
        <v>0.97187578221723137</v>
      </c>
    </row>
    <row r="394" spans="3:27" ht="13.5" hidden="1" outlineLevel="1" thickBot="1" x14ac:dyDescent="0.35">
      <c r="C394" s="21" t="s">
        <v>74</v>
      </c>
      <c r="D394" s="19">
        <f>分布式光伏电站IRR汇总!$B$18</f>
        <v>0.4</v>
      </c>
      <c r="F394" s="3" t="s">
        <v>61</v>
      </c>
      <c r="G394" s="35">
        <f>SUM(G393:AA393)/G381</f>
        <v>0.70431250456935612</v>
      </c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3:27" ht="13.5" hidden="1" outlineLevel="1" thickTop="1" x14ac:dyDescent="0.3">
      <c r="C395" s="18" t="s">
        <v>58</v>
      </c>
      <c r="D395" s="19">
        <f>分布式光伏电站IRR汇总!$B$19</f>
        <v>0.86599999999999999</v>
      </c>
    </row>
    <row r="396" spans="3:27" hidden="1" outlineLevel="1" x14ac:dyDescent="0.3">
      <c r="C396" s="18" t="s">
        <v>62</v>
      </c>
      <c r="D396" s="19">
        <f>分布式光伏电站IRR汇总!$B$20</f>
        <v>20</v>
      </c>
      <c r="F396" s="13" t="s">
        <v>25</v>
      </c>
      <c r="G396" s="14">
        <v>0</v>
      </c>
    </row>
    <row r="397" spans="3:27" hidden="1" outlineLevel="1" x14ac:dyDescent="0.3">
      <c r="C397" s="18" t="s">
        <v>59</v>
      </c>
      <c r="D397" s="52">
        <f>分布式光伏电站IRR汇总!$B$21</f>
        <v>0.02</v>
      </c>
      <c r="F397" s="13" t="s">
        <v>26</v>
      </c>
      <c r="G397" s="14">
        <v>0.25</v>
      </c>
      <c r="Q397" s="15"/>
    </row>
    <row r="398" spans="3:27" hidden="1" outlineLevel="1" x14ac:dyDescent="0.3">
      <c r="C398" s="18" t="s">
        <v>60</v>
      </c>
      <c r="D398" s="52">
        <f>分布式光伏电站IRR汇总!$B$22</f>
        <v>4.4999999999999997E-3</v>
      </c>
      <c r="F398" s="1" t="s">
        <v>44</v>
      </c>
      <c r="G398" s="4"/>
      <c r="H398" s="5">
        <v>1</v>
      </c>
      <c r="I398" s="5">
        <v>2</v>
      </c>
      <c r="J398" s="5">
        <v>3</v>
      </c>
      <c r="K398" s="5">
        <v>4</v>
      </c>
      <c r="L398" s="5">
        <v>5</v>
      </c>
      <c r="M398" s="5">
        <v>6</v>
      </c>
      <c r="N398" s="5">
        <v>7</v>
      </c>
      <c r="O398" s="5">
        <v>8</v>
      </c>
      <c r="P398" s="5">
        <v>9</v>
      </c>
      <c r="Q398" s="5">
        <v>10</v>
      </c>
      <c r="R398" s="5">
        <v>11</v>
      </c>
      <c r="S398" s="5">
        <v>12</v>
      </c>
      <c r="T398" s="5">
        <v>13</v>
      </c>
      <c r="U398" s="5">
        <v>14</v>
      </c>
      <c r="V398" s="5">
        <v>15</v>
      </c>
      <c r="W398" s="5">
        <v>16</v>
      </c>
      <c r="X398" s="5">
        <v>17</v>
      </c>
      <c r="Y398" s="5">
        <v>18</v>
      </c>
      <c r="Z398" s="5">
        <v>19</v>
      </c>
      <c r="AA398" s="5">
        <v>20</v>
      </c>
    </row>
    <row r="399" spans="3:27" hidden="1" outlineLevel="1" x14ac:dyDescent="0.3">
      <c r="C399" s="18" t="s">
        <v>28</v>
      </c>
      <c r="D399" s="29">
        <f>分布式光伏电站IRR汇总!$B$23</f>
        <v>0.04</v>
      </c>
      <c r="F399" s="16"/>
      <c r="G399" s="2" t="s">
        <v>0</v>
      </c>
      <c r="H399" s="2" t="s">
        <v>1</v>
      </c>
      <c r="I399" s="2" t="s">
        <v>2</v>
      </c>
      <c r="J399" s="2" t="s">
        <v>3</v>
      </c>
      <c r="K399" s="2" t="s">
        <v>4</v>
      </c>
      <c r="L399" s="2" t="s">
        <v>5</v>
      </c>
      <c r="M399" s="2" t="s">
        <v>6</v>
      </c>
      <c r="N399" s="2" t="s">
        <v>7</v>
      </c>
      <c r="O399" s="2" t="s">
        <v>8</v>
      </c>
      <c r="P399" s="2" t="s">
        <v>9</v>
      </c>
      <c r="Q399" s="2" t="s">
        <v>10</v>
      </c>
      <c r="R399" s="2" t="s">
        <v>11</v>
      </c>
      <c r="S399" s="2" t="s">
        <v>12</v>
      </c>
      <c r="T399" s="2" t="s">
        <v>13</v>
      </c>
      <c r="U399" s="2" t="s">
        <v>45</v>
      </c>
      <c r="V399" s="2" t="s">
        <v>46</v>
      </c>
      <c r="W399" s="2" t="s">
        <v>47</v>
      </c>
      <c r="X399" s="2" t="s">
        <v>48</v>
      </c>
      <c r="Y399" s="2" t="s">
        <v>49</v>
      </c>
      <c r="Z399" s="2" t="s">
        <v>50</v>
      </c>
      <c r="AA399" s="2" t="s">
        <v>51</v>
      </c>
    </row>
    <row r="400" spans="3:27" hidden="1" outlineLevel="1" x14ac:dyDescent="0.3">
      <c r="C400" s="18" t="s">
        <v>43</v>
      </c>
      <c r="D400" s="19">
        <f>分布式光伏电站IRR汇总!$B$24</f>
        <v>0.05</v>
      </c>
      <c r="F400" s="6" t="s">
        <v>14</v>
      </c>
      <c r="G400" s="33">
        <f>D402</f>
        <v>24.611999999999995</v>
      </c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spans="2:27" hidden="1" outlineLevel="1" x14ac:dyDescent="0.3">
      <c r="C401" s="18" t="s">
        <v>126</v>
      </c>
      <c r="D401" s="28">
        <f>Backup分地区光伏小时数及电价!E9</f>
        <v>1535</v>
      </c>
      <c r="F401" s="6" t="s">
        <v>15</v>
      </c>
      <c r="G401" s="33">
        <f>SUM(H402:AA402)</f>
        <v>23.381399999999985</v>
      </c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spans="2:27" hidden="1" outlineLevel="1" x14ac:dyDescent="0.3">
      <c r="C402" s="24" t="s">
        <v>14</v>
      </c>
      <c r="D402" s="30">
        <f>D378*D383</f>
        <v>24.611999999999995</v>
      </c>
      <c r="F402" s="7" t="s">
        <v>16</v>
      </c>
      <c r="G402" s="33"/>
      <c r="H402" s="33">
        <f>D402*(1-D400)/D396/((1+G396)^H398)</f>
        <v>1.1690699999999996</v>
      </c>
      <c r="I402" s="33">
        <f>D402*(1-D400)/D396/((1+G396)^I398)</f>
        <v>1.1690699999999996</v>
      </c>
      <c r="J402" s="33">
        <f>D402*(1-D400)/D396/((1+G396)^J398)</f>
        <v>1.1690699999999996</v>
      </c>
      <c r="K402" s="33">
        <f>D402*(1-D400)/D396/((1+G396)^K398)</f>
        <v>1.1690699999999996</v>
      </c>
      <c r="L402" s="33">
        <f>D402*(1-D400)/D396/((1+G396)^L398)</f>
        <v>1.1690699999999996</v>
      </c>
      <c r="M402" s="33">
        <f>D402*(1-D400)/D396/((1+G396)^M398)</f>
        <v>1.1690699999999996</v>
      </c>
      <c r="N402" s="33">
        <f>D402*(1-D400)/D396/((1+G396)^N398)</f>
        <v>1.1690699999999996</v>
      </c>
      <c r="O402" s="33">
        <f>D402*(1-D400)/D396/((1+G396)^O398)</f>
        <v>1.1690699999999996</v>
      </c>
      <c r="P402" s="33">
        <f>D402*(1-D400)/D396/((1+G396)^P398)</f>
        <v>1.1690699999999996</v>
      </c>
      <c r="Q402" s="33">
        <f>D402*(1-D400)/D396/((1+G396)^Q398)</f>
        <v>1.1690699999999996</v>
      </c>
      <c r="R402" s="33">
        <f>D402*(1-D400)/D396/((1+G396)^R398)</f>
        <v>1.1690699999999996</v>
      </c>
      <c r="S402" s="33">
        <f>D402*(1-D400)/D396/((1+G396)^S398)</f>
        <v>1.1690699999999996</v>
      </c>
      <c r="T402" s="33">
        <f>D402*(1-D400)/D396/((1+G396)^T398)</f>
        <v>1.1690699999999996</v>
      </c>
      <c r="U402" s="33">
        <f>D402*(1-D400)/D396/((1+G396)^U398)</f>
        <v>1.1690699999999996</v>
      </c>
      <c r="V402" s="33">
        <f>D402*(1-D400)/D396/((1+G396)^V398)</f>
        <v>1.1690699999999996</v>
      </c>
      <c r="W402" s="33">
        <f>D402*(1-D400)/D396/((1+G396)^W398)</f>
        <v>1.1690699999999996</v>
      </c>
      <c r="X402" s="33">
        <f>D402*(1-D400)/D396/((1+G396)^X398)</f>
        <v>1.1690699999999996</v>
      </c>
      <c r="Y402" s="33">
        <f>D402*(1-D400)/D396/((1+G396)^Y398)</f>
        <v>1.1690699999999996</v>
      </c>
      <c r="Z402" s="33">
        <f>D402*(1-D400)/D396/((1+G396)^Z398)</f>
        <v>1.1690699999999996</v>
      </c>
      <c r="AA402" s="33">
        <f>D402*(1-D400)/D396/((1+G396)^AA398)</f>
        <v>1.1690699999999996</v>
      </c>
    </row>
    <row r="403" spans="2:27" hidden="1" outlineLevel="1" x14ac:dyDescent="0.3">
      <c r="C403" s="18" t="s">
        <v>29</v>
      </c>
      <c r="D403" s="29">
        <v>0.35980000000000001</v>
      </c>
      <c r="F403" s="6" t="s">
        <v>17</v>
      </c>
      <c r="G403" s="33">
        <f>SUM(H404:AA404)</f>
        <v>4.8000000000000025</v>
      </c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spans="2:27" hidden="1" outlineLevel="1" x14ac:dyDescent="0.3">
      <c r="C404" s="18" t="s">
        <v>30</v>
      </c>
      <c r="D404" s="31">
        <f>Backup分地区光伏小时数及电价!I9</f>
        <v>0.67807166666666674</v>
      </c>
      <c r="F404" s="7" t="s">
        <v>18</v>
      </c>
      <c r="G404" s="33"/>
      <c r="H404" s="33">
        <f>D399*D378/((1+G396)^H398)</f>
        <v>0.24</v>
      </c>
      <c r="I404" s="33">
        <f>D399*D378/((1+G396)^I398)</f>
        <v>0.24</v>
      </c>
      <c r="J404" s="33">
        <f>D399*D378/((1+G396)^J398)</f>
        <v>0.24</v>
      </c>
      <c r="K404" s="33">
        <f>D399*D378/((1+G396)^K398)</f>
        <v>0.24</v>
      </c>
      <c r="L404" s="33">
        <f>D399*D378/((1+G396)^L398)</f>
        <v>0.24</v>
      </c>
      <c r="M404" s="33">
        <f>D399*D378/((1+G396)^M398)</f>
        <v>0.24</v>
      </c>
      <c r="N404" s="33">
        <f>D399*D378/((1+G396)^N398)</f>
        <v>0.24</v>
      </c>
      <c r="O404" s="33">
        <f>D399*D378/((1+G396)^O398)</f>
        <v>0.24</v>
      </c>
      <c r="P404" s="33">
        <f>D399*D378/((1+G396)^P398)</f>
        <v>0.24</v>
      </c>
      <c r="Q404" s="33">
        <f>D399*D378/((1+G396)^Q398)</f>
        <v>0.24</v>
      </c>
      <c r="R404" s="33">
        <f>D399*D378/((1+G396)^R398)</f>
        <v>0.24</v>
      </c>
      <c r="S404" s="33">
        <f>D399*D378/((1+G396)^S398)</f>
        <v>0.24</v>
      </c>
      <c r="T404" s="33">
        <f>D399*D378/((1+G396)^T398)</f>
        <v>0.24</v>
      </c>
      <c r="U404" s="33">
        <f>D399*D378/((1+G396)^U398)</f>
        <v>0.24</v>
      </c>
      <c r="V404" s="33">
        <f>D399*D378/((1+G396)^V398)</f>
        <v>0.24</v>
      </c>
      <c r="W404" s="33">
        <f>D399*D378/((1+G396)^W398)</f>
        <v>0.24</v>
      </c>
      <c r="X404" s="33">
        <f>D399*D378/((1+G396)^X398)</f>
        <v>0.24</v>
      </c>
      <c r="Y404" s="33">
        <f>D399*D378/((1+G396)^Y398)</f>
        <v>0.24</v>
      </c>
      <c r="Z404" s="33">
        <f>D399*D378/((1+G396)^Z398)</f>
        <v>0.24</v>
      </c>
      <c r="AA404" s="33">
        <f>D399*D378/((1+G396)^AA398)</f>
        <v>0.24</v>
      </c>
    </row>
    <row r="405" spans="2:27" hidden="1" outlineLevel="1" x14ac:dyDescent="0.3">
      <c r="C405" s="18" t="s">
        <v>70</v>
      </c>
      <c r="D405" s="32">
        <f>分布式光伏电站IRR汇总!$B$27</f>
        <v>1</v>
      </c>
      <c r="F405" s="6" t="s">
        <v>19</v>
      </c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f>D399*D402/((1+G396)^AA398)</f>
        <v>0.9844799999999998</v>
      </c>
    </row>
    <row r="406" spans="2:27" hidden="1" outlineLevel="1" x14ac:dyDescent="0.3">
      <c r="C406" s="18" t="s">
        <v>69</v>
      </c>
      <c r="D406" s="31">
        <f>D405*D404</f>
        <v>0.67807166666666674</v>
      </c>
      <c r="F406" s="8" t="s">
        <v>64</v>
      </c>
      <c r="G406" s="33">
        <f>SUM(H407:AA407)</f>
        <v>149820.92139850379</v>
      </c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spans="2:27" hidden="1" outlineLevel="1" x14ac:dyDescent="0.3">
      <c r="C407" s="18" t="s">
        <v>31</v>
      </c>
      <c r="D407" s="27">
        <v>0</v>
      </c>
      <c r="F407" s="9" t="s">
        <v>65</v>
      </c>
      <c r="G407" s="33"/>
      <c r="H407" s="33">
        <f>D378*D395*(1-D397)*D401/((1+G396)^H398)</f>
        <v>7816.3427999999985</v>
      </c>
      <c r="I407" s="33">
        <f>D378*D395*(1-D397)*(1-D398)^(I398-1)*D401/((1+G396)^I398)</f>
        <v>7781.169257399999</v>
      </c>
      <c r="J407" s="33">
        <f>D378*D395*(1-D397)*(1-D398)^(J398-1)*D401/((1+G396)^J398)</f>
        <v>7746.1539957416999</v>
      </c>
      <c r="K407" s="33">
        <f>D378*D395*(1-D397)*(1-D398)^(K398-1)*D401/((1+G396)^K398)</f>
        <v>7711.296302760863</v>
      </c>
      <c r="L407" s="33">
        <f>D378*D395*(1-D397)*(1-D398)^(L398-1)*D401/((1+G396)^L398)</f>
        <v>7676.5954693984395</v>
      </c>
      <c r="M407" s="33">
        <f>D378*D395*(1-D397)*(1-D398)^(M398-1)*D401/((1+G396)^M398)</f>
        <v>7642.0507897861471</v>
      </c>
      <c r="N407" s="33">
        <f>D378*D395*(1-D397)*(1-D398)^(N398-1)*D401/((1+G396)^N398)</f>
        <v>7607.6615612321102</v>
      </c>
      <c r="O407" s="33">
        <f>D378*D395*(1-D397)*(1-D398)^(O398-1)*D401/((1+G396)^O398)</f>
        <v>7573.4270842065653</v>
      </c>
      <c r="P407" s="33">
        <f>D378*D395*(1-D397)*(1-D398)^(P398-1)*D401/((1+G396)^P398)</f>
        <v>7539.3466623276363</v>
      </c>
      <c r="Q407" s="33">
        <f>D378*D395*(1-D397)*(1-D398)^(Q398-1)*D401/((1+G396)^Q398)</f>
        <v>7505.4196023471632</v>
      </c>
      <c r="R407" s="33">
        <f>D378*D395*(1-D397)*(1-D398)^(R398-1)*D401/((1+G396)^R398)</f>
        <v>7471.6452141366017</v>
      </c>
      <c r="S407" s="33">
        <f>D378*D395*(1-D397)*(1-D398)^(S398-1)*D401/((1+G396)^S398)</f>
        <v>7438.0228106729865</v>
      </c>
      <c r="T407" s="33">
        <f>D378*D395*(1-D397)*(1-D398)^(T398-1)*D401/((1+G396)^T398)</f>
        <v>7404.5517080249592</v>
      </c>
      <c r="U407" s="33">
        <f>D378*D395*(1-D397)*(1-D398)^(U398-1)*D401/((1+G396)^U398)</f>
        <v>7371.2312253388463</v>
      </c>
      <c r="V407" s="33">
        <f>D378*D395*(1-D397)*(1-D398)^(V398-1)*D401/((1+G396)^V398)</f>
        <v>7338.0606848248217</v>
      </c>
      <c r="W407" s="33">
        <f>D378*D395*(1-D397)*(1-D398)^(W398-1)*D401/((1+G396)^W398)</f>
        <v>7305.0394117431115</v>
      </c>
      <c r="X407" s="33">
        <f>D378*D395*(1-D397)*(1-D398)^(X398-1)*D401/((1+G396)^X398)</f>
        <v>7272.1667343902673</v>
      </c>
      <c r="Y407" s="33">
        <f>D378*D395*(1-D397)*(1-D398)^(Y398-1)*D401/((1+G396)^Y398)</f>
        <v>7239.4419840855116</v>
      </c>
      <c r="Z407" s="33">
        <f>D378*D395*(1-D397)*(1-D398)^(Z398-1)*D401/((1+G396)^Z398)</f>
        <v>7206.8644951571277</v>
      </c>
      <c r="AA407" s="33">
        <f>D378*D395*(1-D397)*(1-D398)^(AA398-1)*D401/((1+G396)^AA398)</f>
        <v>7174.4336049289213</v>
      </c>
    </row>
    <row r="408" spans="2:27" hidden="1" outlineLevel="1" x14ac:dyDescent="0.3">
      <c r="F408" s="4" t="s">
        <v>66</v>
      </c>
      <c r="G408" s="33">
        <f>SUM(H409:AA409)</f>
        <v>101.58932187421914</v>
      </c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spans="2:27" hidden="1" outlineLevel="1" x14ac:dyDescent="0.3">
      <c r="F409" s="7" t="s">
        <v>67</v>
      </c>
      <c r="G409" s="33"/>
      <c r="H409" s="33">
        <f>H407*D406/1000</f>
        <v>5.3000405896339995</v>
      </c>
      <c r="I409" s="33">
        <f>I407*D406/1000</f>
        <v>5.2761904069806471</v>
      </c>
      <c r="J409" s="33">
        <f>J407*D406/1000</f>
        <v>5.2524475501492347</v>
      </c>
      <c r="K409" s="33">
        <f>K407*D406/1000</f>
        <v>5.2288115361735636</v>
      </c>
      <c r="L409" s="33">
        <f>L407*D406/1000</f>
        <v>5.2052818842607831</v>
      </c>
      <c r="M409" s="33">
        <f>M407*D406/1000</f>
        <v>5.1818581157816102</v>
      </c>
      <c r="N409" s="33">
        <f>N407*D406/1000</f>
        <v>5.1585397542605937</v>
      </c>
      <c r="O409" s="33">
        <f>O407*D406/1000</f>
        <v>5.1353263253664201</v>
      </c>
      <c r="P409" s="33">
        <f>P407*D406/1000</f>
        <v>5.1122173569022715</v>
      </c>
      <c r="Q409" s="33">
        <f>Q407*D406/1000</f>
        <v>5.089212378796212</v>
      </c>
      <c r="R409" s="33">
        <f>R407*D406/1000</f>
        <v>5.0663109230916294</v>
      </c>
      <c r="S409" s="33">
        <f>S407*D406/1000</f>
        <v>5.043512523937717</v>
      </c>
      <c r="T409" s="33">
        <f>T407*D406/1000</f>
        <v>5.020816717579998</v>
      </c>
      <c r="U409" s="33">
        <f>U407*D406/1000</f>
        <v>4.9982230423508875</v>
      </c>
      <c r="V409" s="33">
        <f>V407*D406/1000</f>
        <v>4.9757310386603084</v>
      </c>
      <c r="W409" s="33">
        <f>W407*D406/1000</f>
        <v>4.9533402489863381</v>
      </c>
      <c r="X409" s="33">
        <f>X407*D406/1000</f>
        <v>4.9310502178658995</v>
      </c>
      <c r="Y409" s="33">
        <f>Y407*D406/1000</f>
        <v>4.9088604918855037</v>
      </c>
      <c r="Z409" s="33">
        <f>Z407*D406/1000</f>
        <v>4.8867706196720189</v>
      </c>
      <c r="AA409" s="33">
        <f>AA407*D406/1000</f>
        <v>4.8647801518834957</v>
      </c>
    </row>
    <row r="410" spans="2:27" hidden="1" outlineLevel="1" x14ac:dyDescent="0.3">
      <c r="F410" s="4" t="s">
        <v>20</v>
      </c>
      <c r="G410" s="33">
        <f>SUM(H411:AA411)</f>
        <v>18.351980468554782</v>
      </c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spans="2:27" hidden="1" outlineLevel="1" x14ac:dyDescent="0.3">
      <c r="F411" s="7" t="s">
        <v>21</v>
      </c>
      <c r="G411" s="33"/>
      <c r="H411" s="33">
        <f>(H409-H402-H404)*G397</f>
        <v>0.97274264740849992</v>
      </c>
      <c r="I411" s="33">
        <f>(I409-I402-I404)*G397</f>
        <v>0.96678010174516182</v>
      </c>
      <c r="J411" s="33">
        <f>(J409-J402-J404)*G397</f>
        <v>0.96084438753730872</v>
      </c>
      <c r="K411" s="33">
        <f>(K409-K402-K404)*G397</f>
        <v>0.95493538404339096</v>
      </c>
      <c r="L411" s="33">
        <f>(L409-L402-L404)*G397</f>
        <v>0.94905297106519582</v>
      </c>
      <c r="M411" s="33">
        <f>(M409-M402-M404)*G397</f>
        <v>0.94319702894540258</v>
      </c>
      <c r="N411" s="33">
        <f>(N409-N402-N404)*G397</f>
        <v>0.93736743856514848</v>
      </c>
      <c r="O411" s="33">
        <f>(O409-O402-O404)*G397</f>
        <v>0.93156408134160507</v>
      </c>
      <c r="P411" s="33">
        <f>(P409-P402-P404)*G397</f>
        <v>0.92578683922556793</v>
      </c>
      <c r="Q411" s="33">
        <f>(Q409-Q402-Q404)*G397</f>
        <v>0.92003559469905305</v>
      </c>
      <c r="R411" s="33">
        <f>(R409-R402-R404)*G397</f>
        <v>0.91431023077290741</v>
      </c>
      <c r="S411" s="33">
        <f>(S409-S402-S404)*G397</f>
        <v>0.90861063098442929</v>
      </c>
      <c r="T411" s="33">
        <f>(T409-T402-T404)*G397</f>
        <v>0.90293667939499955</v>
      </c>
      <c r="U411" s="33">
        <f>(U409-U402-U404)*G397</f>
        <v>0.89728826058772193</v>
      </c>
      <c r="V411" s="33">
        <f>(V409-V402-V404)*G397</f>
        <v>0.89166525966507715</v>
      </c>
      <c r="W411" s="33">
        <f>(W409-W402-W404)*G397</f>
        <v>0.88606756224658456</v>
      </c>
      <c r="X411" s="33">
        <f>(X409-X402-X404)*G397</f>
        <v>0.88049505446647491</v>
      </c>
      <c r="Y411" s="33">
        <f>(Y409-Y402-Y404)*G397</f>
        <v>0.87494762297137596</v>
      </c>
      <c r="Z411" s="33">
        <f>(Z409-Z402-Z404)*G397</f>
        <v>0.86942515491800476</v>
      </c>
      <c r="AA411" s="33">
        <f>(AA409-AA402-AA404)*G397</f>
        <v>0.86392753797087396</v>
      </c>
    </row>
    <row r="412" spans="2:27" hidden="1" outlineLevel="1" x14ac:dyDescent="0.3">
      <c r="F412" s="10" t="s">
        <v>22</v>
      </c>
      <c r="G412" s="33">
        <f>-G400</f>
        <v>-24.611999999999995</v>
      </c>
      <c r="H412" s="33">
        <f>H409-H411-H404</f>
        <v>4.0872979422254989</v>
      </c>
      <c r="I412" s="33">
        <f t="shared" ref="I412" si="71">I409-I411-I404</f>
        <v>4.0694103052354853</v>
      </c>
      <c r="J412" s="33">
        <f t="shared" ref="J412" si="72">J409-J411-J404</f>
        <v>4.0516031626119258</v>
      </c>
      <c r="K412" s="33">
        <f t="shared" ref="K412" si="73">K409-K411-K404</f>
        <v>4.0338761521301727</v>
      </c>
      <c r="L412" s="33">
        <f t="shared" ref="L412" si="74">L409-L411-L404</f>
        <v>4.0162289131955866</v>
      </c>
      <c r="M412" s="33">
        <f t="shared" ref="M412" si="75">M409-M411-M404</f>
        <v>3.9986610868362078</v>
      </c>
      <c r="N412" s="33">
        <f t="shared" ref="N412" si="76">N409-N411-N404</f>
        <v>3.9811723156954448</v>
      </c>
      <c r="O412" s="33">
        <f t="shared" ref="O412" si="77">O409-O411-O404</f>
        <v>3.9637622440248146</v>
      </c>
      <c r="P412" s="33">
        <f t="shared" ref="P412" si="78">P409-P411-P404</f>
        <v>3.9464305176767036</v>
      </c>
      <c r="Q412" s="33">
        <f t="shared" ref="Q412" si="79">Q409-Q411-Q404</f>
        <v>3.9291767840971588</v>
      </c>
      <c r="R412" s="33">
        <f t="shared" ref="R412" si="80">R409-R411-R404</f>
        <v>3.9120006923187223</v>
      </c>
      <c r="S412" s="33">
        <f t="shared" ref="S412" si="81">S409-S411-S404</f>
        <v>3.8949018929532873</v>
      </c>
      <c r="T412" s="33">
        <f t="shared" ref="T412" si="82">T409-T411-T404</f>
        <v>3.8778800381849985</v>
      </c>
      <c r="U412" s="33">
        <f t="shared" ref="U412" si="83">U409-U411-U404</f>
        <v>3.8609347817631656</v>
      </c>
      <c r="V412" s="33">
        <f t="shared" ref="V412" si="84">V409-V411-V404</f>
        <v>3.8440657789952315</v>
      </c>
      <c r="W412" s="33">
        <f t="shared" ref="W412" si="85">W409-W411-W404</f>
        <v>3.8272726867397537</v>
      </c>
      <c r="X412" s="33">
        <f t="shared" ref="X412" si="86">X409-X411-X404</f>
        <v>3.8105551633994246</v>
      </c>
      <c r="Y412" s="33">
        <f t="shared" ref="Y412" si="87">Y409-Y411-Y404</f>
        <v>3.793912868914127</v>
      </c>
      <c r="Z412" s="33">
        <f t="shared" ref="Z412" si="88">Z409-Z411-Z404</f>
        <v>3.7773454647540134</v>
      </c>
      <c r="AA412" s="33">
        <f t="shared" ref="AA412" si="89">AA409-AA411-AA404</f>
        <v>3.7608526139126219</v>
      </c>
    </row>
    <row r="413" spans="2:27" ht="13.5" hidden="1" outlineLevel="1" thickBot="1" x14ac:dyDescent="0.35">
      <c r="F413" s="3" t="s">
        <v>68</v>
      </c>
      <c r="G413" s="40">
        <f>IRR(G412:AA412)</f>
        <v>0.15284888939603913</v>
      </c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2:27" ht="13.5" collapsed="1" thickTop="1" x14ac:dyDescent="0.3"/>
    <row r="415" spans="2:27" x14ac:dyDescent="0.3">
      <c r="B415" s="11" t="s">
        <v>144</v>
      </c>
      <c r="C415" s="11" t="s">
        <v>52</v>
      </c>
    </row>
    <row r="416" spans="2:27" x14ac:dyDescent="0.3">
      <c r="C416" s="11" t="s">
        <v>141</v>
      </c>
      <c r="D416" s="54">
        <f>D447</f>
        <v>1263</v>
      </c>
    </row>
    <row r="417" spans="3:27" x14ac:dyDescent="0.3">
      <c r="C417" s="16" t="s">
        <v>78</v>
      </c>
      <c r="D417" s="37">
        <f>(G446+G449+G456)/G452*1000</f>
        <v>0.35095811311707942</v>
      </c>
    </row>
    <row r="418" spans="3:27" x14ac:dyDescent="0.3">
      <c r="C418" s="13" t="s">
        <v>77</v>
      </c>
      <c r="D418" s="39">
        <f>(G427+G430+G437)/G433*1000</f>
        <v>0.50988667540906729</v>
      </c>
    </row>
    <row r="419" spans="3:27" x14ac:dyDescent="0.3">
      <c r="C419" s="13" t="s">
        <v>61</v>
      </c>
      <c r="D419" s="36">
        <f>G440</f>
        <v>0.41087359428069942</v>
      </c>
    </row>
    <row r="420" spans="3:27" x14ac:dyDescent="0.3">
      <c r="C420" s="13" t="s">
        <v>73</v>
      </c>
      <c r="D420" s="25">
        <f>SUM(G439:AA439)</f>
        <v>10.112420902436572</v>
      </c>
    </row>
    <row r="421" spans="3:27" ht="13.5" thickBot="1" x14ac:dyDescent="0.35">
      <c r="C421" s="23" t="s">
        <v>68</v>
      </c>
      <c r="D421" s="26">
        <f>G459</f>
        <v>0.12005584919250345</v>
      </c>
    </row>
    <row r="422" spans="3:27" ht="13.5" hidden="1" outlineLevel="1" thickTop="1" x14ac:dyDescent="0.3">
      <c r="E422" s="20"/>
      <c r="F422" s="38" t="s">
        <v>75</v>
      </c>
    </row>
    <row r="423" spans="3:27" hidden="1" outlineLevel="1" x14ac:dyDescent="0.3">
      <c r="C423" s="11" t="s">
        <v>71</v>
      </c>
      <c r="F423" s="13" t="s">
        <v>25</v>
      </c>
      <c r="G423" s="14">
        <v>7.0000000000000007E-2</v>
      </c>
    </row>
    <row r="424" spans="3:27" hidden="1" outlineLevel="1" x14ac:dyDescent="0.3">
      <c r="C424" s="18" t="s">
        <v>53</v>
      </c>
      <c r="D424" s="19">
        <f>分布式光伏电站IRR汇总!$B$2</f>
        <v>6</v>
      </c>
      <c r="F424" s="13" t="s">
        <v>26</v>
      </c>
      <c r="G424" s="14">
        <v>0.25</v>
      </c>
    </row>
    <row r="425" spans="3:27" hidden="1" outlineLevel="1" x14ac:dyDescent="0.3">
      <c r="C425" s="18" t="s">
        <v>56</v>
      </c>
      <c r="D425" s="19">
        <f>分布式光伏电站IRR汇总!$B$3</f>
        <v>120</v>
      </c>
      <c r="F425" s="1" t="s">
        <v>44</v>
      </c>
      <c r="G425" s="4"/>
      <c r="H425" s="5">
        <v>1</v>
      </c>
      <c r="I425" s="5">
        <v>2</v>
      </c>
      <c r="J425" s="5">
        <v>3</v>
      </c>
      <c r="K425" s="5">
        <v>4</v>
      </c>
      <c r="L425" s="5">
        <v>5</v>
      </c>
      <c r="M425" s="5">
        <v>6</v>
      </c>
      <c r="N425" s="5">
        <v>7</v>
      </c>
      <c r="O425" s="5">
        <v>8</v>
      </c>
      <c r="P425" s="5">
        <v>9</v>
      </c>
      <c r="Q425" s="5">
        <v>10</v>
      </c>
      <c r="R425" s="5">
        <v>11</v>
      </c>
      <c r="S425" s="5">
        <v>12</v>
      </c>
      <c r="T425" s="5">
        <v>13</v>
      </c>
      <c r="U425" s="5">
        <v>14</v>
      </c>
      <c r="V425" s="5">
        <v>15</v>
      </c>
      <c r="W425" s="5">
        <v>16</v>
      </c>
      <c r="X425" s="5">
        <v>17</v>
      </c>
      <c r="Y425" s="5">
        <v>18</v>
      </c>
      <c r="Z425" s="5">
        <v>19</v>
      </c>
      <c r="AA425" s="5">
        <v>20</v>
      </c>
    </row>
    <row r="426" spans="3:27" hidden="1" outlineLevel="1" x14ac:dyDescent="0.3">
      <c r="C426" s="18" t="s">
        <v>57</v>
      </c>
      <c r="D426" s="19">
        <f>分布式光伏电站IRR汇总!$B$4</f>
        <v>3</v>
      </c>
      <c r="F426" s="16"/>
      <c r="G426" s="2" t="s">
        <v>0</v>
      </c>
      <c r="H426" s="2" t="s">
        <v>1</v>
      </c>
      <c r="I426" s="2" t="s">
        <v>2</v>
      </c>
      <c r="J426" s="2" t="s">
        <v>3</v>
      </c>
      <c r="K426" s="2" t="s">
        <v>4</v>
      </c>
      <c r="L426" s="2" t="s">
        <v>5</v>
      </c>
      <c r="M426" s="2" t="s">
        <v>6</v>
      </c>
      <c r="N426" s="2" t="s">
        <v>7</v>
      </c>
      <c r="O426" s="2" t="s">
        <v>8</v>
      </c>
      <c r="P426" s="2" t="s">
        <v>9</v>
      </c>
      <c r="Q426" s="2" t="s">
        <v>10</v>
      </c>
      <c r="R426" s="2" t="s">
        <v>11</v>
      </c>
      <c r="S426" s="2" t="s">
        <v>12</v>
      </c>
      <c r="T426" s="2" t="s">
        <v>13</v>
      </c>
      <c r="U426" s="2" t="s">
        <v>45</v>
      </c>
      <c r="V426" s="2" t="s">
        <v>46</v>
      </c>
      <c r="W426" s="2" t="s">
        <v>47</v>
      </c>
      <c r="X426" s="2" t="s">
        <v>48</v>
      </c>
      <c r="Y426" s="2" t="s">
        <v>49</v>
      </c>
      <c r="Z426" s="2" t="s">
        <v>50</v>
      </c>
      <c r="AA426" s="2" t="s">
        <v>127</v>
      </c>
    </row>
    <row r="427" spans="3:27" hidden="1" outlineLevel="1" x14ac:dyDescent="0.3">
      <c r="C427" s="18" t="s">
        <v>54</v>
      </c>
      <c r="D427" s="19">
        <f>分布式光伏电站IRR汇总!$B$5</f>
        <v>5</v>
      </c>
      <c r="F427" s="6" t="s">
        <v>14</v>
      </c>
      <c r="G427" s="33">
        <f>D448</f>
        <v>24.611999999999995</v>
      </c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spans="3:27" hidden="1" outlineLevel="1" x14ac:dyDescent="0.3">
      <c r="C428" s="18" t="s">
        <v>55</v>
      </c>
      <c r="D428" s="19">
        <f>分布式光伏电站IRR汇总!$B$6</f>
        <v>15</v>
      </c>
      <c r="F428" s="6" t="s">
        <v>15</v>
      </c>
      <c r="G428" s="33">
        <f>SUM(H429:AA429)</f>
        <v>12.385144234005573</v>
      </c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 spans="3:27" hidden="1" outlineLevel="1" x14ac:dyDescent="0.3">
      <c r="C429" s="18" t="s">
        <v>42</v>
      </c>
      <c r="D429" s="19">
        <f>分布式光伏电站IRR汇总!$B$7</f>
        <v>4.1019999999999994</v>
      </c>
      <c r="F429" s="7" t="s">
        <v>16</v>
      </c>
      <c r="G429" s="33"/>
      <c r="H429" s="33">
        <f>D448*(1-D446)/D442/((1+G423)^H425)</f>
        <v>1.0925887850467286</v>
      </c>
      <c r="I429" s="33">
        <f>D448*(1-D446)/D442/((1+G423)^I425)</f>
        <v>1.0211110140623632</v>
      </c>
      <c r="J429" s="33">
        <f>D448*(1-D446)/D442/((1+G423)^J425)</f>
        <v>0.95430935893678792</v>
      </c>
      <c r="K429" s="33">
        <f>D448*(1-D446)/D442/((1+G423)^K425)</f>
        <v>0.89187790554839996</v>
      </c>
      <c r="L429" s="33">
        <f>D448*(1-D446)/D442/((1+G423)^L425)</f>
        <v>0.83353075284897193</v>
      </c>
      <c r="M429" s="33">
        <f>D448*(1-D446)/D442/((1+G423)^M425)</f>
        <v>0.77900070359717</v>
      </c>
      <c r="N429" s="33">
        <f>D448*(1-D446)/D442/((1+G423)^N425)</f>
        <v>0.72803804074501866</v>
      </c>
      <c r="O429" s="33">
        <f>D448*(1-D446)/D442/((1+G423)^O425)</f>
        <v>0.6804093838738493</v>
      </c>
      <c r="P429" s="33">
        <f>D448*(1-D446)/D442/((1+G423)^P425)</f>
        <v>0.63589662044284967</v>
      </c>
      <c r="Q429" s="33">
        <f>D448*(1-D446)/D442/((1+G423)^Q425)</f>
        <v>0.59429590695593437</v>
      </c>
      <c r="R429" s="33">
        <f>D448*(1-D446)/D442/((1+G423)^R425)</f>
        <v>0.55541673547283577</v>
      </c>
      <c r="S429" s="33">
        <f>D448*(1-D446)/D442/((1+G423)^S425)</f>
        <v>0.51908106118956621</v>
      </c>
      <c r="T429" s="33">
        <f>D448*(1-D446)/D442/((1+G423)^T425)</f>
        <v>0.4851224870930525</v>
      </c>
      <c r="U429" s="33">
        <f>D448*(1-D446)/D442/((1+G423)^U425)</f>
        <v>0.45338550195612387</v>
      </c>
      <c r="V429" s="33">
        <f>D448*(1-D446)/D442/((1+G423)^V425)</f>
        <v>0.4237247681832933</v>
      </c>
      <c r="W429" s="33">
        <f>D448*(1-D446)/D442/((1+G423)^W425)</f>
        <v>0.39600445624606856</v>
      </c>
      <c r="X429" s="33">
        <f>D448*(1-D446)/D442/((1+G423)^X425)</f>
        <v>0.37009762265987711</v>
      </c>
      <c r="Y429" s="33">
        <f>D448*(1-D446)/D442/((1+G423)^Y425)</f>
        <v>0.34588562865409078</v>
      </c>
      <c r="Z429" s="33">
        <f>D448*(1-D446)/D442/((1+G423)^Z425)</f>
        <v>0.323257596872982</v>
      </c>
      <c r="AA429" s="33">
        <f>D448*(1-D446)/D442/((1+G423)^AA425)</f>
        <v>0.30210990361960938</v>
      </c>
    </row>
    <row r="430" spans="3:27" hidden="1" outlineLevel="1" x14ac:dyDescent="0.3">
      <c r="C430" s="21" t="s">
        <v>32</v>
      </c>
      <c r="D430" s="19">
        <f>分布式光伏电站IRR汇总!$B$8</f>
        <v>1.8870000000000002</v>
      </c>
      <c r="F430" s="6" t="s">
        <v>17</v>
      </c>
      <c r="G430" s="33">
        <f>SUM(H431:AA431)</f>
        <v>2.5425634189238777</v>
      </c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 spans="3:27" hidden="1" outlineLevel="1" x14ac:dyDescent="0.3">
      <c r="C431" s="21" t="s">
        <v>33</v>
      </c>
      <c r="D431" s="19">
        <f>分布式光伏电站IRR汇总!$B$9</f>
        <v>0.18500000000000003</v>
      </c>
      <c r="F431" s="7" t="s">
        <v>18</v>
      </c>
      <c r="G431" s="33"/>
      <c r="H431" s="33">
        <f>D445*D424/((1+G423)^H425)</f>
        <v>0.22429906542056072</v>
      </c>
      <c r="I431" s="33">
        <f>D445*D424/((1+G423)^I425)</f>
        <v>0.20962529478557079</v>
      </c>
      <c r="J431" s="33">
        <f>D445*D424/((1+G423)^J425)</f>
        <v>0.19591149045380446</v>
      </c>
      <c r="K431" s="33">
        <f>D445*D424/((1+G423)^K425)</f>
        <v>0.18309485089140604</v>
      </c>
      <c r="L431" s="33">
        <f>D445*D424/((1+G423)^L425)</f>
        <v>0.17111668307608041</v>
      </c>
      <c r="M431" s="33">
        <f>D445*D424/((1+G423)^M425)</f>
        <v>0.15992213371596301</v>
      </c>
      <c r="N431" s="33">
        <f>D445*D424/((1+G423)^N425)</f>
        <v>0.14945993805230187</v>
      </c>
      <c r="O431" s="33">
        <f>D445*D424/((1+G423)^O425)</f>
        <v>0.13968218509560923</v>
      </c>
      <c r="P431" s="33">
        <f>D445*D424/((1+G423)^P425)</f>
        <v>0.13054409822019553</v>
      </c>
      <c r="Q431" s="33">
        <f>D445*D424/((1+G423)^Q425)</f>
        <v>0.12200383011233226</v>
      </c>
      <c r="R431" s="33">
        <f>D445*D424/((1+G423)^R425)</f>
        <v>0.1140222711330208</v>
      </c>
      <c r="S431" s="33">
        <f>D445*D424/((1+G423)^S425)</f>
        <v>0.10656287021777647</v>
      </c>
      <c r="T431" s="33">
        <f>D445*D424/((1+G423)^T425)</f>
        <v>9.9591467493249028E-2</v>
      </c>
      <c r="U431" s="33">
        <f>D445*D424/((1+G423)^U425)</f>
        <v>9.3076137844157969E-2</v>
      </c>
      <c r="V431" s="33">
        <f>D445*D424/((1+G423)^V425)</f>
        <v>8.6987044714166323E-2</v>
      </c>
      <c r="W431" s="33">
        <f>D445*D424/((1+G423)^W425)</f>
        <v>8.1296303471183481E-2</v>
      </c>
      <c r="X431" s="33">
        <f>D445*D424/((1+G423)^X425)</f>
        <v>7.5977853711386434E-2</v>
      </c>
      <c r="Y431" s="33">
        <f>D445*D424/((1+G423)^Y425)</f>
        <v>7.1007339917183582E-2</v>
      </c>
      <c r="Z431" s="33">
        <f>D445*D424/((1+G423)^Z425)</f>
        <v>6.6361999922601472E-2</v>
      </c>
      <c r="AA431" s="33">
        <f>D445*D424/((1+G423)^AA425)</f>
        <v>6.2020560675328483E-2</v>
      </c>
    </row>
    <row r="432" spans="3:27" hidden="1" outlineLevel="1" x14ac:dyDescent="0.3">
      <c r="C432" s="21" t="s">
        <v>34</v>
      </c>
      <c r="D432" s="19">
        <f>分布式光伏电站IRR汇总!$B$10</f>
        <v>0.222</v>
      </c>
      <c r="F432" s="6" t="s">
        <v>19</v>
      </c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>
        <f>D445*D448/((1+G423)^AA425)</f>
        <v>0.2544083398901974</v>
      </c>
    </row>
    <row r="433" spans="3:27" hidden="1" outlineLevel="1" x14ac:dyDescent="0.3">
      <c r="C433" s="21" t="s">
        <v>35</v>
      </c>
      <c r="D433" s="19">
        <f>分布式光伏电站IRR汇总!$B$11</f>
        <v>0.44400000000000001</v>
      </c>
      <c r="F433" s="8" t="s">
        <v>64</v>
      </c>
      <c r="G433" s="33">
        <f>SUM(H434:AA434)</f>
        <v>65942.011848556984</v>
      </c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 spans="3:27" hidden="1" outlineLevel="1" x14ac:dyDescent="0.3">
      <c r="C434" s="21" t="s">
        <v>36</v>
      </c>
      <c r="D434" s="19">
        <f>分布式光伏电站IRR汇总!$B$12</f>
        <v>0.222</v>
      </c>
      <c r="F434" s="9" t="s">
        <v>65</v>
      </c>
      <c r="G434" s="33"/>
      <c r="H434" s="33">
        <f>D424*D441*(1-D443)*D447/((1+G423)^H425)</f>
        <v>6010.5579813084105</v>
      </c>
      <c r="I434" s="33">
        <f>D424*D441*(1-D443)*(1-D444)^(I425-1)*D447/((1+G423)^I425)</f>
        <v>5592.0658601799278</v>
      </c>
      <c r="J434" s="33">
        <f>D424*D441*(1-D443)*(1-D444)^(J425-1)*D447/((1+G423)^J425)</f>
        <v>5202.7117418776797</v>
      </c>
      <c r="K434" s="33">
        <f>D424*D441*(1-D443)*(1-D444)^(K425-1)*D447/((1+G423)^K425)</f>
        <v>4840.4668589151706</v>
      </c>
      <c r="L434" s="33">
        <f>D424*D441*(1-D443)*(1-D444)^(L425-1)*D447/((1+G423)^L425)</f>
        <v>4503.4436991121975</v>
      </c>
      <c r="M434" s="33">
        <f>D424*D441*(1-D443)*(1-D444)^(M425-1)*D447/((1+G423)^M425)</f>
        <v>4189.8861705291529</v>
      </c>
      <c r="N434" s="33">
        <f>D424*D441*(1-D443)*(1-D444)^(N425-1)*D447/((1+G423)^N425)</f>
        <v>3898.1604511792257</v>
      </c>
      <c r="O434" s="33">
        <f>D424*D441*(1-D443)*(1-D444)^(O425-1)*D447/((1+G423)^O425)</f>
        <v>3626.7464758401111</v>
      </c>
      <c r="P434" s="33">
        <f>D424*D441*(1-D443)*(1-D444)^(P425-1)*D447/((1+G423)^P425)</f>
        <v>3374.2300156063839</v>
      </c>
      <c r="Q434" s="33">
        <f>D424*D441*(1-D443)*(1-D444)^(Q425-1)*D447/((1+G423)^Q425)</f>
        <v>3139.2953089122948</v>
      </c>
      <c r="R434" s="33">
        <f>D424*D441*(1-D443)*(1-D444)^(R425-1)*D447/((1+G423)^R425)</f>
        <v>2920.7182056282145</v>
      </c>
      <c r="S434" s="33">
        <f>D424*D441*(1-D443)*(1-D444)^(S425-1)*D447/((1+G423)^S425)</f>
        <v>2717.3597885073723</v>
      </c>
      <c r="T434" s="33">
        <f>D424*D441*(1-D443)*(1-D444)^(T425-1)*D447/((1+G423)^T425)</f>
        <v>2528.1604387468124</v>
      </c>
      <c r="U434" s="33">
        <f>D424*D441*(1-D443)*(1-D444)^(U425-1)*D447/((1+G423)^U425)</f>
        <v>2352.1343147406092</v>
      </c>
      <c r="V434" s="33">
        <f>D424*D441*(1-D443)*(1-D444)^(V425-1)*D447/((1+G423)^V425)</f>
        <v>2188.3642152563325</v>
      </c>
      <c r="W434" s="33">
        <f>D424*D441*(1-D443)*(1-D444)^(W425-1)*D447/((1+G423)^W425)</f>
        <v>2035.9968002688597</v>
      </c>
      <c r="X434" s="33">
        <f>D424*D441*(1-D443)*(1-D444)^(X425-1)*D447/((1+G423)^X425)</f>
        <v>1894.2381445492056</v>
      </c>
      <c r="Y434" s="33">
        <f>D424*D441*(1-D443)*(1-D444)^(Y425-1)*D447/((1+G423)^Y425)</f>
        <v>1762.3496008399384</v>
      </c>
      <c r="Z434" s="33">
        <f>D424*D441*(1-D443)*(1-D444)^(Z425-1)*D447/((1+G423)^Z425)</f>
        <v>1639.6439510618309</v>
      </c>
      <c r="AA434" s="33">
        <f>D424*D441*(1-D443)*(1-D444)^(AA425-1)*D447/((1+G423)^AA425)</f>
        <v>1525.4818254972456</v>
      </c>
    </row>
    <row r="435" spans="3:27" hidden="1" outlineLevel="1" x14ac:dyDescent="0.3">
      <c r="C435" s="21" t="s">
        <v>37</v>
      </c>
      <c r="D435" s="19">
        <f>分布式光伏电站IRR汇总!$B$13</f>
        <v>0.15</v>
      </c>
      <c r="F435" s="4" t="s">
        <v>66</v>
      </c>
      <c r="G435" s="33">
        <f>SUM(H436:AA436)</f>
        <v>44.713409877504105</v>
      </c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 spans="3:27" hidden="1" outlineLevel="1" x14ac:dyDescent="0.3">
      <c r="C436" s="21" t="s">
        <v>38</v>
      </c>
      <c r="D436" s="19">
        <f>分布式光伏电站IRR汇总!$B$14</f>
        <v>3.7000000000000005E-2</v>
      </c>
      <c r="F436" s="7" t="s">
        <v>67</v>
      </c>
      <c r="G436" s="33"/>
      <c r="H436" s="33">
        <f>H434*D452/1000</f>
        <v>4.0755890679824294</v>
      </c>
      <c r="I436" s="33">
        <f>I434*D452/1000</f>
        <v>3.7918214179219709</v>
      </c>
      <c r="J436" s="33">
        <f>J434*D452/1000</f>
        <v>3.5278114220012351</v>
      </c>
      <c r="K436" s="33">
        <f>K434*D452/1000</f>
        <v>3.2821834304693747</v>
      </c>
      <c r="L436" s="33">
        <f>L434*D452/1000</f>
        <v>3.0536575747965067</v>
      </c>
      <c r="M436" s="33">
        <f>M434*D452/1000</f>
        <v>2.8410430987943203</v>
      </c>
      <c r="N436" s="33">
        <f>N434*D452/1000</f>
        <v>2.6432321540651831</v>
      </c>
      <c r="O436" s="33">
        <f>O434*D452/1000</f>
        <v>2.4591940274503639</v>
      </c>
      <c r="P436" s="33">
        <f>P434*D452/1000</f>
        <v>2.2879697703989135</v>
      </c>
      <c r="Q436" s="33">
        <f>Q434*D452/1000</f>
        <v>2.1286672022730082</v>
      </c>
      <c r="R436" s="33">
        <f>R434*D452/1000</f>
        <v>1.9804562615539996</v>
      </c>
      <c r="S436" s="33">
        <f>S434*D452/1000</f>
        <v>1.8425646807261749</v>
      </c>
      <c r="T436" s="33">
        <f>T434*D452/1000</f>
        <v>1.7142739623017824</v>
      </c>
      <c r="U436" s="33">
        <f>U434*D452/1000</f>
        <v>1.5949156350200229</v>
      </c>
      <c r="V436" s="33">
        <f>V434*D452/1000</f>
        <v>1.4838677707125536</v>
      </c>
      <c r="W436" s="33">
        <f>W434*D452/1000</f>
        <v>1.3805517436863062</v>
      </c>
      <c r="X436" s="33">
        <f>X434*D452/1000</f>
        <v>1.2844292157380541</v>
      </c>
      <c r="Y436" s="33">
        <f>Y434*D452/1000</f>
        <v>1.194999331090872</v>
      </c>
      <c r="Z436" s="33">
        <f>Z434*D452/1000</f>
        <v>1.1117961066364141</v>
      </c>
      <c r="AA436" s="33">
        <f>AA434*D452/1000</f>
        <v>1.0343860038846266</v>
      </c>
    </row>
    <row r="437" spans="3:27" hidden="1" outlineLevel="1" x14ac:dyDescent="0.3">
      <c r="C437" s="21" t="s">
        <v>39</v>
      </c>
      <c r="D437" s="19">
        <f>分布式光伏电站IRR汇总!$B$15</f>
        <v>0.25900000000000006</v>
      </c>
      <c r="F437" s="4" t="s">
        <v>20</v>
      </c>
      <c r="G437" s="33">
        <f>SUM(H438:V438)</f>
        <v>6.4683897723221744</v>
      </c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 spans="3:27" hidden="1" outlineLevel="1" x14ac:dyDescent="0.3">
      <c r="C438" s="21" t="s">
        <v>40</v>
      </c>
      <c r="D438" s="19">
        <f>分布式光伏电站IRR汇总!$B$16</f>
        <v>7.400000000000001E-2</v>
      </c>
      <c r="F438" s="7" t="s">
        <v>21</v>
      </c>
      <c r="G438" s="33"/>
      <c r="H438" s="33">
        <f>(H436-H429-H431)*G424</f>
        <v>0.68967530437878499</v>
      </c>
      <c r="I438" s="33">
        <f>(I436-I429-I431)*G424</f>
        <v>0.6402712772685093</v>
      </c>
      <c r="J438" s="33">
        <f>(J436-J429-J431)*G424</f>
        <v>0.59439764315266075</v>
      </c>
      <c r="K438" s="33">
        <f>(K436-K429-K431)*G424</f>
        <v>0.55180266850739224</v>
      </c>
      <c r="L438" s="33">
        <f>(L436-L429-L431)*G424</f>
        <v>0.51225253471786347</v>
      </c>
      <c r="M438" s="33">
        <f>(M436-M429-M431)*G424</f>
        <v>0.47553006537029685</v>
      </c>
      <c r="N438" s="33">
        <f>(N436-N429-N431)*G424</f>
        <v>0.44143354381696565</v>
      </c>
      <c r="O438" s="33">
        <f>(O436-O429-O431)*G424</f>
        <v>0.40977561462022638</v>
      </c>
      <c r="P438" s="33">
        <f>(P436-P429-P431)*G424</f>
        <v>0.38038226293396704</v>
      </c>
      <c r="Q438" s="33">
        <f>(Q436-Q429-Q431)*G424</f>
        <v>0.35309186630118539</v>
      </c>
      <c r="R438" s="33">
        <f>(R436-R429-R431)*G424</f>
        <v>0.32775431373703579</v>
      </c>
      <c r="S438" s="33">
        <f>(S436-S429-S431)*G424</f>
        <v>0.30423018732970802</v>
      </c>
      <c r="T438" s="33">
        <f>(T436-T429-T431)*G424</f>
        <v>0.28239000192887026</v>
      </c>
      <c r="U438" s="33">
        <f>(U436-U429-U431)*G424</f>
        <v>0.26211349880493523</v>
      </c>
      <c r="V438" s="33">
        <f>(V436-V429-V431)*G424</f>
        <v>0.24328898945377353</v>
      </c>
      <c r="W438" s="33">
        <f>(W436-W429-W431)*G424</f>
        <v>0.22581274599226356</v>
      </c>
      <c r="X438" s="33">
        <f>(X436-X429-X431)*G424</f>
        <v>0.20958843484169765</v>
      </c>
      <c r="Y438" s="33">
        <f>(Y436-Y429-Y431)*G424</f>
        <v>0.19452659062989941</v>
      </c>
      <c r="Z438" s="33">
        <f>(Z436-Z429-Z431)*G424</f>
        <v>0.18054412746020765</v>
      </c>
      <c r="AA438" s="33">
        <f>(AA436-AA429-AA431)*G424</f>
        <v>0.16756388489742222</v>
      </c>
    </row>
    <row r="439" spans="3:27" hidden="1" outlineLevel="1" x14ac:dyDescent="0.3">
      <c r="C439" s="21" t="s">
        <v>41</v>
      </c>
      <c r="D439" s="19">
        <f>分布式光伏电站IRR汇总!$B$17</f>
        <v>0.222</v>
      </c>
      <c r="F439" s="10" t="s">
        <v>22</v>
      </c>
      <c r="G439" s="33">
        <f>-G427</f>
        <v>-24.611999999999995</v>
      </c>
      <c r="H439" s="33">
        <f t="shared" ref="H439:AA439" si="90">H436-H438-H431</f>
        <v>3.1616146981830835</v>
      </c>
      <c r="I439" s="33">
        <f t="shared" si="90"/>
        <v>2.9419248458678906</v>
      </c>
      <c r="J439" s="33">
        <f t="shared" si="90"/>
        <v>2.7375022883947699</v>
      </c>
      <c r="K439" s="33">
        <f t="shared" si="90"/>
        <v>2.5472859110705768</v>
      </c>
      <c r="L439" s="33">
        <f t="shared" si="90"/>
        <v>2.370288357002563</v>
      </c>
      <c r="M439" s="33">
        <f t="shared" si="90"/>
        <v>2.2055908997080604</v>
      </c>
      <c r="N439" s="33">
        <f t="shared" si="90"/>
        <v>2.0523386721959156</v>
      </c>
      <c r="O439" s="33">
        <f t="shared" si="90"/>
        <v>1.9097362277345282</v>
      </c>
      <c r="P439" s="33">
        <f t="shared" si="90"/>
        <v>1.7770434092447509</v>
      </c>
      <c r="Q439" s="33">
        <f t="shared" si="90"/>
        <v>1.6535715058594904</v>
      </c>
      <c r="R439" s="33">
        <f t="shared" si="90"/>
        <v>1.538679676683943</v>
      </c>
      <c r="S439" s="33">
        <f t="shared" si="90"/>
        <v>1.4317716231786903</v>
      </c>
      <c r="T439" s="33">
        <f t="shared" si="90"/>
        <v>1.3322924928796631</v>
      </c>
      <c r="U439" s="33">
        <f t="shared" si="90"/>
        <v>1.2397259983709297</v>
      </c>
      <c r="V439" s="33">
        <f t="shared" si="90"/>
        <v>1.1535917365446138</v>
      </c>
      <c r="W439" s="33">
        <f t="shared" si="90"/>
        <v>1.073442694222859</v>
      </c>
      <c r="X439" s="33">
        <f t="shared" si="90"/>
        <v>0.99886292718497005</v>
      </c>
      <c r="Y439" s="33">
        <f t="shared" si="90"/>
        <v>0.92946540054378901</v>
      </c>
      <c r="Z439" s="33">
        <f t="shared" si="90"/>
        <v>0.864889979253605</v>
      </c>
      <c r="AA439" s="33">
        <f t="shared" si="90"/>
        <v>0.80480155831187594</v>
      </c>
    </row>
    <row r="440" spans="3:27" ht="13.5" hidden="1" outlineLevel="1" thickBot="1" x14ac:dyDescent="0.35">
      <c r="C440" s="21" t="s">
        <v>74</v>
      </c>
      <c r="D440" s="19">
        <f>分布式光伏电站IRR汇总!$B$18</f>
        <v>0.4</v>
      </c>
      <c r="F440" s="3" t="s">
        <v>61</v>
      </c>
      <c r="G440" s="35">
        <f>SUM(G439:AA439)/G427</f>
        <v>0.41087359428069942</v>
      </c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3:27" ht="13.5" hidden="1" outlineLevel="1" thickTop="1" x14ac:dyDescent="0.3">
      <c r="C441" s="18" t="s">
        <v>58</v>
      </c>
      <c r="D441" s="19">
        <f>分布式光伏电站IRR汇总!$B$19</f>
        <v>0.86599999999999999</v>
      </c>
    </row>
    <row r="442" spans="3:27" hidden="1" outlineLevel="1" x14ac:dyDescent="0.3">
      <c r="C442" s="18" t="s">
        <v>62</v>
      </c>
      <c r="D442" s="19">
        <f>分布式光伏电站IRR汇总!$B$20</f>
        <v>20</v>
      </c>
      <c r="F442" s="13" t="s">
        <v>25</v>
      </c>
      <c r="G442" s="14">
        <v>0</v>
      </c>
    </row>
    <row r="443" spans="3:27" hidden="1" outlineLevel="1" x14ac:dyDescent="0.3">
      <c r="C443" s="18" t="s">
        <v>59</v>
      </c>
      <c r="D443" s="52">
        <f>分布式光伏电站IRR汇总!$B$21</f>
        <v>0.02</v>
      </c>
      <c r="F443" s="13" t="s">
        <v>26</v>
      </c>
      <c r="G443" s="14">
        <v>0.25</v>
      </c>
      <c r="Q443" s="15"/>
    </row>
    <row r="444" spans="3:27" hidden="1" outlineLevel="1" x14ac:dyDescent="0.3">
      <c r="C444" s="18" t="s">
        <v>60</v>
      </c>
      <c r="D444" s="52">
        <f>分布式光伏电站IRR汇总!$B$22</f>
        <v>4.4999999999999997E-3</v>
      </c>
      <c r="F444" s="1" t="s">
        <v>44</v>
      </c>
      <c r="G444" s="4"/>
      <c r="H444" s="5">
        <v>1</v>
      </c>
      <c r="I444" s="5">
        <v>2</v>
      </c>
      <c r="J444" s="5">
        <v>3</v>
      </c>
      <c r="K444" s="5">
        <v>4</v>
      </c>
      <c r="L444" s="5">
        <v>5</v>
      </c>
      <c r="M444" s="5">
        <v>6</v>
      </c>
      <c r="N444" s="5">
        <v>7</v>
      </c>
      <c r="O444" s="5">
        <v>8</v>
      </c>
      <c r="P444" s="5">
        <v>9</v>
      </c>
      <c r="Q444" s="5">
        <v>10</v>
      </c>
      <c r="R444" s="5">
        <v>11</v>
      </c>
      <c r="S444" s="5">
        <v>12</v>
      </c>
      <c r="T444" s="5">
        <v>13</v>
      </c>
      <c r="U444" s="5">
        <v>14</v>
      </c>
      <c r="V444" s="5">
        <v>15</v>
      </c>
      <c r="W444" s="5">
        <v>16</v>
      </c>
      <c r="X444" s="5">
        <v>17</v>
      </c>
      <c r="Y444" s="5">
        <v>18</v>
      </c>
      <c r="Z444" s="5">
        <v>19</v>
      </c>
      <c r="AA444" s="5">
        <v>20</v>
      </c>
    </row>
    <row r="445" spans="3:27" hidden="1" outlineLevel="1" x14ac:dyDescent="0.3">
      <c r="C445" s="18" t="s">
        <v>28</v>
      </c>
      <c r="D445" s="29">
        <f>分布式光伏电站IRR汇总!$B$23</f>
        <v>0.04</v>
      </c>
      <c r="F445" s="16"/>
      <c r="G445" s="2" t="s">
        <v>0</v>
      </c>
      <c r="H445" s="2" t="s">
        <v>1</v>
      </c>
      <c r="I445" s="2" t="s">
        <v>2</v>
      </c>
      <c r="J445" s="2" t="s">
        <v>3</v>
      </c>
      <c r="K445" s="2" t="s">
        <v>4</v>
      </c>
      <c r="L445" s="2" t="s">
        <v>5</v>
      </c>
      <c r="M445" s="2" t="s">
        <v>6</v>
      </c>
      <c r="N445" s="2" t="s">
        <v>7</v>
      </c>
      <c r="O445" s="2" t="s">
        <v>8</v>
      </c>
      <c r="P445" s="2" t="s">
        <v>9</v>
      </c>
      <c r="Q445" s="2" t="s">
        <v>10</v>
      </c>
      <c r="R445" s="2" t="s">
        <v>11</v>
      </c>
      <c r="S445" s="2" t="s">
        <v>12</v>
      </c>
      <c r="T445" s="2" t="s">
        <v>13</v>
      </c>
      <c r="U445" s="2" t="s">
        <v>45</v>
      </c>
      <c r="V445" s="2" t="s">
        <v>46</v>
      </c>
      <c r="W445" s="2" t="s">
        <v>47</v>
      </c>
      <c r="X445" s="2" t="s">
        <v>48</v>
      </c>
      <c r="Y445" s="2" t="s">
        <v>49</v>
      </c>
      <c r="Z445" s="2" t="s">
        <v>50</v>
      </c>
      <c r="AA445" s="2" t="s">
        <v>51</v>
      </c>
    </row>
    <row r="446" spans="3:27" hidden="1" outlineLevel="1" x14ac:dyDescent="0.3">
      <c r="C446" s="18" t="s">
        <v>43</v>
      </c>
      <c r="D446" s="19">
        <f>分布式光伏电站IRR汇总!$B$24</f>
        <v>0.05</v>
      </c>
      <c r="F446" s="6" t="s">
        <v>14</v>
      </c>
      <c r="G446" s="33">
        <f>D448</f>
        <v>24.611999999999995</v>
      </c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 spans="3:27" hidden="1" outlineLevel="1" x14ac:dyDescent="0.3">
      <c r="C447" s="18" t="s">
        <v>126</v>
      </c>
      <c r="D447" s="28">
        <f>Backup分地区光伏小时数及电价!E10</f>
        <v>1263</v>
      </c>
      <c r="F447" s="6" t="s">
        <v>15</v>
      </c>
      <c r="G447" s="33">
        <f>SUM(H448:AA448)</f>
        <v>23.381399999999985</v>
      </c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 spans="3:27" hidden="1" outlineLevel="1" x14ac:dyDescent="0.3">
      <c r="C448" s="24" t="s">
        <v>14</v>
      </c>
      <c r="D448" s="30">
        <f>D424*D429</f>
        <v>24.611999999999995</v>
      </c>
      <c r="F448" s="7" t="s">
        <v>16</v>
      </c>
      <c r="G448" s="33"/>
      <c r="H448" s="33">
        <f>D448*(1-D446)/D442/((1+G442)^H444)</f>
        <v>1.1690699999999996</v>
      </c>
      <c r="I448" s="33">
        <f>D448*(1-D446)/D442/((1+G442)^I444)</f>
        <v>1.1690699999999996</v>
      </c>
      <c r="J448" s="33">
        <f>D448*(1-D446)/D442/((1+G442)^J444)</f>
        <v>1.1690699999999996</v>
      </c>
      <c r="K448" s="33">
        <f>D448*(1-D446)/D442/((1+G442)^K444)</f>
        <v>1.1690699999999996</v>
      </c>
      <c r="L448" s="33">
        <f>D448*(1-D446)/D442/((1+G442)^L444)</f>
        <v>1.1690699999999996</v>
      </c>
      <c r="M448" s="33">
        <f>D448*(1-D446)/D442/((1+G442)^M444)</f>
        <v>1.1690699999999996</v>
      </c>
      <c r="N448" s="33">
        <f>D448*(1-D446)/D442/((1+G442)^N444)</f>
        <v>1.1690699999999996</v>
      </c>
      <c r="O448" s="33">
        <f>D448*(1-D446)/D442/((1+G442)^O444)</f>
        <v>1.1690699999999996</v>
      </c>
      <c r="P448" s="33">
        <f>D448*(1-D446)/D442/((1+G442)^P444)</f>
        <v>1.1690699999999996</v>
      </c>
      <c r="Q448" s="33">
        <f>D448*(1-D446)/D442/((1+G442)^Q444)</f>
        <v>1.1690699999999996</v>
      </c>
      <c r="R448" s="33">
        <f>D448*(1-D446)/D442/((1+G442)^R444)</f>
        <v>1.1690699999999996</v>
      </c>
      <c r="S448" s="33">
        <f>D448*(1-D446)/D442/((1+G442)^S444)</f>
        <v>1.1690699999999996</v>
      </c>
      <c r="T448" s="33">
        <f>D448*(1-D446)/D442/((1+G442)^T444)</f>
        <v>1.1690699999999996</v>
      </c>
      <c r="U448" s="33">
        <f>D448*(1-D446)/D442/((1+G442)^U444)</f>
        <v>1.1690699999999996</v>
      </c>
      <c r="V448" s="33">
        <f>D448*(1-D446)/D442/((1+G442)^V444)</f>
        <v>1.1690699999999996</v>
      </c>
      <c r="W448" s="33">
        <f>D448*(1-D446)/D442/((1+G442)^W444)</f>
        <v>1.1690699999999996</v>
      </c>
      <c r="X448" s="33">
        <f>D448*(1-D446)/D442/((1+G442)^X444)</f>
        <v>1.1690699999999996</v>
      </c>
      <c r="Y448" s="33">
        <f>D448*(1-D446)/D442/((1+G442)^Y444)</f>
        <v>1.1690699999999996</v>
      </c>
      <c r="Z448" s="33">
        <f>D448*(1-D446)/D442/((1+G442)^Z444)</f>
        <v>1.1690699999999996</v>
      </c>
      <c r="AA448" s="33">
        <f>D448*(1-D446)/D442/((1+G442)^AA444)</f>
        <v>1.1690699999999996</v>
      </c>
    </row>
    <row r="449" spans="2:27" hidden="1" outlineLevel="1" x14ac:dyDescent="0.3">
      <c r="C449" s="18" t="s">
        <v>29</v>
      </c>
      <c r="D449" s="29">
        <v>0.35980000000000001</v>
      </c>
      <c r="F449" s="6" t="s">
        <v>17</v>
      </c>
      <c r="G449" s="33">
        <f>SUM(H450:AA450)</f>
        <v>4.8000000000000025</v>
      </c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 spans="2:27" hidden="1" outlineLevel="1" x14ac:dyDescent="0.3">
      <c r="C450" s="18" t="s">
        <v>30</v>
      </c>
      <c r="D450" s="31">
        <f>Backup分地区光伏小时数及电价!I10</f>
        <v>0.67807166666666674</v>
      </c>
      <c r="F450" s="7" t="s">
        <v>18</v>
      </c>
      <c r="G450" s="33"/>
      <c r="H450" s="33">
        <f>D445*D424/((1+G442)^H444)</f>
        <v>0.24</v>
      </c>
      <c r="I450" s="33">
        <f>D445*D424/((1+G442)^I444)</f>
        <v>0.24</v>
      </c>
      <c r="J450" s="33">
        <f>D445*D424/((1+G442)^J444)</f>
        <v>0.24</v>
      </c>
      <c r="K450" s="33">
        <f>D445*D424/((1+G442)^K444)</f>
        <v>0.24</v>
      </c>
      <c r="L450" s="33">
        <f>D445*D424/((1+G442)^L444)</f>
        <v>0.24</v>
      </c>
      <c r="M450" s="33">
        <f>D445*D424/((1+G442)^M444)</f>
        <v>0.24</v>
      </c>
      <c r="N450" s="33">
        <f>D445*D424/((1+G442)^N444)</f>
        <v>0.24</v>
      </c>
      <c r="O450" s="33">
        <f>D445*D424/((1+G442)^O444)</f>
        <v>0.24</v>
      </c>
      <c r="P450" s="33">
        <f>D445*D424/((1+G442)^P444)</f>
        <v>0.24</v>
      </c>
      <c r="Q450" s="33">
        <f>D445*D424/((1+G442)^Q444)</f>
        <v>0.24</v>
      </c>
      <c r="R450" s="33">
        <f>D445*D424/((1+G442)^R444)</f>
        <v>0.24</v>
      </c>
      <c r="S450" s="33">
        <f>D445*D424/((1+G442)^S444)</f>
        <v>0.24</v>
      </c>
      <c r="T450" s="33">
        <f>D445*D424/((1+G442)^T444)</f>
        <v>0.24</v>
      </c>
      <c r="U450" s="33">
        <f>D445*D424/((1+G442)^U444)</f>
        <v>0.24</v>
      </c>
      <c r="V450" s="33">
        <f>D445*D424/((1+G442)^V444)</f>
        <v>0.24</v>
      </c>
      <c r="W450" s="33">
        <f>D445*D424/((1+G442)^W444)</f>
        <v>0.24</v>
      </c>
      <c r="X450" s="33">
        <f>D445*D424/((1+G442)^X444)</f>
        <v>0.24</v>
      </c>
      <c r="Y450" s="33">
        <f>D445*D424/((1+G442)^Y444)</f>
        <v>0.24</v>
      </c>
      <c r="Z450" s="33">
        <f>D445*D424/((1+G442)^Z444)</f>
        <v>0.24</v>
      </c>
      <c r="AA450" s="33">
        <f>D445*D424/((1+G442)^AA444)</f>
        <v>0.24</v>
      </c>
    </row>
    <row r="451" spans="2:27" hidden="1" outlineLevel="1" x14ac:dyDescent="0.3">
      <c r="C451" s="18" t="s">
        <v>70</v>
      </c>
      <c r="D451" s="32">
        <f>分布式光伏电站IRR汇总!$B$27</f>
        <v>1</v>
      </c>
      <c r="F451" s="6" t="s">
        <v>19</v>
      </c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>
        <f>D445*D448/((1+G442)^AA444)</f>
        <v>0.9844799999999998</v>
      </c>
    </row>
    <row r="452" spans="2:27" hidden="1" outlineLevel="1" x14ac:dyDescent="0.3">
      <c r="C452" s="18" t="s">
        <v>69</v>
      </c>
      <c r="D452" s="31">
        <f>D451*D450</f>
        <v>0.67807166666666674</v>
      </c>
      <c r="F452" s="8" t="s">
        <v>64</v>
      </c>
      <c r="G452" s="33">
        <f>SUM(H453:AA453)</f>
        <v>123272.84933310116</v>
      </c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 spans="2:27" hidden="1" outlineLevel="1" x14ac:dyDescent="0.3">
      <c r="C453" s="18" t="s">
        <v>31</v>
      </c>
      <c r="D453" s="27">
        <v>0</v>
      </c>
      <c r="F453" s="9" t="s">
        <v>65</v>
      </c>
      <c r="G453" s="33"/>
      <c r="H453" s="33">
        <f>D424*D441*(1-D443)*D447/((1+G442)^H444)</f>
        <v>6431.2970399999995</v>
      </c>
      <c r="I453" s="33">
        <f>D424*D441*(1-D443)*(1-D444)^(I444-1)*D447/((1+G442)^I444)</f>
        <v>6402.3562033199996</v>
      </c>
      <c r="J453" s="33">
        <f>D424*D441*(1-D443)*(1-D444)^(J444-1)*D447/((1+G442)^J444)</f>
        <v>6373.5456004050593</v>
      </c>
      <c r="K453" s="33">
        <f>D424*D441*(1-D443)*(1-D444)^(K444-1)*D447/((1+G442)^K444)</f>
        <v>6344.8646452032381</v>
      </c>
      <c r="L453" s="33">
        <f>D424*D441*(1-D443)*(1-D444)^(L444-1)*D447/((1+G442)^L444)</f>
        <v>6316.3127542998236</v>
      </c>
      <c r="M453" s="33">
        <f>D424*D441*(1-D443)*(1-D444)^(M444-1)*D447/((1+G442)^M444)</f>
        <v>6287.8893469054747</v>
      </c>
      <c r="N453" s="33">
        <f>D424*D441*(1-D443)*(1-D444)^(N444-1)*D447/((1+G442)^N444)</f>
        <v>6259.5938448444003</v>
      </c>
      <c r="O453" s="33">
        <f>D424*D441*(1-D443)*(1-D444)^(O444-1)*D447/((1+G442)^O444)</f>
        <v>6231.4256725426003</v>
      </c>
      <c r="P453" s="33">
        <f>D424*D441*(1-D443)*(1-D444)^(P444-1)*D447/((1+G442)^P444)</f>
        <v>6203.3842570161596</v>
      </c>
      <c r="Q453" s="33">
        <f>D424*D441*(1-D443)*(1-D444)^(Q444-1)*D447/((1+G442)^Q444)</f>
        <v>6175.4690278595872</v>
      </c>
      <c r="R453" s="33">
        <f>D424*D441*(1-D443)*(1-D444)^(R444-1)*D447/((1+G442)^R444)</f>
        <v>6147.6794172342197</v>
      </c>
      <c r="S453" s="33">
        <f>D424*D441*(1-D443)*(1-D444)^(S444-1)*D447/((1+G442)^S444)</f>
        <v>6120.0148598566657</v>
      </c>
      <c r="T453" s="33">
        <f>D424*D441*(1-D443)*(1-D444)^(T444-1)*D447/((1+G442)^T444)</f>
        <v>6092.474792987312</v>
      </c>
      <c r="U453" s="33">
        <f>D424*D441*(1-D443)*(1-D444)^(U444-1)*D447/((1+G442)^U444)</f>
        <v>6065.0586564188688</v>
      </c>
      <c r="V453" s="33">
        <f>D424*D441*(1-D443)*(1-D444)^(V444-1)*D447/((1+G442)^V444)</f>
        <v>6037.7658924649832</v>
      </c>
      <c r="W453" s="33">
        <f>D424*D441*(1-D443)*(1-D444)^(W444-1)*D447/((1+G442)^W444)</f>
        <v>6010.5959459488922</v>
      </c>
      <c r="X453" s="33">
        <f>D424*D441*(1-D443)*(1-D444)^(X444-1)*D447/((1+G442)^X444)</f>
        <v>5983.5482641921226</v>
      </c>
      <c r="Y453" s="33">
        <f>D424*D441*(1-D443)*(1-D444)^(Y444-1)*D447/((1+G442)^Y444)</f>
        <v>5956.6222970032577</v>
      </c>
      <c r="Z453" s="33">
        <f>D424*D441*(1-D443)*(1-D444)^(Z444-1)*D447/((1+G442)^Z444)</f>
        <v>5929.8174966667448</v>
      </c>
      <c r="AA453" s="33">
        <f>D424*D441*(1-D443)*(1-D444)^(AA444-1)*D447/((1+G442)^AA444)</f>
        <v>5903.1333179317444</v>
      </c>
    </row>
    <row r="454" spans="2:27" hidden="1" outlineLevel="1" x14ac:dyDescent="0.3">
      <c r="F454" s="4" t="s">
        <v>66</v>
      </c>
      <c r="G454" s="33">
        <f>SUM(H455:AA455)</f>
        <v>83.587826402044811</v>
      </c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 spans="2:27" hidden="1" outlineLevel="1" x14ac:dyDescent="0.3">
      <c r="F455" s="7" t="s">
        <v>67</v>
      </c>
      <c r="G455" s="33"/>
      <c r="H455" s="33">
        <f>H453*D452/1000</f>
        <v>4.3608803027412009</v>
      </c>
      <c r="I455" s="33">
        <f>I453*D452/1000</f>
        <v>4.3412563413788652</v>
      </c>
      <c r="J455" s="33">
        <f>J453*D452/1000</f>
        <v>4.3217206878426593</v>
      </c>
      <c r="K455" s="33">
        <f>K453*D452/1000</f>
        <v>4.3022729447473687</v>
      </c>
      <c r="L455" s="33">
        <f>L453*D452/1000</f>
        <v>4.2829127164960052</v>
      </c>
      <c r="M455" s="33">
        <f>M453*D452/1000</f>
        <v>4.2636396092717739</v>
      </c>
      <c r="N455" s="33">
        <f>N453*D452/1000</f>
        <v>4.2444532310300511</v>
      </c>
      <c r="O455" s="33">
        <f>O453*D452/1000</f>
        <v>4.2253531914904157</v>
      </c>
      <c r="P455" s="33">
        <f>P453*D452/1000</f>
        <v>4.2063391021287098</v>
      </c>
      <c r="Q455" s="33">
        <f>Q453*D452/1000</f>
        <v>4.1874105761691309</v>
      </c>
      <c r="R455" s="33">
        <f>R453*D452/1000</f>
        <v>4.1685672285763706</v>
      </c>
      <c r="S455" s="33">
        <f>S453*D452/1000</f>
        <v>4.1498086760477761</v>
      </c>
      <c r="T455" s="33">
        <f>T453*D452/1000</f>
        <v>4.1311345370055621</v>
      </c>
      <c r="U455" s="33">
        <f>U453*D452/1000</f>
        <v>4.1125444315890372</v>
      </c>
      <c r="V455" s="33">
        <f>V453*D452/1000</f>
        <v>4.0940379816468857</v>
      </c>
      <c r="W455" s="33">
        <f>W453*D452/1000</f>
        <v>4.0756148107294754</v>
      </c>
      <c r="X455" s="33">
        <f>X453*D452/1000</f>
        <v>4.057274544081193</v>
      </c>
      <c r="Y455" s="33">
        <f>Y453*D452/1000</f>
        <v>4.0390168086328275</v>
      </c>
      <c r="Z455" s="33">
        <f>Z453*D452/1000</f>
        <v>4.0208412329939813</v>
      </c>
      <c r="AA455" s="33">
        <f>AA453*D452/1000</f>
        <v>4.0027474474455085</v>
      </c>
    </row>
    <row r="456" spans="2:27" hidden="1" outlineLevel="1" x14ac:dyDescent="0.3">
      <c r="F456" s="4" t="s">
        <v>20</v>
      </c>
      <c r="G456" s="33">
        <f>SUM(H457:AA457)</f>
        <v>13.851606600511202</v>
      </c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 spans="2:27" hidden="1" outlineLevel="1" x14ac:dyDescent="0.3">
      <c r="F457" s="7" t="s">
        <v>21</v>
      </c>
      <c r="G457" s="33"/>
      <c r="H457" s="33">
        <f>(H455-H448-H450)*G443</f>
        <v>0.73795257568530026</v>
      </c>
      <c r="I457" s="33">
        <f>(I455-I448-I450)*G443</f>
        <v>0.73304658534471634</v>
      </c>
      <c r="J457" s="33">
        <f>(J455-J448-J450)*G443</f>
        <v>0.72816267196066486</v>
      </c>
      <c r="K457" s="33">
        <f>(K455-K448-K450)*G443</f>
        <v>0.72330073618684221</v>
      </c>
      <c r="L457" s="33">
        <f>(L455-L448-L450)*G443</f>
        <v>0.71846067912400136</v>
      </c>
      <c r="M457" s="33">
        <f>(M455-M448-M450)*G443</f>
        <v>0.71364240231794351</v>
      </c>
      <c r="N457" s="33">
        <f>(N455-N448-N450)*G443</f>
        <v>0.70884580775751282</v>
      </c>
      <c r="O457" s="33">
        <f>(O455-O448-O450)*G443</f>
        <v>0.70407079787260396</v>
      </c>
      <c r="P457" s="33">
        <f>(P455-P448-P450)*G443</f>
        <v>0.69931727553217748</v>
      </c>
      <c r="Q457" s="33">
        <f>(Q455-Q448-Q450)*G443</f>
        <v>0.69458514404228278</v>
      </c>
      <c r="R457" s="33">
        <f>(R455-R448-R450)*G443</f>
        <v>0.6898743071440927</v>
      </c>
      <c r="S457" s="33">
        <f>(S455-S448-S450)*G443</f>
        <v>0.68518466901194408</v>
      </c>
      <c r="T457" s="33">
        <f>(T455-T448-T450)*G443</f>
        <v>0.68051613425139057</v>
      </c>
      <c r="U457" s="33">
        <f>(U455-U448-U450)*G443</f>
        <v>0.67586860789725933</v>
      </c>
      <c r="V457" s="33">
        <f>(V455-V448-V450)*G443</f>
        <v>0.67124199541172147</v>
      </c>
      <c r="W457" s="33">
        <f>(W455-W448-W450)*G443</f>
        <v>0.66663620268236889</v>
      </c>
      <c r="X457" s="33">
        <f>(X455-X448-X450)*G443</f>
        <v>0.6620511360202983</v>
      </c>
      <c r="Y457" s="33">
        <f>(Y455-Y448-Y450)*G443</f>
        <v>0.65748670215820693</v>
      </c>
      <c r="Z457" s="33">
        <f>(Z455-Z448-Z450)*G443</f>
        <v>0.65294280824849538</v>
      </c>
      <c r="AA457" s="33">
        <f>(AA455-AA448-AA450)*G443</f>
        <v>0.64841936186137716</v>
      </c>
    </row>
    <row r="458" spans="2:27" hidden="1" outlineLevel="1" x14ac:dyDescent="0.3">
      <c r="F458" s="10" t="s">
        <v>22</v>
      </c>
      <c r="G458" s="33">
        <f>-G446</f>
        <v>-24.611999999999995</v>
      </c>
      <c r="H458" s="33">
        <f>H455-H457-H450</f>
        <v>3.3829277270559004</v>
      </c>
      <c r="I458" s="33">
        <f t="shared" ref="I458" si="91">I455-I457-I450</f>
        <v>3.3682097560341484</v>
      </c>
      <c r="J458" s="33">
        <f t="shared" ref="J458" si="92">J455-J457-J450</f>
        <v>3.353558015881994</v>
      </c>
      <c r="K458" s="33">
        <f t="shared" ref="K458" si="93">K455-K457-K450</f>
        <v>3.3389722085605262</v>
      </c>
      <c r="L458" s="33">
        <f t="shared" ref="L458" si="94">L455-L457-L450</f>
        <v>3.3244520373720041</v>
      </c>
      <c r="M458" s="33">
        <f t="shared" ref="M458" si="95">M455-M457-M450</f>
        <v>3.3099972069538302</v>
      </c>
      <c r="N458" s="33">
        <f t="shared" ref="N458" si="96">N455-N457-N450</f>
        <v>3.2956074232725383</v>
      </c>
      <c r="O458" s="33">
        <f t="shared" ref="O458" si="97">O455-O457-O450</f>
        <v>3.2812823936178113</v>
      </c>
      <c r="P458" s="33">
        <f t="shared" ref="P458" si="98">P455-P457-P450</f>
        <v>3.2670218265965323</v>
      </c>
      <c r="Q458" s="33">
        <f t="shared" ref="Q458" si="99">Q455-Q457-Q450</f>
        <v>3.2528254321268477</v>
      </c>
      <c r="R458" s="33">
        <f t="shared" ref="R458" si="100">R455-R457-R450</f>
        <v>3.2386929214322775</v>
      </c>
      <c r="S458" s="33">
        <f t="shared" ref="S458" si="101">S455-S457-S450</f>
        <v>3.2246240070358319</v>
      </c>
      <c r="T458" s="33">
        <f t="shared" ref="T458" si="102">T455-T457-T450</f>
        <v>3.2106184027541715</v>
      </c>
      <c r="U458" s="33">
        <f t="shared" ref="U458" si="103">U455-U457-U450</f>
        <v>3.1966758236917778</v>
      </c>
      <c r="V458" s="33">
        <f t="shared" ref="V458" si="104">V455-V457-V450</f>
        <v>3.1827959862351642</v>
      </c>
      <c r="W458" s="33">
        <f t="shared" ref="W458" si="105">W455-W457-W450</f>
        <v>3.1689786080471061</v>
      </c>
      <c r="X458" s="33">
        <f t="shared" ref="X458" si="106">X455-X457-X450</f>
        <v>3.1552234080608947</v>
      </c>
      <c r="Y458" s="33">
        <f t="shared" ref="Y458" si="107">Y455-Y457-Y450</f>
        <v>3.1415301064746206</v>
      </c>
      <c r="Z458" s="33">
        <f t="shared" ref="Z458" si="108">Z455-Z457-Z450</f>
        <v>3.127898424745486</v>
      </c>
      <c r="AA458" s="33">
        <f t="shared" ref="AA458" si="109">AA455-AA457-AA450</f>
        <v>3.1143280855841313</v>
      </c>
    </row>
    <row r="459" spans="2:27" ht="13.5" hidden="1" outlineLevel="1" thickBot="1" x14ac:dyDescent="0.35">
      <c r="F459" s="3" t="s">
        <v>68</v>
      </c>
      <c r="G459" s="40">
        <f>IRR(G458:AA458)</f>
        <v>0.12005584919250345</v>
      </c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2:27" ht="13.5" collapsed="1" thickTop="1" x14ac:dyDescent="0.3"/>
    <row r="461" spans="2:27" x14ac:dyDescent="0.3">
      <c r="B461" s="11" t="s">
        <v>146</v>
      </c>
      <c r="C461" s="11" t="s">
        <v>52</v>
      </c>
    </row>
    <row r="462" spans="2:27" x14ac:dyDescent="0.3">
      <c r="C462" s="11" t="s">
        <v>141</v>
      </c>
      <c r="D462" s="54">
        <f>D493</f>
        <v>1436</v>
      </c>
    </row>
    <row r="463" spans="2:27" x14ac:dyDescent="0.3">
      <c r="C463" s="16" t="s">
        <v>78</v>
      </c>
      <c r="D463" s="37">
        <f>(G492+G495+G502)/G498*1000</f>
        <v>0.26348270412038394</v>
      </c>
    </row>
    <row r="464" spans="2:27" x14ac:dyDescent="0.3">
      <c r="C464" s="13" t="s">
        <v>77</v>
      </c>
      <c r="D464" s="39">
        <f>(G473+G476+G483)/G479*1000</f>
        <v>0.40933533103343184</v>
      </c>
    </row>
    <row r="465" spans="3:27" x14ac:dyDescent="0.3">
      <c r="C465" s="13" t="s">
        <v>61</v>
      </c>
      <c r="D465" s="36">
        <f>G486</f>
        <v>-2.1460919914524381E-3</v>
      </c>
    </row>
    <row r="466" spans="3:27" x14ac:dyDescent="0.3">
      <c r="C466" s="13" t="s">
        <v>73</v>
      </c>
      <c r="D466" s="25">
        <f>SUM(G485:AA485)</f>
        <v>-5.2819616093627397E-2</v>
      </c>
    </row>
    <row r="467" spans="3:27" ht="13.5" thickBot="1" x14ac:dyDescent="0.35">
      <c r="C467" s="23" t="s">
        <v>68</v>
      </c>
      <c r="D467" s="26">
        <f>G505</f>
        <v>6.9719372693104242E-2</v>
      </c>
    </row>
    <row r="468" spans="3:27" ht="13.5" hidden="1" outlineLevel="1" thickTop="1" x14ac:dyDescent="0.3">
      <c r="E468" s="20"/>
      <c r="F468" s="38" t="s">
        <v>75</v>
      </c>
    </row>
    <row r="469" spans="3:27" hidden="1" outlineLevel="1" x14ac:dyDescent="0.3">
      <c r="C469" s="11" t="s">
        <v>71</v>
      </c>
      <c r="F469" s="13" t="s">
        <v>25</v>
      </c>
      <c r="G469" s="14">
        <v>7.0000000000000007E-2</v>
      </c>
    </row>
    <row r="470" spans="3:27" hidden="1" outlineLevel="1" x14ac:dyDescent="0.3">
      <c r="C470" s="18" t="s">
        <v>53</v>
      </c>
      <c r="D470" s="19">
        <f>分布式光伏电站IRR汇总!$B$2</f>
        <v>6</v>
      </c>
      <c r="F470" s="13" t="s">
        <v>26</v>
      </c>
      <c r="G470" s="14">
        <v>0.25</v>
      </c>
    </row>
    <row r="471" spans="3:27" hidden="1" outlineLevel="1" x14ac:dyDescent="0.3">
      <c r="C471" s="18" t="s">
        <v>56</v>
      </c>
      <c r="D471" s="19">
        <f>分布式光伏电站IRR汇总!$B$3</f>
        <v>120</v>
      </c>
      <c r="F471" s="1" t="s">
        <v>44</v>
      </c>
      <c r="G471" s="4"/>
      <c r="H471" s="5">
        <v>1</v>
      </c>
      <c r="I471" s="5">
        <v>2</v>
      </c>
      <c r="J471" s="5">
        <v>3</v>
      </c>
      <c r="K471" s="5">
        <v>4</v>
      </c>
      <c r="L471" s="5">
        <v>5</v>
      </c>
      <c r="M471" s="5">
        <v>6</v>
      </c>
      <c r="N471" s="5">
        <v>7</v>
      </c>
      <c r="O471" s="5">
        <v>8</v>
      </c>
      <c r="P471" s="5">
        <v>9</v>
      </c>
      <c r="Q471" s="5">
        <v>10</v>
      </c>
      <c r="R471" s="5">
        <v>11</v>
      </c>
      <c r="S471" s="5">
        <v>12</v>
      </c>
      <c r="T471" s="5">
        <v>13</v>
      </c>
      <c r="U471" s="5">
        <v>14</v>
      </c>
      <c r="V471" s="5">
        <v>15</v>
      </c>
      <c r="W471" s="5">
        <v>16</v>
      </c>
      <c r="X471" s="5">
        <v>17</v>
      </c>
      <c r="Y471" s="5">
        <v>18</v>
      </c>
      <c r="Z471" s="5">
        <v>19</v>
      </c>
      <c r="AA471" s="5">
        <v>20</v>
      </c>
    </row>
    <row r="472" spans="3:27" hidden="1" outlineLevel="1" x14ac:dyDescent="0.3">
      <c r="C472" s="18" t="s">
        <v>57</v>
      </c>
      <c r="D472" s="19">
        <f>分布式光伏电站IRR汇总!$B$4</f>
        <v>3</v>
      </c>
      <c r="F472" s="16"/>
      <c r="G472" s="2" t="s">
        <v>0</v>
      </c>
      <c r="H472" s="2" t="s">
        <v>1</v>
      </c>
      <c r="I472" s="2" t="s">
        <v>2</v>
      </c>
      <c r="J472" s="2" t="s">
        <v>3</v>
      </c>
      <c r="K472" s="2" t="s">
        <v>4</v>
      </c>
      <c r="L472" s="2" t="s">
        <v>5</v>
      </c>
      <c r="M472" s="2" t="s">
        <v>6</v>
      </c>
      <c r="N472" s="2" t="s">
        <v>7</v>
      </c>
      <c r="O472" s="2" t="s">
        <v>8</v>
      </c>
      <c r="P472" s="2" t="s">
        <v>9</v>
      </c>
      <c r="Q472" s="2" t="s">
        <v>10</v>
      </c>
      <c r="R472" s="2" t="s">
        <v>11</v>
      </c>
      <c r="S472" s="2" t="s">
        <v>12</v>
      </c>
      <c r="T472" s="2" t="s">
        <v>13</v>
      </c>
      <c r="U472" s="2" t="s">
        <v>45</v>
      </c>
      <c r="V472" s="2" t="s">
        <v>46</v>
      </c>
      <c r="W472" s="2" t="s">
        <v>47</v>
      </c>
      <c r="X472" s="2" t="s">
        <v>48</v>
      </c>
      <c r="Y472" s="2" t="s">
        <v>49</v>
      </c>
      <c r="Z472" s="2" t="s">
        <v>50</v>
      </c>
      <c r="AA472" s="2" t="s">
        <v>127</v>
      </c>
    </row>
    <row r="473" spans="3:27" hidden="1" outlineLevel="1" x14ac:dyDescent="0.3">
      <c r="C473" s="18" t="s">
        <v>54</v>
      </c>
      <c r="D473" s="19">
        <f>分布式光伏电站IRR汇总!$B$5</f>
        <v>5</v>
      </c>
      <c r="F473" s="6" t="s">
        <v>14</v>
      </c>
      <c r="G473" s="33">
        <f>D494</f>
        <v>24.611999999999995</v>
      </c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 spans="3:27" hidden="1" outlineLevel="1" x14ac:dyDescent="0.3">
      <c r="C474" s="18" t="s">
        <v>55</v>
      </c>
      <c r="D474" s="19">
        <f>分布式光伏电站IRR汇总!$B$6</f>
        <v>15</v>
      </c>
      <c r="F474" s="6" t="s">
        <v>15</v>
      </c>
      <c r="G474" s="33">
        <f>SUM(H475:AA475)</f>
        <v>12.385144234005573</v>
      </c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 spans="3:27" hidden="1" outlineLevel="1" x14ac:dyDescent="0.3">
      <c r="C475" s="18" t="s">
        <v>42</v>
      </c>
      <c r="D475" s="19">
        <f>分布式光伏电站IRR汇总!$B$7</f>
        <v>4.1019999999999994</v>
      </c>
      <c r="F475" s="7" t="s">
        <v>16</v>
      </c>
      <c r="G475" s="33"/>
      <c r="H475" s="33">
        <f>D494*(1-D492)/D488/((1+G469)^H471)</f>
        <v>1.0925887850467286</v>
      </c>
      <c r="I475" s="33">
        <f>D494*(1-D492)/D488/((1+G469)^I471)</f>
        <v>1.0211110140623632</v>
      </c>
      <c r="J475" s="33">
        <f>D494*(1-D492)/D488/((1+G469)^J471)</f>
        <v>0.95430935893678792</v>
      </c>
      <c r="K475" s="33">
        <f>D494*(1-D492)/D488/((1+G469)^K471)</f>
        <v>0.89187790554839996</v>
      </c>
      <c r="L475" s="33">
        <f>D494*(1-D492)/D488/((1+G469)^L471)</f>
        <v>0.83353075284897193</v>
      </c>
      <c r="M475" s="33">
        <f>D494*(1-D492)/D488/((1+G469)^M471)</f>
        <v>0.77900070359717</v>
      </c>
      <c r="N475" s="33">
        <f>D494*(1-D492)/D488/((1+G469)^N471)</f>
        <v>0.72803804074501866</v>
      </c>
      <c r="O475" s="33">
        <f>D494*(1-D492)/D488/((1+G469)^O471)</f>
        <v>0.6804093838738493</v>
      </c>
      <c r="P475" s="33">
        <f>D494*(1-D492)/D488/((1+G469)^P471)</f>
        <v>0.63589662044284967</v>
      </c>
      <c r="Q475" s="33">
        <f>D494*(1-D492)/D488/((1+G469)^Q471)</f>
        <v>0.59429590695593437</v>
      </c>
      <c r="R475" s="33">
        <f>D494*(1-D492)/D488/((1+G469)^R471)</f>
        <v>0.55541673547283577</v>
      </c>
      <c r="S475" s="33">
        <f>D494*(1-D492)/D488/((1+G469)^S471)</f>
        <v>0.51908106118956621</v>
      </c>
      <c r="T475" s="33">
        <f>D494*(1-D492)/D488/((1+G469)^T471)</f>
        <v>0.4851224870930525</v>
      </c>
      <c r="U475" s="33">
        <f>D494*(1-D492)/D488/((1+G469)^U471)</f>
        <v>0.45338550195612387</v>
      </c>
      <c r="V475" s="33">
        <f>D494*(1-D492)/D488/((1+G469)^V471)</f>
        <v>0.4237247681832933</v>
      </c>
      <c r="W475" s="33">
        <f>D494*(1-D492)/D488/((1+G469)^W471)</f>
        <v>0.39600445624606856</v>
      </c>
      <c r="X475" s="33">
        <f>D494*(1-D492)/D488/((1+G469)^X471)</f>
        <v>0.37009762265987711</v>
      </c>
      <c r="Y475" s="33">
        <f>D494*(1-D492)/D488/((1+G469)^Y471)</f>
        <v>0.34588562865409078</v>
      </c>
      <c r="Z475" s="33">
        <f>D494*(1-D492)/D488/((1+G469)^Z471)</f>
        <v>0.323257596872982</v>
      </c>
      <c r="AA475" s="33">
        <f>D494*(1-D492)/D488/((1+G469)^AA471)</f>
        <v>0.30210990361960938</v>
      </c>
    </row>
    <row r="476" spans="3:27" hidden="1" outlineLevel="1" x14ac:dyDescent="0.3">
      <c r="C476" s="21" t="s">
        <v>32</v>
      </c>
      <c r="D476" s="19">
        <f>分布式光伏电站IRR汇总!$B$8</f>
        <v>1.8870000000000002</v>
      </c>
      <c r="F476" s="6" t="s">
        <v>17</v>
      </c>
      <c r="G476" s="33">
        <f>SUM(H477:AA477)</f>
        <v>2.5425634189238777</v>
      </c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 spans="3:27" hidden="1" outlineLevel="1" x14ac:dyDescent="0.3">
      <c r="C477" s="21" t="s">
        <v>33</v>
      </c>
      <c r="D477" s="19">
        <f>分布式光伏电站IRR汇总!$B$9</f>
        <v>0.18500000000000003</v>
      </c>
      <c r="F477" s="7" t="s">
        <v>18</v>
      </c>
      <c r="G477" s="33"/>
      <c r="H477" s="33">
        <f>D491*D470/((1+G469)^H471)</f>
        <v>0.22429906542056072</v>
      </c>
      <c r="I477" s="33">
        <f>D491*D470/((1+G469)^I471)</f>
        <v>0.20962529478557079</v>
      </c>
      <c r="J477" s="33">
        <f>D491*D470/((1+G469)^J471)</f>
        <v>0.19591149045380446</v>
      </c>
      <c r="K477" s="33">
        <f>D491*D470/((1+G469)^K471)</f>
        <v>0.18309485089140604</v>
      </c>
      <c r="L477" s="33">
        <f>D491*D470/((1+G469)^L471)</f>
        <v>0.17111668307608041</v>
      </c>
      <c r="M477" s="33">
        <f>D491*D470/((1+G469)^M471)</f>
        <v>0.15992213371596301</v>
      </c>
      <c r="N477" s="33">
        <f>D491*D470/((1+G469)^N471)</f>
        <v>0.14945993805230187</v>
      </c>
      <c r="O477" s="33">
        <f>D491*D470/((1+G469)^O471)</f>
        <v>0.13968218509560923</v>
      </c>
      <c r="P477" s="33">
        <f>D491*D470/((1+G469)^P471)</f>
        <v>0.13054409822019553</v>
      </c>
      <c r="Q477" s="33">
        <f>D491*D470/((1+G469)^Q471)</f>
        <v>0.12200383011233226</v>
      </c>
      <c r="R477" s="33">
        <f>D491*D470/((1+G469)^R471)</f>
        <v>0.1140222711330208</v>
      </c>
      <c r="S477" s="33">
        <f>D491*D470/((1+G469)^S471)</f>
        <v>0.10656287021777647</v>
      </c>
      <c r="T477" s="33">
        <f>D491*D470/((1+G469)^T471)</f>
        <v>9.9591467493249028E-2</v>
      </c>
      <c r="U477" s="33">
        <f>D491*D470/((1+G469)^U471)</f>
        <v>9.3076137844157969E-2</v>
      </c>
      <c r="V477" s="33">
        <f>D491*D470/((1+G469)^V471)</f>
        <v>8.6987044714166323E-2</v>
      </c>
      <c r="W477" s="33">
        <f>D491*D470/((1+G469)^W471)</f>
        <v>8.1296303471183481E-2</v>
      </c>
      <c r="X477" s="33">
        <f>D491*D470/((1+G469)^X471)</f>
        <v>7.5977853711386434E-2</v>
      </c>
      <c r="Y477" s="33">
        <f>D491*D470/((1+G469)^Y471)</f>
        <v>7.1007339917183582E-2</v>
      </c>
      <c r="Z477" s="33">
        <f>D491*D470/((1+G469)^Z471)</f>
        <v>6.6361999922601472E-2</v>
      </c>
      <c r="AA477" s="33">
        <f>D491*D470/((1+G469)^AA471)</f>
        <v>6.2020560675328483E-2</v>
      </c>
    </row>
    <row r="478" spans="3:27" hidden="1" outlineLevel="1" x14ac:dyDescent="0.3">
      <c r="C478" s="21" t="s">
        <v>34</v>
      </c>
      <c r="D478" s="19">
        <f>分布式光伏电站IRR汇总!$B$10</f>
        <v>0.222</v>
      </c>
      <c r="F478" s="6" t="s">
        <v>19</v>
      </c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>
        <f>D491*D494/((1+G469)^AA471)</f>
        <v>0.2544083398901974</v>
      </c>
    </row>
    <row r="479" spans="3:27" hidden="1" outlineLevel="1" x14ac:dyDescent="0.3">
      <c r="C479" s="21" t="s">
        <v>35</v>
      </c>
      <c r="D479" s="19">
        <f>分布式光伏电站IRR汇总!$B$11</f>
        <v>0.44400000000000001</v>
      </c>
      <c r="F479" s="8" t="s">
        <v>64</v>
      </c>
      <c r="G479" s="33">
        <f>SUM(H480:AA480)</f>
        <v>74974.448942619012</v>
      </c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 spans="3:27" hidden="1" outlineLevel="1" x14ac:dyDescent="0.3">
      <c r="C480" s="21" t="s">
        <v>36</v>
      </c>
      <c r="D480" s="19">
        <f>分布式光伏电站IRR汇总!$B$12</f>
        <v>0.222</v>
      </c>
      <c r="F480" s="9" t="s">
        <v>65</v>
      </c>
      <c r="G480" s="33"/>
      <c r="H480" s="33">
        <f>D470*D487*(1-D489)*D493/((1+G469)^H471)</f>
        <v>6833.8568971962604</v>
      </c>
      <c r="I480" s="33">
        <f>D470*D487*(1-D489)*(1-D490)^(I471-1)*D493/((1+G469)^I471)</f>
        <v>6358.0416272512875</v>
      </c>
      <c r="J480" s="33">
        <f>D470*D487*(1-D489)*(1-D490)^(J471-1)*D493/((1+G469)^J471)</f>
        <v>5915.355551335193</v>
      </c>
      <c r="K480" s="33">
        <f>D470*D487*(1-D489)*(1-D490)^(K471-1)*D493/((1+G469)^K471)</f>
        <v>5503.4920106113896</v>
      </c>
      <c r="L480" s="33">
        <f>D470*D487*(1-D489)*(1-D490)^(L471-1)*D493/((1+G469)^L471)</f>
        <v>5120.3049500594743</v>
      </c>
      <c r="M480" s="33">
        <f>D470*D487*(1-D489)*(1-D490)^(M471-1)*D493/((1+G469)^M471)</f>
        <v>4763.7977362469228</v>
      </c>
      <c r="N480" s="33">
        <f>D470*D487*(1-D489)*(1-D490)^(N471-1)*D493/((1+G469)^N471)</f>
        <v>4432.1127536764598</v>
      </c>
      <c r="O480" s="33">
        <f>D470*D487*(1-D489)*(1-D490)^(O471-1)*D493/((1+G469)^O471)</f>
        <v>4123.5217254999206</v>
      </c>
      <c r="P480" s="33">
        <f>D470*D487*(1-D489)*(1-D490)^(P471-1)*D493/((1+G469)^P471)</f>
        <v>3836.4167081637115</v>
      </c>
      <c r="Q480" s="33">
        <f>D470*D487*(1-D489)*(1-D490)^(Q471-1)*D493/((1+G469)^Q471)</f>
        <v>3569.301713062594</v>
      </c>
      <c r="R480" s="33">
        <f>D470*D487*(1-D489)*(1-D490)^(R471-1)*D493/((1+G469)^R471)</f>
        <v>3320.7849115456183</v>
      </c>
      <c r="S480" s="33">
        <f>D470*D487*(1-D489)*(1-D490)^(S471-1)*D493/((1+G469)^S471)</f>
        <v>3089.5713826576298</v>
      </c>
      <c r="T480" s="33">
        <f>D470*D487*(1-D489)*(1-D490)^(T471-1)*D493/((1+G469)^T471)</f>
        <v>2874.4563658277293</v>
      </c>
      <c r="U480" s="33">
        <f>D470*D487*(1-D489)*(1-D490)^(U471-1)*D493/((1+G469)^U471)</f>
        <v>2674.3189833472011</v>
      </c>
      <c r="V480" s="33">
        <f>D470*D487*(1-D489)*(1-D490)^(V471-1)*D493/((1+G469)^V471)</f>
        <v>2488.1163999272321</v>
      </c>
      <c r="W480" s="33">
        <f>D470*D487*(1-D489)*(1-D490)^(W471-1)*D493/((1+G469)^W471)</f>
        <v>2314.8783889042616</v>
      </c>
      <c r="X480" s="33">
        <f>D470*D487*(1-D489)*(1-D490)^(X471-1)*D493/((1+G469)^X471)</f>
        <v>2153.7022767796193</v>
      </c>
      <c r="Y480" s="33">
        <f>D470*D487*(1-D489)*(1-D490)^(Y471-1)*D493/((1+G469)^Y471)</f>
        <v>2003.7482397515055</v>
      </c>
      <c r="Z480" s="33">
        <f>D470*D487*(1-D489)*(1-D490)^(Z471-1)*D493/((1+G469)^Z471)</f>
        <v>1864.2349277314242</v>
      </c>
      <c r="AA480" s="33">
        <f>D470*D487*(1-D489)*(1-D490)^(AA471-1)*D493/((1+G469)^AA471)</f>
        <v>1734.4353930435825</v>
      </c>
    </row>
    <row r="481" spans="3:27" hidden="1" outlineLevel="1" x14ac:dyDescent="0.3">
      <c r="C481" s="21" t="s">
        <v>37</v>
      </c>
      <c r="D481" s="19">
        <f>分布式光伏电站IRR汇总!$B$13</f>
        <v>0.15</v>
      </c>
      <c r="F481" s="4" t="s">
        <v>66</v>
      </c>
      <c r="G481" s="33">
        <f>SUM(H482:AA482)</f>
        <v>31.159755852797186</v>
      </c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 spans="3:27" hidden="1" outlineLevel="1" x14ac:dyDescent="0.3">
      <c r="C482" s="21" t="s">
        <v>38</v>
      </c>
      <c r="D482" s="19">
        <f>分布式光伏电站IRR汇总!$B$14</f>
        <v>3.7000000000000005E-2</v>
      </c>
      <c r="F482" s="7" t="s">
        <v>67</v>
      </c>
      <c r="G482" s="33"/>
      <c r="H482" s="33">
        <f>H480*D498/1000</f>
        <v>2.840185095759252</v>
      </c>
      <c r="I482" s="33">
        <f>I480*D498/1000</f>
        <v>2.6424338904937712</v>
      </c>
      <c r="J482" s="33">
        <f>J480*D498/1000</f>
        <v>2.458451343912663</v>
      </c>
      <c r="K482" s="33">
        <f>K480*D498/1000</f>
        <v>2.2872787970701465</v>
      </c>
      <c r="L482" s="33">
        <f>L480*D498/1000</f>
        <v>2.1280243387694675</v>
      </c>
      <c r="M482" s="33">
        <f>M480*D498/1000</f>
        <v>1.9798581581729024</v>
      </c>
      <c r="N482" s="33">
        <f>N480*D498/1000</f>
        <v>1.842008220991705</v>
      </c>
      <c r="O482" s="33">
        <f>O480*D498/1000</f>
        <v>1.7137562467263945</v>
      </c>
      <c r="P482" s="33">
        <f>P480*D498/1000</f>
        <v>1.5944339659963793</v>
      </c>
      <c r="Q482" s="33">
        <f>Q480*D498/1000</f>
        <v>1.4834196384573792</v>
      </c>
      <c r="R482" s="33">
        <f>R480*D498/1000</f>
        <v>1.3801348131629168</v>
      </c>
      <c r="S482" s="33">
        <f>S480*D498/1000</f>
        <v>1.2840413144894243</v>
      </c>
      <c r="T482" s="33">
        <f>T480*D498/1000</f>
        <v>1.1946384379198334</v>
      </c>
      <c r="U482" s="33">
        <f>U480*D498/1000</f>
        <v>1.1114603410740136</v>
      </c>
      <c r="V482" s="33">
        <f>V480*D498/1000</f>
        <v>1.0340736163917572</v>
      </c>
      <c r="W482" s="33">
        <f>W480*D498/1000</f>
        <v>0.96207503282055562</v>
      </c>
      <c r="X482" s="33">
        <f>X480*D498/1000</f>
        <v>0.89508943474099378</v>
      </c>
      <c r="Y482" s="33">
        <f>Y480*D498/1000</f>
        <v>0.83276778718192446</v>
      </c>
      <c r="Z482" s="33">
        <f>Z480*D498/1000</f>
        <v>0.77478535713981855</v>
      </c>
      <c r="AA482" s="33">
        <f>AA480*D498/1000</f>
        <v>0.72084002152587812</v>
      </c>
    </row>
    <row r="483" spans="3:27" hidden="1" outlineLevel="1" x14ac:dyDescent="0.3">
      <c r="C483" s="21" t="s">
        <v>39</v>
      </c>
      <c r="D483" s="19">
        <f>分布式光伏电站IRR汇总!$B$15</f>
        <v>0.25900000000000006</v>
      </c>
      <c r="F483" s="4" t="s">
        <v>20</v>
      </c>
      <c r="G483" s="33">
        <f>SUM(H484:V484)</f>
        <v>3.5351274580522167</v>
      </c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 spans="3:27" hidden="1" outlineLevel="1" x14ac:dyDescent="0.3">
      <c r="C484" s="21" t="s">
        <v>40</v>
      </c>
      <c r="D484" s="19">
        <f>分布式光伏电站IRR汇总!$B$16</f>
        <v>7.400000000000001E-2</v>
      </c>
      <c r="F484" s="7" t="s">
        <v>21</v>
      </c>
      <c r="G484" s="33"/>
      <c r="H484" s="33">
        <f>(H482-H475-H477)*G470</f>
        <v>0.38082431132299066</v>
      </c>
      <c r="I484" s="33">
        <f>(I482-I475-I477)*G470</f>
        <v>0.35292439541145931</v>
      </c>
      <c r="J484" s="33">
        <f>(J482-J475-J477)*G470</f>
        <v>0.32705762363051766</v>
      </c>
      <c r="K484" s="33">
        <f>(K482-K475-K477)*G470</f>
        <v>0.30307651015758513</v>
      </c>
      <c r="L484" s="33">
        <f>(L482-L475-L477)*G470</f>
        <v>0.28084422571110379</v>
      </c>
      <c r="M484" s="33">
        <f>(M482-M475-M477)*G470</f>
        <v>0.26023383021494234</v>
      </c>
      <c r="N484" s="33">
        <f>(N482-N475-N477)*G470</f>
        <v>0.24112756054859613</v>
      </c>
      <c r="O484" s="33">
        <f>(O482-O475-O477)*G470</f>
        <v>0.22341616943923401</v>
      </c>
      <c r="P484" s="33">
        <f>(P482-P475-P477)*G470</f>
        <v>0.20699831183333353</v>
      </c>
      <c r="Q484" s="33">
        <f>(Q482-Q475-Q477)*G470</f>
        <v>0.19177997534727814</v>
      </c>
      <c r="R484" s="33">
        <f>(R482-R475-R477)*G470</f>
        <v>0.17767395163926505</v>
      </c>
      <c r="S484" s="33">
        <f>(S482-S475-S477)*G470</f>
        <v>0.16459934577052041</v>
      </c>
      <c r="T484" s="33">
        <f>(T482-T475-T477)*G470</f>
        <v>0.15248112083338297</v>
      </c>
      <c r="U484" s="33">
        <f>(U482-U475-U477)*G470</f>
        <v>0.14124967531843291</v>
      </c>
      <c r="V484" s="33">
        <f>(V482-V475-V477)*G470</f>
        <v>0.1308404508735744</v>
      </c>
      <c r="W484" s="33">
        <f>(W482-W475-W477)*G470</f>
        <v>0.12119356827582591</v>
      </c>
      <c r="X484" s="33">
        <f>(X482-X475-X477)*G470</f>
        <v>0.11225348959243256</v>
      </c>
      <c r="Y484" s="33">
        <f>(Y482-Y475-Y477)*G470</f>
        <v>0.10396870465266253</v>
      </c>
      <c r="Z484" s="33">
        <f>(Z482-Z475-Z477)*G470</f>
        <v>9.6291440086058777E-2</v>
      </c>
      <c r="AA484" s="33">
        <f>(AA482-AA475-AA477)*G470</f>
        <v>8.9177389307735069E-2</v>
      </c>
    </row>
    <row r="485" spans="3:27" hidden="1" outlineLevel="1" x14ac:dyDescent="0.3">
      <c r="C485" s="21" t="s">
        <v>41</v>
      </c>
      <c r="D485" s="19">
        <f>分布式光伏电站IRR汇总!$B$17</f>
        <v>0.222</v>
      </c>
      <c r="F485" s="10" t="s">
        <v>22</v>
      </c>
      <c r="G485" s="33">
        <f>-G473</f>
        <v>-24.611999999999995</v>
      </c>
      <c r="H485" s="33">
        <f t="shared" ref="H485:AA485" si="110">H482-H484-H477</f>
        <v>2.2350617190157007</v>
      </c>
      <c r="I485" s="33">
        <f t="shared" si="110"/>
        <v>2.0798842002967408</v>
      </c>
      <c r="J485" s="33">
        <f t="shared" si="110"/>
        <v>1.9354822298283407</v>
      </c>
      <c r="K485" s="33">
        <f t="shared" si="110"/>
        <v>1.8011074360211552</v>
      </c>
      <c r="L485" s="33">
        <f t="shared" si="110"/>
        <v>1.6760634299822834</v>
      </c>
      <c r="M485" s="33">
        <f t="shared" si="110"/>
        <v>1.5597021942419971</v>
      </c>
      <c r="N485" s="33">
        <f t="shared" si="110"/>
        <v>1.4514207223908071</v>
      </c>
      <c r="O485" s="33">
        <f t="shared" si="110"/>
        <v>1.3506578921915513</v>
      </c>
      <c r="P485" s="33">
        <f t="shared" si="110"/>
        <v>1.2568915559428502</v>
      </c>
      <c r="Q485" s="33">
        <f t="shared" si="110"/>
        <v>1.1696358329977687</v>
      </c>
      <c r="R485" s="33">
        <f t="shared" si="110"/>
        <v>1.0884385903906308</v>
      </c>
      <c r="S485" s="33">
        <f t="shared" si="110"/>
        <v>1.0128790985011273</v>
      </c>
      <c r="T485" s="33">
        <f t="shared" si="110"/>
        <v>0.94256584959320144</v>
      </c>
      <c r="U485" s="33">
        <f t="shared" si="110"/>
        <v>0.87713452791142266</v>
      </c>
      <c r="V485" s="33">
        <f t="shared" si="110"/>
        <v>0.81624612080401648</v>
      </c>
      <c r="W485" s="33">
        <f t="shared" si="110"/>
        <v>0.75958516107354623</v>
      </c>
      <c r="X485" s="33">
        <f t="shared" si="110"/>
        <v>0.70685809143717482</v>
      </c>
      <c r="Y485" s="33">
        <f t="shared" si="110"/>
        <v>0.6577917426120784</v>
      </c>
      <c r="Z485" s="33">
        <f t="shared" si="110"/>
        <v>0.61213191713115833</v>
      </c>
      <c r="AA485" s="33">
        <f t="shared" si="110"/>
        <v>0.56964207154281454</v>
      </c>
    </row>
    <row r="486" spans="3:27" ht="13.5" hidden="1" outlineLevel="1" thickBot="1" x14ac:dyDescent="0.35">
      <c r="C486" s="21" t="s">
        <v>74</v>
      </c>
      <c r="D486" s="19">
        <f>分布式光伏电站IRR汇总!$B$18</f>
        <v>0.4</v>
      </c>
      <c r="F486" s="3" t="s">
        <v>61</v>
      </c>
      <c r="G486" s="35">
        <f>SUM(G485:AA485)/G473</f>
        <v>-2.1460919914524381E-3</v>
      </c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3:27" ht="13.5" hidden="1" outlineLevel="1" thickTop="1" x14ac:dyDescent="0.3">
      <c r="C487" s="18" t="s">
        <v>58</v>
      </c>
      <c r="D487" s="19">
        <f>分布式光伏电站IRR汇总!$B$19</f>
        <v>0.86599999999999999</v>
      </c>
    </row>
    <row r="488" spans="3:27" hidden="1" outlineLevel="1" x14ac:dyDescent="0.3">
      <c r="C488" s="18" t="s">
        <v>62</v>
      </c>
      <c r="D488" s="19">
        <f>分布式光伏电站IRR汇总!$B$20</f>
        <v>20</v>
      </c>
      <c r="F488" s="13" t="s">
        <v>25</v>
      </c>
      <c r="G488" s="14">
        <v>0</v>
      </c>
    </row>
    <row r="489" spans="3:27" hidden="1" outlineLevel="1" x14ac:dyDescent="0.3">
      <c r="C489" s="18" t="s">
        <v>59</v>
      </c>
      <c r="D489" s="52">
        <f>分布式光伏电站IRR汇总!$B$21</f>
        <v>0.02</v>
      </c>
      <c r="F489" s="13" t="s">
        <v>26</v>
      </c>
      <c r="G489" s="14">
        <v>0.25</v>
      </c>
      <c r="Q489" s="15"/>
    </row>
    <row r="490" spans="3:27" hidden="1" outlineLevel="1" x14ac:dyDescent="0.3">
      <c r="C490" s="18" t="s">
        <v>60</v>
      </c>
      <c r="D490" s="52">
        <f>分布式光伏电站IRR汇总!$B$22</f>
        <v>4.4999999999999997E-3</v>
      </c>
      <c r="F490" s="1" t="s">
        <v>44</v>
      </c>
      <c r="G490" s="4"/>
      <c r="H490" s="5">
        <v>1</v>
      </c>
      <c r="I490" s="5">
        <v>2</v>
      </c>
      <c r="J490" s="5">
        <v>3</v>
      </c>
      <c r="K490" s="5">
        <v>4</v>
      </c>
      <c r="L490" s="5">
        <v>5</v>
      </c>
      <c r="M490" s="5">
        <v>6</v>
      </c>
      <c r="N490" s="5">
        <v>7</v>
      </c>
      <c r="O490" s="5">
        <v>8</v>
      </c>
      <c r="P490" s="5">
        <v>9</v>
      </c>
      <c r="Q490" s="5">
        <v>10</v>
      </c>
      <c r="R490" s="5">
        <v>11</v>
      </c>
      <c r="S490" s="5">
        <v>12</v>
      </c>
      <c r="T490" s="5">
        <v>13</v>
      </c>
      <c r="U490" s="5">
        <v>14</v>
      </c>
      <c r="V490" s="5">
        <v>15</v>
      </c>
      <c r="W490" s="5">
        <v>16</v>
      </c>
      <c r="X490" s="5">
        <v>17</v>
      </c>
      <c r="Y490" s="5">
        <v>18</v>
      </c>
      <c r="Z490" s="5">
        <v>19</v>
      </c>
      <c r="AA490" s="5">
        <v>20</v>
      </c>
    </row>
    <row r="491" spans="3:27" hidden="1" outlineLevel="1" x14ac:dyDescent="0.3">
      <c r="C491" s="18" t="s">
        <v>28</v>
      </c>
      <c r="D491" s="29">
        <f>分布式光伏电站IRR汇总!$B$23</f>
        <v>0.04</v>
      </c>
      <c r="F491" s="16"/>
      <c r="G491" s="2" t="s">
        <v>0</v>
      </c>
      <c r="H491" s="2" t="s">
        <v>1</v>
      </c>
      <c r="I491" s="2" t="s">
        <v>2</v>
      </c>
      <c r="J491" s="2" t="s">
        <v>3</v>
      </c>
      <c r="K491" s="2" t="s">
        <v>4</v>
      </c>
      <c r="L491" s="2" t="s">
        <v>5</v>
      </c>
      <c r="M491" s="2" t="s">
        <v>6</v>
      </c>
      <c r="N491" s="2" t="s">
        <v>7</v>
      </c>
      <c r="O491" s="2" t="s">
        <v>8</v>
      </c>
      <c r="P491" s="2" t="s">
        <v>9</v>
      </c>
      <c r="Q491" s="2" t="s">
        <v>10</v>
      </c>
      <c r="R491" s="2" t="s">
        <v>11</v>
      </c>
      <c r="S491" s="2" t="s">
        <v>12</v>
      </c>
      <c r="T491" s="2" t="s">
        <v>13</v>
      </c>
      <c r="U491" s="2" t="s">
        <v>45</v>
      </c>
      <c r="V491" s="2" t="s">
        <v>46</v>
      </c>
      <c r="W491" s="2" t="s">
        <v>47</v>
      </c>
      <c r="X491" s="2" t="s">
        <v>48</v>
      </c>
      <c r="Y491" s="2" t="s">
        <v>49</v>
      </c>
      <c r="Z491" s="2" t="s">
        <v>50</v>
      </c>
      <c r="AA491" s="2" t="s">
        <v>51</v>
      </c>
    </row>
    <row r="492" spans="3:27" hidden="1" outlineLevel="1" x14ac:dyDescent="0.3">
      <c r="C492" s="18" t="s">
        <v>43</v>
      </c>
      <c r="D492" s="19">
        <f>分布式光伏电站IRR汇总!$B$24</f>
        <v>0.05</v>
      </c>
      <c r="F492" s="6" t="s">
        <v>14</v>
      </c>
      <c r="G492" s="33">
        <f>D494</f>
        <v>24.611999999999995</v>
      </c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 spans="3:27" hidden="1" outlineLevel="1" x14ac:dyDescent="0.3">
      <c r="C493" s="18" t="s">
        <v>126</v>
      </c>
      <c r="D493" s="28">
        <f>Backup分地区光伏小时数及电价!E11</f>
        <v>1436</v>
      </c>
      <c r="F493" s="6" t="s">
        <v>15</v>
      </c>
      <c r="G493" s="33">
        <f>SUM(H494:AA494)</f>
        <v>23.381399999999985</v>
      </c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 spans="3:27" hidden="1" outlineLevel="1" x14ac:dyDescent="0.3">
      <c r="C494" s="24" t="s">
        <v>14</v>
      </c>
      <c r="D494" s="30">
        <f>D470*D475</f>
        <v>24.611999999999995</v>
      </c>
      <c r="F494" s="7" t="s">
        <v>16</v>
      </c>
      <c r="G494" s="33"/>
      <c r="H494" s="33">
        <f>D494*(1-D492)/D488/((1+G488)^H490)</f>
        <v>1.1690699999999996</v>
      </c>
      <c r="I494" s="33">
        <f>D494*(1-D492)/D488/((1+G488)^I490)</f>
        <v>1.1690699999999996</v>
      </c>
      <c r="J494" s="33">
        <f>D494*(1-D492)/D488/((1+G488)^J490)</f>
        <v>1.1690699999999996</v>
      </c>
      <c r="K494" s="33">
        <f>D494*(1-D492)/D488/((1+G488)^K490)</f>
        <v>1.1690699999999996</v>
      </c>
      <c r="L494" s="33">
        <f>D494*(1-D492)/D488/((1+G488)^L490)</f>
        <v>1.1690699999999996</v>
      </c>
      <c r="M494" s="33">
        <f>D494*(1-D492)/D488/((1+G488)^M490)</f>
        <v>1.1690699999999996</v>
      </c>
      <c r="N494" s="33">
        <f>D494*(1-D492)/D488/((1+G488)^N490)</f>
        <v>1.1690699999999996</v>
      </c>
      <c r="O494" s="33">
        <f>D494*(1-D492)/D488/((1+G488)^O490)</f>
        <v>1.1690699999999996</v>
      </c>
      <c r="P494" s="33">
        <f>D494*(1-D492)/D488/((1+G488)^P490)</f>
        <v>1.1690699999999996</v>
      </c>
      <c r="Q494" s="33">
        <f>D494*(1-D492)/D488/((1+G488)^Q490)</f>
        <v>1.1690699999999996</v>
      </c>
      <c r="R494" s="33">
        <f>D494*(1-D492)/D488/((1+G488)^R490)</f>
        <v>1.1690699999999996</v>
      </c>
      <c r="S494" s="33">
        <f>D494*(1-D492)/D488/((1+G488)^S490)</f>
        <v>1.1690699999999996</v>
      </c>
      <c r="T494" s="33">
        <f>D494*(1-D492)/D488/((1+G488)^T490)</f>
        <v>1.1690699999999996</v>
      </c>
      <c r="U494" s="33">
        <f>D494*(1-D492)/D488/((1+G488)^U490)</f>
        <v>1.1690699999999996</v>
      </c>
      <c r="V494" s="33">
        <f>D494*(1-D492)/D488/((1+G488)^V490)</f>
        <v>1.1690699999999996</v>
      </c>
      <c r="W494" s="33">
        <f>D494*(1-D492)/D488/((1+G488)^W490)</f>
        <v>1.1690699999999996</v>
      </c>
      <c r="X494" s="33">
        <f>D494*(1-D492)/D488/((1+G488)^X490)</f>
        <v>1.1690699999999996</v>
      </c>
      <c r="Y494" s="33">
        <f>D494*(1-D492)/D488/((1+G488)^Y490)</f>
        <v>1.1690699999999996</v>
      </c>
      <c r="Z494" s="33">
        <f>D494*(1-D492)/D488/((1+G488)^Z490)</f>
        <v>1.1690699999999996</v>
      </c>
      <c r="AA494" s="33">
        <f>D494*(1-D492)/D488/((1+G488)^AA490)</f>
        <v>1.1690699999999996</v>
      </c>
    </row>
    <row r="495" spans="3:27" hidden="1" outlineLevel="1" x14ac:dyDescent="0.3">
      <c r="C495" s="18" t="s">
        <v>29</v>
      </c>
      <c r="D495" s="29">
        <v>0.35980000000000001</v>
      </c>
      <c r="F495" s="6" t="s">
        <v>17</v>
      </c>
      <c r="G495" s="33">
        <f>SUM(H496:AA496)</f>
        <v>4.8000000000000025</v>
      </c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 spans="3:27" hidden="1" outlineLevel="1" x14ac:dyDescent="0.3">
      <c r="C496" s="18" t="s">
        <v>30</v>
      </c>
      <c r="D496" s="31">
        <f>Backup分地区光伏小时数及电价!I11</f>
        <v>0.415605</v>
      </c>
      <c r="F496" s="7" t="s">
        <v>18</v>
      </c>
      <c r="G496" s="33"/>
      <c r="H496" s="33">
        <f>D491*D470/((1+G488)^H490)</f>
        <v>0.24</v>
      </c>
      <c r="I496" s="33">
        <f>D491*D470/((1+G488)^I490)</f>
        <v>0.24</v>
      </c>
      <c r="J496" s="33">
        <f>D491*D470/((1+G488)^J490)</f>
        <v>0.24</v>
      </c>
      <c r="K496" s="33">
        <f>D491*D470/((1+G488)^K490)</f>
        <v>0.24</v>
      </c>
      <c r="L496" s="33">
        <f>D491*D470/((1+G488)^L490)</f>
        <v>0.24</v>
      </c>
      <c r="M496" s="33">
        <f>D491*D470/((1+G488)^M490)</f>
        <v>0.24</v>
      </c>
      <c r="N496" s="33">
        <f>D491*D470/((1+G488)^N490)</f>
        <v>0.24</v>
      </c>
      <c r="O496" s="33">
        <f>D491*D470/((1+G488)^O490)</f>
        <v>0.24</v>
      </c>
      <c r="P496" s="33">
        <f>D491*D470/((1+G488)^P490)</f>
        <v>0.24</v>
      </c>
      <c r="Q496" s="33">
        <f>D491*D470/((1+G488)^Q490)</f>
        <v>0.24</v>
      </c>
      <c r="R496" s="33">
        <f>D491*D470/((1+G488)^R490)</f>
        <v>0.24</v>
      </c>
      <c r="S496" s="33">
        <f>D491*D470/((1+G488)^S490)</f>
        <v>0.24</v>
      </c>
      <c r="T496" s="33">
        <f>D491*D470/((1+G488)^T490)</f>
        <v>0.24</v>
      </c>
      <c r="U496" s="33">
        <f>D491*D470/((1+G488)^U490)</f>
        <v>0.24</v>
      </c>
      <c r="V496" s="33">
        <f>D491*D470/((1+G488)^V490)</f>
        <v>0.24</v>
      </c>
      <c r="W496" s="33">
        <f>D491*D470/((1+G488)^W490)</f>
        <v>0.24</v>
      </c>
      <c r="X496" s="33">
        <f>D491*D470/((1+G488)^X490)</f>
        <v>0.24</v>
      </c>
      <c r="Y496" s="33">
        <f>D491*D470/((1+G488)^Y490)</f>
        <v>0.24</v>
      </c>
      <c r="Z496" s="33">
        <f>D491*D470/((1+G488)^Z490)</f>
        <v>0.24</v>
      </c>
      <c r="AA496" s="33">
        <f>D491*D470/((1+G488)^AA490)</f>
        <v>0.24</v>
      </c>
    </row>
    <row r="497" spans="2:27" hidden="1" outlineLevel="1" x14ac:dyDescent="0.3">
      <c r="C497" s="18" t="s">
        <v>70</v>
      </c>
      <c r="D497" s="32">
        <f>分布式光伏电站IRR汇总!$B$27</f>
        <v>1</v>
      </c>
      <c r="F497" s="6" t="s">
        <v>19</v>
      </c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>
        <f>D491*D494/((1+G488)^AA490)</f>
        <v>0.9844799999999998</v>
      </c>
    </row>
    <row r="498" spans="2:27" hidden="1" outlineLevel="1" x14ac:dyDescent="0.3">
      <c r="C498" s="18" t="s">
        <v>69</v>
      </c>
      <c r="D498" s="31">
        <f>D497*D496</f>
        <v>0.415605</v>
      </c>
      <c r="F498" s="8" t="s">
        <v>64</v>
      </c>
      <c r="G498" s="33">
        <f>SUM(H499:AA499)</f>
        <v>140158.20399234619</v>
      </c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 spans="2:27" hidden="1" outlineLevel="1" x14ac:dyDescent="0.3">
      <c r="C499" s="18" t="s">
        <v>31</v>
      </c>
      <c r="D499" s="27">
        <v>0</v>
      </c>
      <c r="F499" s="9" t="s">
        <v>65</v>
      </c>
      <c r="G499" s="33"/>
      <c r="H499" s="33">
        <f>D470*D487*(1-D489)*D493/((1+G488)^H490)</f>
        <v>7312.2268799999993</v>
      </c>
      <c r="I499" s="33">
        <f>D470*D487*(1-D489)*(1-D490)^(I490-1)*D493/((1+G488)^I490)</f>
        <v>7279.3218590399993</v>
      </c>
      <c r="J499" s="33">
        <f>D470*D487*(1-D489)*(1-D490)^(J490-1)*D493/((1+G488)^J490)</f>
        <v>7246.5649106743194</v>
      </c>
      <c r="K499" s="33">
        <f>D470*D487*(1-D489)*(1-D490)^(K490-1)*D493/((1+G488)^K490)</f>
        <v>7213.9553685762867</v>
      </c>
      <c r="L499" s="33">
        <f>D470*D487*(1-D489)*(1-D490)^(L490-1)*D493/((1+G488)^L490)</f>
        <v>7181.4925694176936</v>
      </c>
      <c r="M499" s="33">
        <f>D470*D487*(1-D489)*(1-D490)^(M490-1)*D493/((1+G488)^M490)</f>
        <v>7149.1758528553146</v>
      </c>
      <c r="N499" s="33">
        <f>D470*D487*(1-D489)*(1-D490)^(N490-1)*D493/((1+G488)^N490)</f>
        <v>7117.0045615174658</v>
      </c>
      <c r="O499" s="33">
        <f>D470*D487*(1-D489)*(1-D490)^(O490-1)*D493/((1+G488)^O490)</f>
        <v>7084.9780409906371</v>
      </c>
      <c r="P499" s="33">
        <f>D470*D487*(1-D489)*(1-D490)^(P490-1)*D493/((1+G488)^P490)</f>
        <v>7053.0956398061799</v>
      </c>
      <c r="Q499" s="33">
        <f>D470*D487*(1-D489)*(1-D490)^(Q490-1)*D493/((1+G488)^Q490)</f>
        <v>7021.3567094270529</v>
      </c>
      <c r="R499" s="33">
        <f>D470*D487*(1-D489)*(1-D490)^(R490-1)*D493/((1+G488)^R490)</f>
        <v>6989.7606042346315</v>
      </c>
      <c r="S499" s="33">
        <f>D470*D487*(1-D489)*(1-D490)^(S490-1)*D493/((1+G488)^S490)</f>
        <v>6958.3066815155753</v>
      </c>
      <c r="T499" s="33">
        <f>D470*D487*(1-D489)*(1-D490)^(T490-1)*D493/((1+G488)^T490)</f>
        <v>6926.9943014487562</v>
      </c>
      <c r="U499" s="33">
        <f>D470*D487*(1-D489)*(1-D490)^(U490-1)*D493/((1+G488)^U490)</f>
        <v>6895.8228270922373</v>
      </c>
      <c r="V499" s="33">
        <f>D470*D487*(1-D489)*(1-D490)^(V490-1)*D493/((1+G488)^V490)</f>
        <v>6864.7916243703221</v>
      </c>
      <c r="W499" s="33">
        <f>D470*D487*(1-D489)*(1-D490)^(W490-1)*D493/((1+G488)^W490)</f>
        <v>6833.9000620606566</v>
      </c>
      <c r="X499" s="33">
        <f>D470*D487*(1-D489)*(1-D490)^(X490-1)*D493/((1+G488)^X490)</f>
        <v>6803.1475117813843</v>
      </c>
      <c r="Y499" s="33">
        <f>D470*D487*(1-D489)*(1-D490)^(Y490-1)*D493/((1+G488)^Y490)</f>
        <v>6772.5333479783676</v>
      </c>
      <c r="Z499" s="33">
        <f>D470*D487*(1-D489)*(1-D490)^(Z490-1)*D493/((1+G488)^Z490)</f>
        <v>6742.0569479124661</v>
      </c>
      <c r="AA499" s="33">
        <f>D470*D487*(1-D489)*(1-D490)^(AA490-1)*D493/((1+G488)^AA490)</f>
        <v>6711.7176916468607</v>
      </c>
    </row>
    <row r="500" spans="2:27" hidden="1" outlineLevel="1" x14ac:dyDescent="0.3">
      <c r="F500" s="4" t="s">
        <v>66</v>
      </c>
      <c r="G500" s="33">
        <f>SUM(H501:AA501)</f>
        <v>58.250450370239037</v>
      </c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 spans="2:27" hidden="1" outlineLevel="1" x14ac:dyDescent="0.3">
      <c r="F501" s="7" t="s">
        <v>67</v>
      </c>
      <c r="G501" s="33"/>
      <c r="H501" s="33">
        <f>H499*D498/1000</f>
        <v>3.0389980524623996</v>
      </c>
      <c r="I501" s="33">
        <f>I499*D498/1000</f>
        <v>3.0253225612263193</v>
      </c>
      <c r="J501" s="33">
        <f>J499*D498/1000</f>
        <v>3.0117086097008006</v>
      </c>
      <c r="K501" s="33">
        <f>K499*D498/1000</f>
        <v>2.998155920957148</v>
      </c>
      <c r="L501" s="33">
        <f>L499*D498/1000</f>
        <v>2.9846642193128403</v>
      </c>
      <c r="M501" s="33">
        <f>M499*D498/1000</f>
        <v>2.9712332303259332</v>
      </c>
      <c r="N501" s="33">
        <f>N499*D498/1000</f>
        <v>2.9578626807894666</v>
      </c>
      <c r="O501" s="33">
        <f>O499*D498/1000</f>
        <v>2.9445522987259136</v>
      </c>
      <c r="P501" s="33">
        <f>P499*D498/1000</f>
        <v>2.9313018133816473</v>
      </c>
      <c r="Q501" s="33">
        <f>Q499*D498/1000</f>
        <v>2.9181109552214304</v>
      </c>
      <c r="R501" s="33">
        <f>R499*D498/1000</f>
        <v>2.9049794559229341</v>
      </c>
      <c r="S501" s="33">
        <f>S499*D498/1000</f>
        <v>2.891907048371281</v>
      </c>
      <c r="T501" s="33">
        <f>T499*D498/1000</f>
        <v>2.8788934666536101</v>
      </c>
      <c r="U501" s="33">
        <f>U499*D498/1000</f>
        <v>2.8659384460536694</v>
      </c>
      <c r="V501" s="33">
        <f>V499*D498/1000</f>
        <v>2.8530417230464278</v>
      </c>
      <c r="W501" s="33">
        <f>W499*D498/1000</f>
        <v>2.8402030352927192</v>
      </c>
      <c r="X501" s="33">
        <f>X499*D498/1000</f>
        <v>2.8274221216339024</v>
      </c>
      <c r="Y501" s="33">
        <f>Y499*D498/1000</f>
        <v>2.8146987220865496</v>
      </c>
      <c r="Z501" s="33">
        <f>Z499*D498/1000</f>
        <v>2.8020325778371604</v>
      </c>
      <c r="AA501" s="33">
        <f>AA499*D498/1000</f>
        <v>2.7894234312368935</v>
      </c>
    </row>
    <row r="502" spans="2:27" hidden="1" outlineLevel="1" x14ac:dyDescent="0.3">
      <c r="F502" s="4" t="s">
        <v>20</v>
      </c>
      <c r="G502" s="33">
        <f>SUM(H503:AA503)</f>
        <v>7.5172625925597636</v>
      </c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 spans="2:27" hidden="1" outlineLevel="1" x14ac:dyDescent="0.3">
      <c r="F503" s="7" t="s">
        <v>21</v>
      </c>
      <c r="G503" s="33"/>
      <c r="H503" s="33">
        <f>(H501-H494-H496)*G489</f>
        <v>0.40748201311560001</v>
      </c>
      <c r="I503" s="33">
        <f>(I501-I494-I496)*G489</f>
        <v>0.40406314030657992</v>
      </c>
      <c r="J503" s="33">
        <f>(J501-J494-J496)*G489</f>
        <v>0.40065965242520024</v>
      </c>
      <c r="K503" s="33">
        <f>(K501-K494-K496)*G489</f>
        <v>0.3972714802392871</v>
      </c>
      <c r="L503" s="33">
        <f>(L501-L494-L496)*G489</f>
        <v>0.39389855482821018</v>
      </c>
      <c r="M503" s="33">
        <f>(M501-M494-M496)*G489</f>
        <v>0.39054080758148341</v>
      </c>
      <c r="N503" s="33">
        <f>(N501-N494-N496)*G489</f>
        <v>0.38719817019736674</v>
      </c>
      <c r="O503" s="33">
        <f>(O501-O494-O496)*G489</f>
        <v>0.3838705746814785</v>
      </c>
      <c r="P503" s="33">
        <f>(P501-P494-P496)*G489</f>
        <v>0.38055795334541193</v>
      </c>
      <c r="Q503" s="33">
        <f>(Q501-Q494-Q496)*G489</f>
        <v>0.37726023880535769</v>
      </c>
      <c r="R503" s="33">
        <f>(R501-R494-R496)*G489</f>
        <v>0.37397736398073361</v>
      </c>
      <c r="S503" s="33">
        <f>(S501-S494-S496)*G489</f>
        <v>0.37070926209282035</v>
      </c>
      <c r="T503" s="33">
        <f>(T501-T494-T496)*G489</f>
        <v>0.36745586666340263</v>
      </c>
      <c r="U503" s="33">
        <f>(U501-U494-U496)*G489</f>
        <v>0.36421711151341746</v>
      </c>
      <c r="V503" s="33">
        <f>(V501-V494-V496)*G489</f>
        <v>0.36099293076160704</v>
      </c>
      <c r="W503" s="33">
        <f>(W501-W494-W496)*G489</f>
        <v>0.35778325882317991</v>
      </c>
      <c r="X503" s="33">
        <f>(X501-X494-X496)*G489</f>
        <v>0.3545880304084757</v>
      </c>
      <c r="Y503" s="33">
        <f>(Y501-Y494-Y496)*G489</f>
        <v>0.3514071805216375</v>
      </c>
      <c r="Z503" s="33">
        <f>(Z501-Z494-Z496)*G489</f>
        <v>0.34824064445929021</v>
      </c>
      <c r="AA503" s="33">
        <f>(AA501-AA494-AA496)*G489</f>
        <v>0.34508835780922348</v>
      </c>
    </row>
    <row r="504" spans="2:27" hidden="1" outlineLevel="1" x14ac:dyDescent="0.3">
      <c r="F504" s="10" t="s">
        <v>22</v>
      </c>
      <c r="G504" s="33">
        <f>-G492</f>
        <v>-24.611999999999995</v>
      </c>
      <c r="H504" s="33">
        <f>H501-H503-H496</f>
        <v>2.3915160393467998</v>
      </c>
      <c r="I504" s="33">
        <f t="shared" ref="I504" si="111">I501-I503-I496</f>
        <v>2.3812594209197391</v>
      </c>
      <c r="J504" s="33">
        <f t="shared" ref="J504" si="112">J501-J503-J496</f>
        <v>2.3710489572756002</v>
      </c>
      <c r="K504" s="33">
        <f t="shared" ref="K504" si="113">K501-K503-K496</f>
        <v>2.3608844407178609</v>
      </c>
      <c r="L504" s="33">
        <f t="shared" ref="L504" si="114">L501-L503-L496</f>
        <v>2.35076566448463</v>
      </c>
      <c r="M504" s="33">
        <f t="shared" ref="M504" si="115">M501-M503-M496</f>
        <v>2.3406924227444499</v>
      </c>
      <c r="N504" s="33">
        <f t="shared" ref="N504" si="116">N501-N503-N496</f>
        <v>2.3306645105920998</v>
      </c>
      <c r="O504" s="33">
        <f t="shared" ref="O504" si="117">O501-O503-O496</f>
        <v>2.3206817240444355</v>
      </c>
      <c r="P504" s="33">
        <f t="shared" ref="P504" si="118">P501-P503-P496</f>
        <v>2.3107438600362356</v>
      </c>
      <c r="Q504" s="33">
        <f t="shared" ref="Q504" si="119">Q501-Q503-Q496</f>
        <v>2.3008507164160727</v>
      </c>
      <c r="R504" s="33">
        <f t="shared" ref="R504" si="120">R501-R503-R496</f>
        <v>2.2910020919422003</v>
      </c>
      <c r="S504" s="33">
        <f t="shared" ref="S504" si="121">S501-S503-S496</f>
        <v>2.2811977862784607</v>
      </c>
      <c r="T504" s="33">
        <f t="shared" ref="T504" si="122">T501-T503-T496</f>
        <v>2.2714375999902074</v>
      </c>
      <c r="U504" s="33">
        <f t="shared" ref="U504" si="123">U501-U503-U496</f>
        <v>2.261721334540252</v>
      </c>
      <c r="V504" s="33">
        <f t="shared" ref="V504" si="124">V501-V503-V496</f>
        <v>2.2520487922848211</v>
      </c>
      <c r="W504" s="33">
        <f t="shared" ref="W504" si="125">W501-W503-W496</f>
        <v>2.2424197764695393</v>
      </c>
      <c r="X504" s="33">
        <f t="shared" ref="X504" si="126">X501-X503-X496</f>
        <v>2.2328340912254268</v>
      </c>
      <c r="Y504" s="33">
        <f t="shared" ref="Y504" si="127">Y501-Y503-Y496</f>
        <v>2.2232915415649117</v>
      </c>
      <c r="Z504" s="33">
        <f t="shared" ref="Z504" si="128">Z501-Z503-Z496</f>
        <v>2.2137919333778706</v>
      </c>
      <c r="AA504" s="33">
        <f t="shared" ref="AA504" si="129">AA501-AA503-AA496</f>
        <v>2.2043350734276697</v>
      </c>
    </row>
    <row r="505" spans="2:27" ht="13.5" hidden="1" outlineLevel="1" thickBot="1" x14ac:dyDescent="0.35">
      <c r="F505" s="3" t="s">
        <v>68</v>
      </c>
      <c r="G505" s="40">
        <f>IRR(G504:AA504)</f>
        <v>6.9719372693104242E-2</v>
      </c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2:27" ht="13.5" collapsed="1" thickTop="1" x14ac:dyDescent="0.3"/>
    <row r="507" spans="2:27" x14ac:dyDescent="0.3">
      <c r="B507" s="11" t="s">
        <v>147</v>
      </c>
      <c r="C507" s="11" t="s">
        <v>52</v>
      </c>
    </row>
    <row r="508" spans="2:27" x14ac:dyDescent="0.3">
      <c r="C508" s="11" t="s">
        <v>141</v>
      </c>
      <c r="D508" s="54">
        <f>D539</f>
        <v>1387</v>
      </c>
    </row>
    <row r="509" spans="2:27" x14ac:dyDescent="0.3">
      <c r="C509" s="16" t="s">
        <v>78</v>
      </c>
      <c r="D509" s="37">
        <f>(G538+G541+G548)/G544*1000</f>
        <v>0.26912040509507668</v>
      </c>
    </row>
    <row r="510" spans="2:27" x14ac:dyDescent="0.3">
      <c r="C510" s="13" t="s">
        <v>77</v>
      </c>
      <c r="D510" s="39">
        <f>(G519+G522+G529)/G525*1000</f>
        <v>0.4206187802284575</v>
      </c>
    </row>
    <row r="511" spans="2:27" x14ac:dyDescent="0.3">
      <c r="C511" s="13" t="s">
        <v>61</v>
      </c>
      <c r="D511" s="36">
        <f>G532</f>
        <v>-3.4546467478914669E-2</v>
      </c>
    </row>
    <row r="512" spans="2:27" x14ac:dyDescent="0.3">
      <c r="C512" s="13" t="s">
        <v>73</v>
      </c>
      <c r="D512" s="25">
        <f>SUM(G531:AA531)</f>
        <v>-0.85025765759104766</v>
      </c>
    </row>
    <row r="513" spans="3:27" ht="13.5" thickBot="1" x14ac:dyDescent="0.35">
      <c r="C513" s="23" t="s">
        <v>68</v>
      </c>
      <c r="D513" s="26">
        <f>G551</f>
        <v>6.545050928619589E-2</v>
      </c>
    </row>
    <row r="514" spans="3:27" ht="13.5" hidden="1" outlineLevel="1" thickTop="1" x14ac:dyDescent="0.3">
      <c r="E514" s="20"/>
      <c r="F514" s="38" t="s">
        <v>75</v>
      </c>
    </row>
    <row r="515" spans="3:27" hidden="1" outlineLevel="1" x14ac:dyDescent="0.3">
      <c r="C515" s="11" t="s">
        <v>71</v>
      </c>
      <c r="F515" s="13" t="s">
        <v>25</v>
      </c>
      <c r="G515" s="14">
        <v>7.0000000000000007E-2</v>
      </c>
    </row>
    <row r="516" spans="3:27" hidden="1" outlineLevel="1" x14ac:dyDescent="0.3">
      <c r="C516" s="18" t="s">
        <v>53</v>
      </c>
      <c r="D516" s="19">
        <f>分布式光伏电站IRR汇总!$B$2</f>
        <v>6</v>
      </c>
      <c r="F516" s="13" t="s">
        <v>26</v>
      </c>
      <c r="G516" s="14">
        <v>0.25</v>
      </c>
    </row>
    <row r="517" spans="3:27" hidden="1" outlineLevel="1" x14ac:dyDescent="0.3">
      <c r="C517" s="18" t="s">
        <v>56</v>
      </c>
      <c r="D517" s="19">
        <f>分布式光伏电站IRR汇总!$B$3</f>
        <v>120</v>
      </c>
      <c r="F517" s="1" t="s">
        <v>44</v>
      </c>
      <c r="G517" s="4"/>
      <c r="H517" s="5">
        <v>1</v>
      </c>
      <c r="I517" s="5">
        <v>2</v>
      </c>
      <c r="J517" s="5">
        <v>3</v>
      </c>
      <c r="K517" s="5">
        <v>4</v>
      </c>
      <c r="L517" s="5">
        <v>5</v>
      </c>
      <c r="M517" s="5">
        <v>6</v>
      </c>
      <c r="N517" s="5">
        <v>7</v>
      </c>
      <c r="O517" s="5">
        <v>8</v>
      </c>
      <c r="P517" s="5">
        <v>9</v>
      </c>
      <c r="Q517" s="5">
        <v>10</v>
      </c>
      <c r="R517" s="5">
        <v>11</v>
      </c>
      <c r="S517" s="5">
        <v>12</v>
      </c>
      <c r="T517" s="5">
        <v>13</v>
      </c>
      <c r="U517" s="5">
        <v>14</v>
      </c>
      <c r="V517" s="5">
        <v>15</v>
      </c>
      <c r="W517" s="5">
        <v>16</v>
      </c>
      <c r="X517" s="5">
        <v>17</v>
      </c>
      <c r="Y517" s="5">
        <v>18</v>
      </c>
      <c r="Z517" s="5">
        <v>19</v>
      </c>
      <c r="AA517" s="5">
        <v>20</v>
      </c>
    </row>
    <row r="518" spans="3:27" hidden="1" outlineLevel="1" x14ac:dyDescent="0.3">
      <c r="C518" s="18" t="s">
        <v>57</v>
      </c>
      <c r="D518" s="19">
        <f>分布式光伏电站IRR汇总!$B$4</f>
        <v>3</v>
      </c>
      <c r="F518" s="16"/>
      <c r="G518" s="2" t="s">
        <v>0</v>
      </c>
      <c r="H518" s="2" t="s">
        <v>1</v>
      </c>
      <c r="I518" s="2" t="s">
        <v>2</v>
      </c>
      <c r="J518" s="2" t="s">
        <v>3</v>
      </c>
      <c r="K518" s="2" t="s">
        <v>4</v>
      </c>
      <c r="L518" s="2" t="s">
        <v>5</v>
      </c>
      <c r="M518" s="2" t="s">
        <v>6</v>
      </c>
      <c r="N518" s="2" t="s">
        <v>7</v>
      </c>
      <c r="O518" s="2" t="s">
        <v>8</v>
      </c>
      <c r="P518" s="2" t="s">
        <v>9</v>
      </c>
      <c r="Q518" s="2" t="s">
        <v>10</v>
      </c>
      <c r="R518" s="2" t="s">
        <v>11</v>
      </c>
      <c r="S518" s="2" t="s">
        <v>12</v>
      </c>
      <c r="T518" s="2" t="s">
        <v>13</v>
      </c>
      <c r="U518" s="2" t="s">
        <v>45</v>
      </c>
      <c r="V518" s="2" t="s">
        <v>46</v>
      </c>
      <c r="W518" s="2" t="s">
        <v>47</v>
      </c>
      <c r="X518" s="2" t="s">
        <v>48</v>
      </c>
      <c r="Y518" s="2" t="s">
        <v>49</v>
      </c>
      <c r="Z518" s="2" t="s">
        <v>50</v>
      </c>
      <c r="AA518" s="2" t="s">
        <v>127</v>
      </c>
    </row>
    <row r="519" spans="3:27" hidden="1" outlineLevel="1" x14ac:dyDescent="0.3">
      <c r="C519" s="18" t="s">
        <v>54</v>
      </c>
      <c r="D519" s="19">
        <f>分布式光伏电站IRR汇总!$B$5</f>
        <v>5</v>
      </c>
      <c r="F519" s="6" t="s">
        <v>14</v>
      </c>
      <c r="G519" s="33">
        <f>D540</f>
        <v>24.611999999999995</v>
      </c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 spans="3:27" hidden="1" outlineLevel="1" x14ac:dyDescent="0.3">
      <c r="C520" s="18" t="s">
        <v>55</v>
      </c>
      <c r="D520" s="19">
        <f>分布式光伏电站IRR汇总!$B$6</f>
        <v>15</v>
      </c>
      <c r="F520" s="6" t="s">
        <v>15</v>
      </c>
      <c r="G520" s="33">
        <f>SUM(H521:AA521)</f>
        <v>12.385144234005573</v>
      </c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 spans="3:27" hidden="1" outlineLevel="1" x14ac:dyDescent="0.3">
      <c r="C521" s="18" t="s">
        <v>42</v>
      </c>
      <c r="D521" s="19">
        <f>分布式光伏电站IRR汇总!$B$7</f>
        <v>4.1019999999999994</v>
      </c>
      <c r="F521" s="7" t="s">
        <v>16</v>
      </c>
      <c r="G521" s="33"/>
      <c r="H521" s="33">
        <f>D540*(1-D538)/D534/((1+G515)^H517)</f>
        <v>1.0925887850467286</v>
      </c>
      <c r="I521" s="33">
        <f>D540*(1-D538)/D534/((1+G515)^I517)</f>
        <v>1.0211110140623632</v>
      </c>
      <c r="J521" s="33">
        <f>D540*(1-D538)/D534/((1+G515)^J517)</f>
        <v>0.95430935893678792</v>
      </c>
      <c r="K521" s="33">
        <f>D540*(1-D538)/D534/((1+G515)^K517)</f>
        <v>0.89187790554839996</v>
      </c>
      <c r="L521" s="33">
        <f>D540*(1-D538)/D534/((1+G515)^L517)</f>
        <v>0.83353075284897193</v>
      </c>
      <c r="M521" s="33">
        <f>D540*(1-D538)/D534/((1+G515)^M517)</f>
        <v>0.77900070359717</v>
      </c>
      <c r="N521" s="33">
        <f>D540*(1-D538)/D534/((1+G515)^N517)</f>
        <v>0.72803804074501866</v>
      </c>
      <c r="O521" s="33">
        <f>D540*(1-D538)/D534/((1+G515)^O517)</f>
        <v>0.6804093838738493</v>
      </c>
      <c r="P521" s="33">
        <f>D540*(1-D538)/D534/((1+G515)^P517)</f>
        <v>0.63589662044284967</v>
      </c>
      <c r="Q521" s="33">
        <f>D540*(1-D538)/D534/((1+G515)^Q517)</f>
        <v>0.59429590695593437</v>
      </c>
      <c r="R521" s="33">
        <f>D540*(1-D538)/D534/((1+G515)^R517)</f>
        <v>0.55541673547283577</v>
      </c>
      <c r="S521" s="33">
        <f>D540*(1-D538)/D534/((1+G515)^S517)</f>
        <v>0.51908106118956621</v>
      </c>
      <c r="T521" s="33">
        <f>D540*(1-D538)/D534/((1+G515)^T517)</f>
        <v>0.4851224870930525</v>
      </c>
      <c r="U521" s="33">
        <f>D540*(1-D538)/D534/((1+G515)^U517)</f>
        <v>0.45338550195612387</v>
      </c>
      <c r="V521" s="33">
        <f>D540*(1-D538)/D534/((1+G515)^V517)</f>
        <v>0.4237247681832933</v>
      </c>
      <c r="W521" s="33">
        <f>D540*(1-D538)/D534/((1+G515)^W517)</f>
        <v>0.39600445624606856</v>
      </c>
      <c r="X521" s="33">
        <f>D540*(1-D538)/D534/((1+G515)^X517)</f>
        <v>0.37009762265987711</v>
      </c>
      <c r="Y521" s="33">
        <f>D540*(1-D538)/D534/((1+G515)^Y517)</f>
        <v>0.34588562865409078</v>
      </c>
      <c r="Z521" s="33">
        <f>D540*(1-D538)/D534/((1+G515)^Z517)</f>
        <v>0.323257596872982</v>
      </c>
      <c r="AA521" s="33">
        <f>D540*(1-D538)/D534/((1+G515)^AA517)</f>
        <v>0.30210990361960938</v>
      </c>
    </row>
    <row r="522" spans="3:27" hidden="1" outlineLevel="1" x14ac:dyDescent="0.3">
      <c r="C522" s="21" t="s">
        <v>32</v>
      </c>
      <c r="D522" s="19">
        <f>分布式光伏电站IRR汇总!$B$8</f>
        <v>1.8870000000000002</v>
      </c>
      <c r="F522" s="6" t="s">
        <v>17</v>
      </c>
      <c r="G522" s="33">
        <f>SUM(H523:AA523)</f>
        <v>2.5425634189238777</v>
      </c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 spans="3:27" hidden="1" outlineLevel="1" x14ac:dyDescent="0.3">
      <c r="C523" s="21" t="s">
        <v>33</v>
      </c>
      <c r="D523" s="19">
        <f>分布式光伏电站IRR汇总!$B$9</f>
        <v>0.18500000000000003</v>
      </c>
      <c r="F523" s="7" t="s">
        <v>18</v>
      </c>
      <c r="G523" s="33"/>
      <c r="H523" s="33">
        <f>D537*D516/((1+G515)^H517)</f>
        <v>0.22429906542056072</v>
      </c>
      <c r="I523" s="33">
        <f>D537*D516/((1+G515)^I517)</f>
        <v>0.20962529478557079</v>
      </c>
      <c r="J523" s="33">
        <f>D537*D516/((1+G515)^J517)</f>
        <v>0.19591149045380446</v>
      </c>
      <c r="K523" s="33">
        <f>D537*D516/((1+G515)^K517)</f>
        <v>0.18309485089140604</v>
      </c>
      <c r="L523" s="33">
        <f>D537*D516/((1+G515)^L517)</f>
        <v>0.17111668307608041</v>
      </c>
      <c r="M523" s="33">
        <f>D537*D516/((1+G515)^M517)</f>
        <v>0.15992213371596301</v>
      </c>
      <c r="N523" s="33">
        <f>D537*D516/((1+G515)^N517)</f>
        <v>0.14945993805230187</v>
      </c>
      <c r="O523" s="33">
        <f>D537*D516/((1+G515)^O517)</f>
        <v>0.13968218509560923</v>
      </c>
      <c r="P523" s="33">
        <f>D537*D516/((1+G515)^P517)</f>
        <v>0.13054409822019553</v>
      </c>
      <c r="Q523" s="33">
        <f>D537*D516/((1+G515)^Q517)</f>
        <v>0.12200383011233226</v>
      </c>
      <c r="R523" s="33">
        <f>D537*D516/((1+G515)^R517)</f>
        <v>0.1140222711330208</v>
      </c>
      <c r="S523" s="33">
        <f>D537*D516/((1+G515)^S517)</f>
        <v>0.10656287021777647</v>
      </c>
      <c r="T523" s="33">
        <f>D537*D516/((1+G515)^T517)</f>
        <v>9.9591467493249028E-2</v>
      </c>
      <c r="U523" s="33">
        <f>D537*D516/((1+G515)^U517)</f>
        <v>9.3076137844157969E-2</v>
      </c>
      <c r="V523" s="33">
        <f>D537*D516/((1+G515)^V517)</f>
        <v>8.6987044714166323E-2</v>
      </c>
      <c r="W523" s="33">
        <f>D537*D516/((1+G515)^W517)</f>
        <v>8.1296303471183481E-2</v>
      </c>
      <c r="X523" s="33">
        <f>D537*D516/((1+G515)^X517)</f>
        <v>7.5977853711386434E-2</v>
      </c>
      <c r="Y523" s="33">
        <f>D537*D516/((1+G515)^Y517)</f>
        <v>7.1007339917183582E-2</v>
      </c>
      <c r="Z523" s="33">
        <f>D537*D516/((1+G515)^Z517)</f>
        <v>6.6361999922601472E-2</v>
      </c>
      <c r="AA523" s="33">
        <f>D537*D516/((1+G515)^AA517)</f>
        <v>6.2020560675328483E-2</v>
      </c>
    </row>
    <row r="524" spans="3:27" hidden="1" outlineLevel="1" x14ac:dyDescent="0.3">
      <c r="C524" s="21" t="s">
        <v>34</v>
      </c>
      <c r="D524" s="19">
        <f>分布式光伏电站IRR汇总!$B$10</f>
        <v>0.222</v>
      </c>
      <c r="F524" s="6" t="s">
        <v>19</v>
      </c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>
        <f>D537*D540/((1+G515)^AA517)</f>
        <v>0.2544083398901974</v>
      </c>
    </row>
    <row r="525" spans="3:27" hidden="1" outlineLevel="1" x14ac:dyDescent="0.3">
      <c r="C525" s="21" t="s">
        <v>35</v>
      </c>
      <c r="D525" s="19">
        <f>分布式光伏电站IRR汇总!$B$11</f>
        <v>0.44400000000000001</v>
      </c>
      <c r="F525" s="8" t="s">
        <v>64</v>
      </c>
      <c r="G525" s="33">
        <f>SUM(H526:AA526)</f>
        <v>72416.128609618783</v>
      </c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 spans="3:27" hidden="1" outlineLevel="1" x14ac:dyDescent="0.3">
      <c r="C526" s="21" t="s">
        <v>36</v>
      </c>
      <c r="D526" s="19">
        <f>分布式光伏电站IRR汇总!$B$12</f>
        <v>0.222</v>
      </c>
      <c r="F526" s="9" t="s">
        <v>65</v>
      </c>
      <c r="G526" s="33"/>
      <c r="H526" s="33">
        <f>D516*D533*(1-D535)*D539/((1+G515)^H517)</f>
        <v>6600.6681869158865</v>
      </c>
      <c r="I526" s="33">
        <f>D516*D533*(1-D535)*(1-D536)^(I517-1)*D539/((1+G515)^I517)</f>
        <v>6141.0889533409027</v>
      </c>
      <c r="J526" s="33">
        <f>D516*D533*(1-D535)*(1-D536)^(J517-1)*D539/((1+G515)^J517)</f>
        <v>5713.508460795204</v>
      </c>
      <c r="K526" s="33">
        <f>D516*D533*(1-D535)*(1-D536)^(K517-1)*D539/((1+G515)^K517)</f>
        <v>5315.6987595529226</v>
      </c>
      <c r="L526" s="33">
        <f>D516*D533*(1-D535)*(1-D536)^(L517-1)*D539/((1+G515)^L517)</f>
        <v>4945.5870234905924</v>
      </c>
      <c r="M526" s="33">
        <f>D516*D533*(1-D535)*(1-D536)^(M517-1)*D539/((1+G515)^M517)</f>
        <v>4601.2447494251264</v>
      </c>
      <c r="N526" s="33">
        <f>D516*D533*(1-D535)*(1-D536)^(N517-1)*D539/((1+G515)^N517)</f>
        <v>4280.8777084604799</v>
      </c>
      <c r="O526" s="33">
        <f>D516*D533*(1-D535)*(1-D536)^(O517-1)*D539/((1+G515)^O517)</f>
        <v>3982.8165969835586</v>
      </c>
      <c r="P526" s="33">
        <f>D516*D533*(1-D535)*(1-D536)^(P517-1)*D539/((1+G515)^P517)</f>
        <v>3705.5083385954513</v>
      </c>
      <c r="Q526" s="33">
        <f>D516*D533*(1-D535)*(1-D536)^(Q517-1)*D539/((1+G515)^Q517)</f>
        <v>3447.507991655862</v>
      </c>
      <c r="R526" s="33">
        <f>D516*D533*(1-D535)*(1-D536)^(R517-1)*D539/((1+G515)^R517)</f>
        <v>3207.4712202742153</v>
      </c>
      <c r="S526" s="33">
        <f>D516*D533*(1-D535)*(1-D536)^(S517-1)*D539/((1+G515)^S517)</f>
        <v>2984.1472895168054</v>
      </c>
      <c r="T526" s="33">
        <f>D516*D533*(1-D535)*(1-D536)^(T517-1)*D539/((1+G515)^T517)</f>
        <v>2776.3725483308226</v>
      </c>
      <c r="U526" s="33">
        <f>D516*D533*(1-D535)*(1-D536)^(U517-1)*D539/((1+G515)^U517)</f>
        <v>2583.0643662274147</v>
      </c>
      <c r="V526" s="33">
        <f>D516*D533*(1-D535)*(1-D536)^(V517-1)*D539/((1+G515)^V517)</f>
        <v>2403.2154921302717</v>
      </c>
      <c r="W526" s="33">
        <f>D516*D533*(1-D535)*(1-D536)^(W517-1)*D539/((1+G515)^W517)</f>
        <v>2235.8888059959686</v>
      </c>
      <c r="X526" s="33">
        <f>D516*D533*(1-D535)*(1-D536)^(X517-1)*D539/((1+G515)^X517)</f>
        <v>2080.2124358588662</v>
      </c>
      <c r="Y526" s="33">
        <f>D516*D533*(1-D535)*(1-D536)^(Y517-1)*D539/((1+G515)^Y517)</f>
        <v>1935.3752148574777</v>
      </c>
      <c r="Z526" s="33">
        <f>D516*D533*(1-D535)*(1-D536)^(Z517-1)*D539/((1+G515)^Z517)</f>
        <v>1800.6224545706725</v>
      </c>
      <c r="AA526" s="33">
        <f>D516*D533*(1-D535)*(1-D536)^(AA517-1)*D539/((1+G515)^AA517)</f>
        <v>1675.2520126402849</v>
      </c>
    </row>
    <row r="527" spans="3:27" hidden="1" outlineLevel="1" x14ac:dyDescent="0.3">
      <c r="C527" s="21" t="s">
        <v>37</v>
      </c>
      <c r="D527" s="19">
        <f>分布式光伏电站IRR汇总!$B$13</f>
        <v>0.15</v>
      </c>
      <c r="F527" s="4" t="s">
        <v>66</v>
      </c>
      <c r="G527" s="33">
        <f>SUM(H528:AA528)</f>
        <v>30.096505130800619</v>
      </c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 spans="3:27" hidden="1" outlineLevel="1" x14ac:dyDescent="0.3">
      <c r="C528" s="21" t="s">
        <v>38</v>
      </c>
      <c r="D528" s="19">
        <f>分布式光伏电站IRR汇总!$B$14</f>
        <v>3.7000000000000005E-2</v>
      </c>
      <c r="F528" s="7" t="s">
        <v>67</v>
      </c>
      <c r="G528" s="33"/>
      <c r="H528" s="33">
        <f>H526*D544/1000</f>
        <v>2.7432707018231772</v>
      </c>
      <c r="I528" s="33">
        <f>I526*D544/1000</f>
        <v>2.552267274453246</v>
      </c>
      <c r="J528" s="33">
        <f>J526*D544/1000</f>
        <v>2.3745626838487905</v>
      </c>
      <c r="K528" s="33">
        <f>K526*D544/1000</f>
        <v>2.2092309829639927</v>
      </c>
      <c r="L528" s="33">
        <f>L526*D544/1000</f>
        <v>2.0554106948978079</v>
      </c>
      <c r="M528" s="33">
        <f>M526*D544/1000</f>
        <v>1.9123003240848298</v>
      </c>
      <c r="N528" s="33">
        <f>N526*D544/1000</f>
        <v>1.7791541800247177</v>
      </c>
      <c r="O528" s="33">
        <f>O526*D544/1000</f>
        <v>1.6552784917893519</v>
      </c>
      <c r="P528" s="33">
        <f>P526*D544/1000</f>
        <v>1.5400277930619626</v>
      </c>
      <c r="Q528" s="33">
        <f>Q526*D544/1000</f>
        <v>1.4328015588721346</v>
      </c>
      <c r="R528" s="33">
        <f>R526*D544/1000</f>
        <v>1.333041076502065</v>
      </c>
      <c r="S528" s="33">
        <f>S526*D544/1000</f>
        <v>1.2402265342596319</v>
      </c>
      <c r="T528" s="33">
        <f>T526*D544/1000</f>
        <v>1.1538743129490314</v>
      </c>
      <c r="U528" s="33">
        <f>U526*D544/1000</f>
        <v>1.0735344659259447</v>
      </c>
      <c r="V528" s="33">
        <f>V526*D544/1000</f>
        <v>0.99878837460680159</v>
      </c>
      <c r="W528" s="33">
        <f>W526*D544/1000</f>
        <v>0.92924656721595456</v>
      </c>
      <c r="X528" s="33">
        <f>X526*D544/1000</f>
        <v>0.86454668940512414</v>
      </c>
      <c r="Y528" s="33">
        <f>Y526*D544/1000</f>
        <v>0.80435161617084205</v>
      </c>
      <c r="Z528" s="33">
        <f>Z526*D544/1000</f>
        <v>0.7483476952318443</v>
      </c>
      <c r="AA528" s="33">
        <f>AA526*D544/1000</f>
        <v>0.69624311271336559</v>
      </c>
    </row>
    <row r="529" spans="3:27" hidden="1" outlineLevel="1" x14ac:dyDescent="0.3">
      <c r="C529" s="21" t="s">
        <v>39</v>
      </c>
      <c r="D529" s="19">
        <f>分布式光伏电站IRR汇总!$B$15</f>
        <v>0.25900000000000006</v>
      </c>
      <c r="F529" s="4" t="s">
        <v>20</v>
      </c>
      <c r="G529" s="33">
        <f>SUM(H530:V530)</f>
        <v>3.3050202657210868</v>
      </c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 spans="3:27" hidden="1" outlineLevel="1" x14ac:dyDescent="0.3">
      <c r="C530" s="21" t="s">
        <v>40</v>
      </c>
      <c r="D530" s="19">
        <f>分布式光伏电站IRR汇总!$B$16</f>
        <v>7.400000000000001E-2</v>
      </c>
      <c r="F530" s="7" t="s">
        <v>21</v>
      </c>
      <c r="G530" s="33"/>
      <c r="H530" s="33">
        <f>(H528-H521-H523)*G516</f>
        <v>0.35659571283897196</v>
      </c>
      <c r="I530" s="33">
        <f>(I528-I521-I523)*G516</f>
        <v>0.33038274140132801</v>
      </c>
      <c r="J530" s="33">
        <f>(J528-J521-J523)*G516</f>
        <v>0.30608545861454955</v>
      </c>
      <c r="K530" s="33">
        <f>(K528-K521-K523)*G516</f>
        <v>0.28356455663104668</v>
      </c>
      <c r="L530" s="33">
        <f>(L528-L521-L523)*G516</f>
        <v>0.26269081474318889</v>
      </c>
      <c r="M530" s="33">
        <f>(M528-M521-M523)*G516</f>
        <v>0.24334437169292419</v>
      </c>
      <c r="N530" s="33">
        <f>(N528-N521-N523)*G516</f>
        <v>0.2254140503068493</v>
      </c>
      <c r="O530" s="33">
        <f>(O528-O521-O523)*G516</f>
        <v>0.20879673070497334</v>
      </c>
      <c r="P530" s="33">
        <f>(P528-P521-P523)*G516</f>
        <v>0.19339676859972935</v>
      </c>
      <c r="Q530" s="33">
        <f>(Q528-Q521-Q523)*G516</f>
        <v>0.17912545545096697</v>
      </c>
      <c r="R530" s="33">
        <f>(R528-R521-R523)*G516</f>
        <v>0.16590051747405213</v>
      </c>
      <c r="S530" s="33">
        <f>(S528-S521-S523)*G516</f>
        <v>0.15364565071307232</v>
      </c>
      <c r="T530" s="33">
        <f>(T528-T521-T523)*G516</f>
        <v>0.14229008959068248</v>
      </c>
      <c r="U530" s="33">
        <f>(U528-U521-U523)*G516</f>
        <v>0.13176820653141569</v>
      </c>
      <c r="V530" s="33">
        <f>(V528-V521-V523)*G516</f>
        <v>0.1220191404273355</v>
      </c>
      <c r="W530" s="33">
        <f>(W528-W521-W523)*G516</f>
        <v>0.11298645187467561</v>
      </c>
      <c r="X530" s="33">
        <f>(X528-X521-X523)*G516</f>
        <v>0.10461780325846515</v>
      </c>
      <c r="Y530" s="33">
        <f>(Y528-Y521-Y523)*G516</f>
        <v>9.686466189989193E-2</v>
      </c>
      <c r="Z530" s="33">
        <f>(Z528-Z521-Z523)*G516</f>
        <v>8.9682024609065214E-2</v>
      </c>
      <c r="AA530" s="33">
        <f>(AA528-AA521-AA523)*G516</f>
        <v>8.3028162104606937E-2</v>
      </c>
    </row>
    <row r="531" spans="3:27" hidden="1" outlineLevel="1" x14ac:dyDescent="0.3">
      <c r="C531" s="21" t="s">
        <v>41</v>
      </c>
      <c r="D531" s="19">
        <f>分布式光伏电站IRR汇总!$B$17</f>
        <v>0.222</v>
      </c>
      <c r="F531" s="10" t="s">
        <v>22</v>
      </c>
      <c r="G531" s="33">
        <f>-G519</f>
        <v>-24.611999999999995</v>
      </c>
      <c r="H531" s="33">
        <f t="shared" ref="H531:AA531" si="130">H528-H530-H523</f>
        <v>2.1623759235636446</v>
      </c>
      <c r="I531" s="33">
        <f t="shared" si="130"/>
        <v>2.0122592382663473</v>
      </c>
      <c r="J531" s="33">
        <f t="shared" si="130"/>
        <v>1.8725657347804368</v>
      </c>
      <c r="K531" s="33">
        <f t="shared" si="130"/>
        <v>1.7425715754415398</v>
      </c>
      <c r="L531" s="33">
        <f t="shared" si="130"/>
        <v>1.6216031970785385</v>
      </c>
      <c r="M531" s="33">
        <f t="shared" si="130"/>
        <v>1.5090338186759424</v>
      </c>
      <c r="N531" s="33">
        <f t="shared" si="130"/>
        <v>1.4042801916655665</v>
      </c>
      <c r="O531" s="33">
        <f t="shared" si="130"/>
        <v>1.3067995759887694</v>
      </c>
      <c r="P531" s="33">
        <f t="shared" si="130"/>
        <v>1.2160869262420377</v>
      </c>
      <c r="Q531" s="33">
        <f t="shared" si="130"/>
        <v>1.1316722733088354</v>
      </c>
      <c r="R531" s="33">
        <f t="shared" si="130"/>
        <v>1.0531182878949921</v>
      </c>
      <c r="S531" s="33">
        <f t="shared" si="130"/>
        <v>0.98001801332878313</v>
      </c>
      <c r="T531" s="33">
        <f t="shared" si="130"/>
        <v>0.91199275586509998</v>
      </c>
      <c r="U531" s="33">
        <f t="shared" si="130"/>
        <v>0.84869012155037105</v>
      </c>
      <c r="V531" s="33">
        <f t="shared" si="130"/>
        <v>0.78978218946529977</v>
      </c>
      <c r="W531" s="33">
        <f t="shared" si="130"/>
        <v>0.73496381187009552</v>
      </c>
      <c r="X531" s="33">
        <f t="shared" si="130"/>
        <v>0.68395103243527255</v>
      </c>
      <c r="Y531" s="33">
        <f t="shared" si="130"/>
        <v>0.63647961435376654</v>
      </c>
      <c r="Z531" s="33">
        <f t="shared" si="130"/>
        <v>0.59230367070017764</v>
      </c>
      <c r="AA531" s="33">
        <f t="shared" si="130"/>
        <v>0.55119438993343017</v>
      </c>
    </row>
    <row r="532" spans="3:27" ht="13.5" hidden="1" outlineLevel="1" thickBot="1" x14ac:dyDescent="0.35">
      <c r="C532" s="21" t="s">
        <v>74</v>
      </c>
      <c r="D532" s="19">
        <f>分布式光伏电站IRR汇总!$B$18</f>
        <v>0.4</v>
      </c>
      <c r="F532" s="3" t="s">
        <v>61</v>
      </c>
      <c r="G532" s="35">
        <f>SUM(G531:AA531)/G519</f>
        <v>-3.4546467478914669E-2</v>
      </c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3:27" ht="13.5" hidden="1" outlineLevel="1" thickTop="1" x14ac:dyDescent="0.3">
      <c r="C533" s="18" t="s">
        <v>58</v>
      </c>
      <c r="D533" s="19">
        <f>分布式光伏电站IRR汇总!$B$19</f>
        <v>0.86599999999999999</v>
      </c>
    </row>
    <row r="534" spans="3:27" hidden="1" outlineLevel="1" x14ac:dyDescent="0.3">
      <c r="C534" s="18" t="s">
        <v>62</v>
      </c>
      <c r="D534" s="19">
        <f>分布式光伏电站IRR汇总!$B$20</f>
        <v>20</v>
      </c>
      <c r="F534" s="13" t="s">
        <v>25</v>
      </c>
      <c r="G534" s="14">
        <v>0</v>
      </c>
    </row>
    <row r="535" spans="3:27" hidden="1" outlineLevel="1" x14ac:dyDescent="0.3">
      <c r="C535" s="18" t="s">
        <v>59</v>
      </c>
      <c r="D535" s="52">
        <f>分布式光伏电站IRR汇总!$B$21</f>
        <v>0.02</v>
      </c>
      <c r="F535" s="13" t="s">
        <v>26</v>
      </c>
      <c r="G535" s="14">
        <v>0.25</v>
      </c>
      <c r="Q535" s="15"/>
    </row>
    <row r="536" spans="3:27" hidden="1" outlineLevel="1" x14ac:dyDescent="0.3">
      <c r="C536" s="18" t="s">
        <v>60</v>
      </c>
      <c r="D536" s="52">
        <f>分布式光伏电站IRR汇总!$B$22</f>
        <v>4.4999999999999997E-3</v>
      </c>
      <c r="F536" s="1" t="s">
        <v>44</v>
      </c>
      <c r="G536" s="4"/>
      <c r="H536" s="5">
        <v>1</v>
      </c>
      <c r="I536" s="5">
        <v>2</v>
      </c>
      <c r="J536" s="5">
        <v>3</v>
      </c>
      <c r="K536" s="5">
        <v>4</v>
      </c>
      <c r="L536" s="5">
        <v>5</v>
      </c>
      <c r="M536" s="5">
        <v>6</v>
      </c>
      <c r="N536" s="5">
        <v>7</v>
      </c>
      <c r="O536" s="5">
        <v>8</v>
      </c>
      <c r="P536" s="5">
        <v>9</v>
      </c>
      <c r="Q536" s="5">
        <v>10</v>
      </c>
      <c r="R536" s="5">
        <v>11</v>
      </c>
      <c r="S536" s="5">
        <v>12</v>
      </c>
      <c r="T536" s="5">
        <v>13</v>
      </c>
      <c r="U536" s="5">
        <v>14</v>
      </c>
      <c r="V536" s="5">
        <v>15</v>
      </c>
      <c r="W536" s="5">
        <v>16</v>
      </c>
      <c r="X536" s="5">
        <v>17</v>
      </c>
      <c r="Y536" s="5">
        <v>18</v>
      </c>
      <c r="Z536" s="5">
        <v>19</v>
      </c>
      <c r="AA536" s="5">
        <v>20</v>
      </c>
    </row>
    <row r="537" spans="3:27" hidden="1" outlineLevel="1" x14ac:dyDescent="0.3">
      <c r="C537" s="18" t="s">
        <v>28</v>
      </c>
      <c r="D537" s="29">
        <f>分布式光伏电站IRR汇总!$B$23</f>
        <v>0.04</v>
      </c>
      <c r="F537" s="16"/>
      <c r="G537" s="2" t="s">
        <v>0</v>
      </c>
      <c r="H537" s="2" t="s">
        <v>1</v>
      </c>
      <c r="I537" s="2" t="s">
        <v>2</v>
      </c>
      <c r="J537" s="2" t="s">
        <v>3</v>
      </c>
      <c r="K537" s="2" t="s">
        <v>4</v>
      </c>
      <c r="L537" s="2" t="s">
        <v>5</v>
      </c>
      <c r="M537" s="2" t="s">
        <v>6</v>
      </c>
      <c r="N537" s="2" t="s">
        <v>7</v>
      </c>
      <c r="O537" s="2" t="s">
        <v>8</v>
      </c>
      <c r="P537" s="2" t="s">
        <v>9</v>
      </c>
      <c r="Q537" s="2" t="s">
        <v>10</v>
      </c>
      <c r="R537" s="2" t="s">
        <v>11</v>
      </c>
      <c r="S537" s="2" t="s">
        <v>12</v>
      </c>
      <c r="T537" s="2" t="s">
        <v>13</v>
      </c>
      <c r="U537" s="2" t="s">
        <v>45</v>
      </c>
      <c r="V537" s="2" t="s">
        <v>46</v>
      </c>
      <c r="W537" s="2" t="s">
        <v>47</v>
      </c>
      <c r="X537" s="2" t="s">
        <v>48</v>
      </c>
      <c r="Y537" s="2" t="s">
        <v>49</v>
      </c>
      <c r="Z537" s="2" t="s">
        <v>50</v>
      </c>
      <c r="AA537" s="2" t="s">
        <v>51</v>
      </c>
    </row>
    <row r="538" spans="3:27" hidden="1" outlineLevel="1" x14ac:dyDescent="0.3">
      <c r="C538" s="18" t="s">
        <v>43</v>
      </c>
      <c r="D538" s="19">
        <f>分布式光伏电站IRR汇总!$B$24</f>
        <v>0.05</v>
      </c>
      <c r="F538" s="6" t="s">
        <v>14</v>
      </c>
      <c r="G538" s="33">
        <f>D540</f>
        <v>24.611999999999995</v>
      </c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 spans="3:27" hidden="1" outlineLevel="1" x14ac:dyDescent="0.3">
      <c r="C539" s="18" t="s">
        <v>126</v>
      </c>
      <c r="D539" s="28">
        <f>Backup分地区光伏小时数及电价!E12</f>
        <v>1387</v>
      </c>
      <c r="F539" s="6" t="s">
        <v>15</v>
      </c>
      <c r="G539" s="33">
        <f>SUM(H540:AA540)</f>
        <v>23.381399999999985</v>
      </c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 spans="3:27" hidden="1" outlineLevel="1" x14ac:dyDescent="0.3">
      <c r="C540" s="24" t="s">
        <v>14</v>
      </c>
      <c r="D540" s="30">
        <f>D516*D521</f>
        <v>24.611999999999995</v>
      </c>
      <c r="F540" s="7" t="s">
        <v>16</v>
      </c>
      <c r="G540" s="33"/>
      <c r="H540" s="33">
        <f>D540*(1-D538)/D534/((1+G534)^H536)</f>
        <v>1.1690699999999996</v>
      </c>
      <c r="I540" s="33">
        <f>D540*(1-D538)/D534/((1+G534)^I536)</f>
        <v>1.1690699999999996</v>
      </c>
      <c r="J540" s="33">
        <f>D540*(1-D538)/D534/((1+G534)^J536)</f>
        <v>1.1690699999999996</v>
      </c>
      <c r="K540" s="33">
        <f>D540*(1-D538)/D534/((1+G534)^K536)</f>
        <v>1.1690699999999996</v>
      </c>
      <c r="L540" s="33">
        <f>D540*(1-D538)/D534/((1+G534)^L536)</f>
        <v>1.1690699999999996</v>
      </c>
      <c r="M540" s="33">
        <f>D540*(1-D538)/D534/((1+G534)^M536)</f>
        <v>1.1690699999999996</v>
      </c>
      <c r="N540" s="33">
        <f>D540*(1-D538)/D534/((1+G534)^N536)</f>
        <v>1.1690699999999996</v>
      </c>
      <c r="O540" s="33">
        <f>D540*(1-D538)/D534/((1+G534)^O536)</f>
        <v>1.1690699999999996</v>
      </c>
      <c r="P540" s="33">
        <f>D540*(1-D538)/D534/((1+G534)^P536)</f>
        <v>1.1690699999999996</v>
      </c>
      <c r="Q540" s="33">
        <f>D540*(1-D538)/D534/((1+G534)^Q536)</f>
        <v>1.1690699999999996</v>
      </c>
      <c r="R540" s="33">
        <f>D540*(1-D538)/D534/((1+G534)^R536)</f>
        <v>1.1690699999999996</v>
      </c>
      <c r="S540" s="33">
        <f>D540*(1-D538)/D534/((1+G534)^S536)</f>
        <v>1.1690699999999996</v>
      </c>
      <c r="T540" s="33">
        <f>D540*(1-D538)/D534/((1+G534)^T536)</f>
        <v>1.1690699999999996</v>
      </c>
      <c r="U540" s="33">
        <f>D540*(1-D538)/D534/((1+G534)^U536)</f>
        <v>1.1690699999999996</v>
      </c>
      <c r="V540" s="33">
        <f>D540*(1-D538)/D534/((1+G534)^V536)</f>
        <v>1.1690699999999996</v>
      </c>
      <c r="W540" s="33">
        <f>D540*(1-D538)/D534/((1+G534)^W536)</f>
        <v>1.1690699999999996</v>
      </c>
      <c r="X540" s="33">
        <f>D540*(1-D538)/D534/((1+G534)^X536)</f>
        <v>1.1690699999999996</v>
      </c>
      <c r="Y540" s="33">
        <f>D540*(1-D538)/D534/((1+G534)^Y536)</f>
        <v>1.1690699999999996</v>
      </c>
      <c r="Z540" s="33">
        <f>D540*(1-D538)/D534/((1+G534)^Z536)</f>
        <v>1.1690699999999996</v>
      </c>
      <c r="AA540" s="33">
        <f>D540*(1-D538)/D534/((1+G534)^AA536)</f>
        <v>1.1690699999999996</v>
      </c>
    </row>
    <row r="541" spans="3:27" hidden="1" outlineLevel="1" x14ac:dyDescent="0.3">
      <c r="C541" s="18" t="s">
        <v>29</v>
      </c>
      <c r="D541" s="29">
        <v>0.35980000000000001</v>
      </c>
      <c r="F541" s="6" t="s">
        <v>17</v>
      </c>
      <c r="G541" s="33">
        <f>SUM(H542:AA542)</f>
        <v>4.8000000000000025</v>
      </c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 spans="3:27" hidden="1" outlineLevel="1" x14ac:dyDescent="0.3">
      <c r="C542" s="18" t="s">
        <v>30</v>
      </c>
      <c r="D542" s="31">
        <f>Backup分地区光伏小时数及电价!I12</f>
        <v>0.415605</v>
      </c>
      <c r="F542" s="7" t="s">
        <v>18</v>
      </c>
      <c r="G542" s="33"/>
      <c r="H542" s="33">
        <f>D537*D516/((1+G534)^H536)</f>
        <v>0.24</v>
      </c>
      <c r="I542" s="33">
        <f>D537*D516/((1+G534)^I536)</f>
        <v>0.24</v>
      </c>
      <c r="J542" s="33">
        <f>D537*D516/((1+G534)^J536)</f>
        <v>0.24</v>
      </c>
      <c r="K542" s="33">
        <f>D537*D516/((1+G534)^K536)</f>
        <v>0.24</v>
      </c>
      <c r="L542" s="33">
        <f>D537*D516/((1+G534)^L536)</f>
        <v>0.24</v>
      </c>
      <c r="M542" s="33">
        <f>D537*D516/((1+G534)^M536)</f>
        <v>0.24</v>
      </c>
      <c r="N542" s="33">
        <f>D537*D516/((1+G534)^N536)</f>
        <v>0.24</v>
      </c>
      <c r="O542" s="33">
        <f>D537*D516/((1+G534)^O536)</f>
        <v>0.24</v>
      </c>
      <c r="P542" s="33">
        <f>D537*D516/((1+G534)^P536)</f>
        <v>0.24</v>
      </c>
      <c r="Q542" s="33">
        <f>D537*D516/((1+G534)^Q536)</f>
        <v>0.24</v>
      </c>
      <c r="R542" s="33">
        <f>D537*D516/((1+G534)^R536)</f>
        <v>0.24</v>
      </c>
      <c r="S542" s="33">
        <f>D537*D516/((1+G534)^S536)</f>
        <v>0.24</v>
      </c>
      <c r="T542" s="33">
        <f>D537*D516/((1+G534)^T536)</f>
        <v>0.24</v>
      </c>
      <c r="U542" s="33">
        <f>D537*D516/((1+G534)^U536)</f>
        <v>0.24</v>
      </c>
      <c r="V542" s="33">
        <f>D537*D516/((1+G534)^V536)</f>
        <v>0.24</v>
      </c>
      <c r="W542" s="33">
        <f>D537*D516/((1+G534)^W536)</f>
        <v>0.24</v>
      </c>
      <c r="X542" s="33">
        <f>D537*D516/((1+G534)^X536)</f>
        <v>0.24</v>
      </c>
      <c r="Y542" s="33">
        <f>D537*D516/((1+G534)^Y536)</f>
        <v>0.24</v>
      </c>
      <c r="Z542" s="33">
        <f>D537*D516/((1+G534)^Z536)</f>
        <v>0.24</v>
      </c>
      <c r="AA542" s="33">
        <f>D537*D516/((1+G534)^AA536)</f>
        <v>0.24</v>
      </c>
    </row>
    <row r="543" spans="3:27" hidden="1" outlineLevel="1" x14ac:dyDescent="0.3">
      <c r="C543" s="18" t="s">
        <v>70</v>
      </c>
      <c r="D543" s="32">
        <f>分布式光伏电站IRR汇总!$B$27</f>
        <v>1</v>
      </c>
      <c r="F543" s="6" t="s">
        <v>19</v>
      </c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>
        <f>D537*D540/((1+G534)^AA536)</f>
        <v>0.9844799999999998</v>
      </c>
    </row>
    <row r="544" spans="3:27" hidden="1" outlineLevel="1" x14ac:dyDescent="0.3">
      <c r="C544" s="18" t="s">
        <v>69</v>
      </c>
      <c r="D544" s="31">
        <f>D543*D542</f>
        <v>0.415605</v>
      </c>
      <c r="F544" s="8" t="s">
        <v>64</v>
      </c>
      <c r="G544" s="33">
        <f>SUM(H545:AA545)</f>
        <v>135375.6468923288</v>
      </c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 spans="2:27" hidden="1" outlineLevel="1" x14ac:dyDescent="0.3">
      <c r="C545" s="18" t="s">
        <v>31</v>
      </c>
      <c r="D545" s="27">
        <v>0</v>
      </c>
      <c r="F545" s="9" t="s">
        <v>65</v>
      </c>
      <c r="G545" s="33"/>
      <c r="H545" s="33">
        <f>D516*D533*(1-D535)*D539/((1+G534)^H536)</f>
        <v>7062.7149599999993</v>
      </c>
      <c r="I545" s="33">
        <f>D516*D533*(1-D535)*(1-D536)^(I536-1)*D539/((1+G534)^I536)</f>
        <v>7030.9327426799991</v>
      </c>
      <c r="J545" s="33">
        <f>D516*D533*(1-D535)*(1-D536)^(J536-1)*D539/((1+G534)^J536)</f>
        <v>6999.2935453379396</v>
      </c>
      <c r="K545" s="33">
        <f>D516*D533*(1-D535)*(1-D536)^(K536-1)*D539/((1+G534)^K536)</f>
        <v>6967.7967243839203</v>
      </c>
      <c r="L545" s="33">
        <f>D516*D533*(1-D535)*(1-D536)^(L536-1)*D539/((1+G534)^L536)</f>
        <v>6936.441639124193</v>
      </c>
      <c r="M545" s="33">
        <f>D516*D533*(1-D535)*(1-D536)^(M536-1)*D539/((1+G534)^M536)</f>
        <v>6905.2276517481341</v>
      </c>
      <c r="N545" s="33">
        <f>D516*D533*(1-D535)*(1-D536)^(N536-1)*D539/((1+G534)^N536)</f>
        <v>6874.1541273152679</v>
      </c>
      <c r="O545" s="33">
        <f>D516*D533*(1-D535)*(1-D536)^(O536-1)*D539/((1+G534)^O536)</f>
        <v>6843.2204337423491</v>
      </c>
      <c r="P545" s="33">
        <f>D516*D533*(1-D535)*(1-D536)^(P536-1)*D539/((1+G534)^P536)</f>
        <v>6812.4259417905096</v>
      </c>
      <c r="Q545" s="33">
        <f>D516*D533*(1-D535)*(1-D536)^(Q536-1)*D539/((1+G534)^Q536)</f>
        <v>6781.7700250524531</v>
      </c>
      <c r="R545" s="33">
        <f>D516*D533*(1-D535)*(1-D536)^(R536-1)*D539/((1+G534)^R536)</f>
        <v>6751.2520599397176</v>
      </c>
      <c r="S545" s="33">
        <f>D516*D533*(1-D535)*(1-D536)^(S536-1)*D539/((1+G534)^S536)</f>
        <v>6720.8714256699886</v>
      </c>
      <c r="T545" s="33">
        <f>D516*D533*(1-D535)*(1-D536)^(T536-1)*D539/((1+G534)^T536)</f>
        <v>6690.6275042544748</v>
      </c>
      <c r="U545" s="33">
        <f>D516*D533*(1-D535)*(1-D536)^(U536-1)*D539/((1+G534)^U536)</f>
        <v>6660.5196804853294</v>
      </c>
      <c r="V545" s="33">
        <f>D516*D533*(1-D535)*(1-D536)^(V536-1)*D539/((1+G534)^V536)</f>
        <v>6630.5473419231448</v>
      </c>
      <c r="W545" s="33">
        <f>D516*D533*(1-D535)*(1-D536)^(W536-1)*D539/((1+G534)^W536)</f>
        <v>6600.7098788844924</v>
      </c>
      <c r="X545" s="33">
        <f>D516*D533*(1-D535)*(1-D536)^(X536-1)*D539/((1+G534)^X536)</f>
        <v>6571.0066844295125</v>
      </c>
      <c r="Y545" s="33">
        <f>D516*D533*(1-D535)*(1-D536)^(Y536-1)*D539/((1+G534)^Y536)</f>
        <v>6541.437154349579</v>
      </c>
      <c r="Z545" s="33">
        <f>D516*D533*(1-D535)*(1-D536)^(Z536-1)*D539/((1+G534)^Z536)</f>
        <v>6512.0006871550077</v>
      </c>
      <c r="AA545" s="33">
        <f>D516*D533*(1-D535)*(1-D536)^(AA536-1)*D539/((1+G534)^AA536)</f>
        <v>6482.6966840628111</v>
      </c>
    </row>
    <row r="546" spans="2:27" hidden="1" outlineLevel="1" x14ac:dyDescent="0.3">
      <c r="F546" s="4" t="s">
        <v>66</v>
      </c>
      <c r="G546" s="33">
        <f>SUM(H547:AA547)</f>
        <v>56.262795726686321</v>
      </c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 spans="2:27" hidden="1" outlineLevel="1" x14ac:dyDescent="0.3">
      <c r="F547" s="7" t="s">
        <v>67</v>
      </c>
      <c r="G547" s="33"/>
      <c r="H547" s="33">
        <f>H545*D544/1000</f>
        <v>2.9352996509507996</v>
      </c>
      <c r="I547" s="33">
        <f>I545*D544/1000</f>
        <v>2.9220908025215211</v>
      </c>
      <c r="J547" s="33">
        <f>J545*D544/1000</f>
        <v>2.9089413939101747</v>
      </c>
      <c r="K547" s="33">
        <f>K545*D544/1000</f>
        <v>2.8958511576375789</v>
      </c>
      <c r="L547" s="33">
        <f>L545*D544/1000</f>
        <v>2.8828198274282104</v>
      </c>
      <c r="M547" s="33">
        <f>M545*D544/1000</f>
        <v>2.8698471382047832</v>
      </c>
      <c r="N547" s="33">
        <f>N545*D544/1000</f>
        <v>2.8569328260828621</v>
      </c>
      <c r="O547" s="33">
        <f>O545*D544/1000</f>
        <v>2.8440766283654888</v>
      </c>
      <c r="P547" s="33">
        <f>P545*D544/1000</f>
        <v>2.8312782835378449</v>
      </c>
      <c r="Q547" s="33">
        <f>Q545*D544/1000</f>
        <v>2.8185375312619247</v>
      </c>
      <c r="R547" s="33">
        <f>R545*D544/1000</f>
        <v>2.8058541123712462</v>
      </c>
      <c r="S547" s="33">
        <f>S545*D544/1000</f>
        <v>2.793227768865576</v>
      </c>
      <c r="T547" s="33">
        <f>T545*D544/1000</f>
        <v>2.7806582439056808</v>
      </c>
      <c r="U547" s="33">
        <f>U545*D544/1000</f>
        <v>2.7681452818081054</v>
      </c>
      <c r="V547" s="33">
        <f>V545*D544/1000</f>
        <v>2.7556886280399686</v>
      </c>
      <c r="W547" s="33">
        <f>W545*D544/1000</f>
        <v>2.7432880292137893</v>
      </c>
      <c r="X547" s="33">
        <f>X545*D544/1000</f>
        <v>2.7309432330823276</v>
      </c>
      <c r="Y547" s="33">
        <f>Y545*D544/1000</f>
        <v>2.7186539885334571</v>
      </c>
      <c r="Z547" s="33">
        <f>Z545*D544/1000</f>
        <v>2.7064200455850567</v>
      </c>
      <c r="AA547" s="33">
        <f>AA545*D544/1000</f>
        <v>2.6942411553799248</v>
      </c>
    </row>
    <row r="548" spans="2:27" hidden="1" outlineLevel="1" x14ac:dyDescent="0.3">
      <c r="F548" s="4" t="s">
        <v>20</v>
      </c>
      <c r="G548" s="33">
        <f>SUM(H549:AA549)</f>
        <v>7.0203489316715819</v>
      </c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 spans="2:27" hidden="1" outlineLevel="1" x14ac:dyDescent="0.3">
      <c r="F549" s="7" t="s">
        <v>21</v>
      </c>
      <c r="G549" s="33"/>
      <c r="H549" s="33">
        <f>(H547-H540-H542)*G535</f>
        <v>0.3815574127377</v>
      </c>
      <c r="I549" s="33">
        <f>(I547-I540-I542)*G535</f>
        <v>0.37825520063038037</v>
      </c>
      <c r="J549" s="33">
        <f>(J547-J540-J542)*G535</f>
        <v>0.37496784847754377</v>
      </c>
      <c r="K549" s="33">
        <f>(K547-K540-K542)*G535</f>
        <v>0.37169528940939484</v>
      </c>
      <c r="L549" s="33">
        <f>(L547-L540-L542)*G535</f>
        <v>0.3684374568570527</v>
      </c>
      <c r="M549" s="33">
        <f>(M547-M540-M542)*G535</f>
        <v>0.3651942845511959</v>
      </c>
      <c r="N549" s="33">
        <f>(N547-N540-N542)*G535</f>
        <v>0.36196570652071564</v>
      </c>
      <c r="O549" s="33">
        <f>(O547-O540-O542)*G535</f>
        <v>0.3587516570913723</v>
      </c>
      <c r="P549" s="33">
        <f>(P547-P540-P542)*G535</f>
        <v>0.35555207088446134</v>
      </c>
      <c r="Q549" s="33">
        <f>(Q547-Q540-Q542)*G535</f>
        <v>0.35236688281548129</v>
      </c>
      <c r="R549" s="33">
        <f>(R547-R540-R542)*G535</f>
        <v>0.34919602809281164</v>
      </c>
      <c r="S549" s="33">
        <f>(S547-S540-S542)*G535</f>
        <v>0.3460394422163941</v>
      </c>
      <c r="T549" s="33">
        <f>(T547-T540-T542)*G535</f>
        <v>0.34289706097642031</v>
      </c>
      <c r="U549" s="33">
        <f>(U547-U540-U542)*G535</f>
        <v>0.33976882045202644</v>
      </c>
      <c r="V549" s="33">
        <f>(V547-V540-V542)*G535</f>
        <v>0.33665465700999225</v>
      </c>
      <c r="W549" s="33">
        <f>(W547-W540-W542)*G535</f>
        <v>0.33355450730344743</v>
      </c>
      <c r="X549" s="33">
        <f>(X547-X540-X542)*G535</f>
        <v>0.33046830827058199</v>
      </c>
      <c r="Y549" s="33">
        <f>(Y547-Y540-Y542)*G535</f>
        <v>0.32739599713336437</v>
      </c>
      <c r="Z549" s="33">
        <f>(Z547-Z540-Z542)*G535</f>
        <v>0.32433751139626427</v>
      </c>
      <c r="AA549" s="33">
        <f>(AA547-AA540-AA542)*G535</f>
        <v>0.3212927888449813</v>
      </c>
    </row>
    <row r="550" spans="2:27" hidden="1" outlineLevel="1" x14ac:dyDescent="0.3">
      <c r="F550" s="10" t="s">
        <v>22</v>
      </c>
      <c r="G550" s="33">
        <f>-G538</f>
        <v>-24.611999999999995</v>
      </c>
      <c r="H550" s="33">
        <f>H547-H549-H542</f>
        <v>2.3137422382130994</v>
      </c>
      <c r="I550" s="33">
        <f t="shared" ref="I550" si="131">I547-I549-I542</f>
        <v>2.3038356018911408</v>
      </c>
      <c r="J550" s="33">
        <f t="shared" ref="J550" si="132">J547-J549-J542</f>
        <v>2.2939735454326309</v>
      </c>
      <c r="K550" s="33">
        <f t="shared" ref="K550" si="133">K547-K549-K542</f>
        <v>2.2841558682281837</v>
      </c>
      <c r="L550" s="33">
        <f t="shared" ref="L550" si="134">L547-L549-L542</f>
        <v>2.2743823705711579</v>
      </c>
      <c r="M550" s="33">
        <f t="shared" ref="M550" si="135">M547-M549-M542</f>
        <v>2.2646528536535877</v>
      </c>
      <c r="N550" s="33">
        <f t="shared" ref="N550" si="136">N547-N549-N542</f>
        <v>2.2549671195621466</v>
      </c>
      <c r="O550" s="33">
        <f t="shared" ref="O550" si="137">O547-O549-O542</f>
        <v>2.2453249712741163</v>
      </c>
      <c r="P550" s="33">
        <f t="shared" ref="P550" si="138">P547-P549-P542</f>
        <v>2.2357262126533834</v>
      </c>
      <c r="Q550" s="33">
        <f t="shared" ref="Q550" si="139">Q547-Q549-Q542</f>
        <v>2.2261706484464439</v>
      </c>
      <c r="R550" s="33">
        <f t="shared" ref="R550" si="140">R547-R549-R542</f>
        <v>2.2166580842784347</v>
      </c>
      <c r="S550" s="33">
        <f t="shared" ref="S550" si="141">S547-S549-S542</f>
        <v>2.2071883266491819</v>
      </c>
      <c r="T550" s="33">
        <f t="shared" ref="T550" si="142">T547-T549-T542</f>
        <v>2.1977611829292609</v>
      </c>
      <c r="U550" s="33">
        <f t="shared" ref="U550" si="143">U547-U549-U542</f>
        <v>2.1883764613560786</v>
      </c>
      <c r="V550" s="33">
        <f t="shared" ref="V550" si="144">V547-V549-V542</f>
        <v>2.179033971029976</v>
      </c>
      <c r="W550" s="33">
        <f t="shared" ref="W550" si="145">W547-W549-W542</f>
        <v>2.1697335219103415</v>
      </c>
      <c r="X550" s="33">
        <f t="shared" ref="X550" si="146">X547-X549-X542</f>
        <v>2.1604749248117452</v>
      </c>
      <c r="Y550" s="33">
        <f t="shared" ref="Y550" si="147">Y547-Y549-Y542</f>
        <v>2.1512579914000929</v>
      </c>
      <c r="Z550" s="33">
        <f t="shared" ref="Z550" si="148">Z547-Z549-Z542</f>
        <v>2.1420825341887921</v>
      </c>
      <c r="AA550" s="33">
        <f t="shared" ref="AA550" si="149">AA547-AA549-AA542</f>
        <v>2.1329483665349436</v>
      </c>
    </row>
    <row r="551" spans="2:27" ht="13.5" hidden="1" outlineLevel="1" thickBot="1" x14ac:dyDescent="0.35">
      <c r="F551" s="3" t="s">
        <v>68</v>
      </c>
      <c r="G551" s="40">
        <f>IRR(G550:AA550)</f>
        <v>6.545050928619589E-2</v>
      </c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2:27" ht="13.5" collapsed="1" thickTop="1" x14ac:dyDescent="0.3"/>
    <row r="553" spans="2:27" x14ac:dyDescent="0.3">
      <c r="B553" s="11" t="s">
        <v>149</v>
      </c>
      <c r="C553" s="11" t="s">
        <v>52</v>
      </c>
    </row>
    <row r="554" spans="2:27" x14ac:dyDescent="0.3">
      <c r="C554" s="11" t="s">
        <v>141</v>
      </c>
      <c r="D554" s="54">
        <f>D585</f>
        <v>1390</v>
      </c>
    </row>
    <row r="555" spans="2:27" x14ac:dyDescent="0.3">
      <c r="C555" s="16" t="s">
        <v>78</v>
      </c>
      <c r="D555" s="37">
        <f>(G584+G587+G594)/G590*1000</f>
        <v>0.28548881699055484</v>
      </c>
    </row>
    <row r="556" spans="2:27" x14ac:dyDescent="0.3">
      <c r="C556" s="13" t="s">
        <v>77</v>
      </c>
      <c r="D556" s="39">
        <f>(G565+G568+G575)/G571*1000</f>
        <v>0.43438349682586713</v>
      </c>
    </row>
    <row r="557" spans="2:27" x14ac:dyDescent="0.3">
      <c r="C557" s="13" t="s">
        <v>61</v>
      </c>
      <c r="D557" s="36">
        <f>G578</f>
        <v>0.11538693873160372</v>
      </c>
    </row>
    <row r="558" spans="2:27" x14ac:dyDescent="0.3">
      <c r="C558" s="13" t="s">
        <v>73</v>
      </c>
      <c r="D558" s="25">
        <f>SUM(G577:AA577)</f>
        <v>2.8399033360622301</v>
      </c>
    </row>
    <row r="559" spans="2:27" ht="13.5" thickBot="1" x14ac:dyDescent="0.35">
      <c r="C559" s="23" t="s">
        <v>68</v>
      </c>
      <c r="D559" s="26">
        <f>G597</f>
        <v>8.4737540772200859E-2</v>
      </c>
    </row>
    <row r="560" spans="2:27" ht="13.5" hidden="1" outlineLevel="1" thickTop="1" x14ac:dyDescent="0.3">
      <c r="E560" s="20"/>
      <c r="F560" s="38" t="s">
        <v>75</v>
      </c>
    </row>
    <row r="561" spans="3:27" hidden="1" outlineLevel="1" x14ac:dyDescent="0.3">
      <c r="C561" s="11" t="s">
        <v>71</v>
      </c>
      <c r="F561" s="13" t="s">
        <v>25</v>
      </c>
      <c r="G561" s="14">
        <v>7.0000000000000007E-2</v>
      </c>
    </row>
    <row r="562" spans="3:27" hidden="1" outlineLevel="1" x14ac:dyDescent="0.3">
      <c r="C562" s="18" t="s">
        <v>53</v>
      </c>
      <c r="D562" s="19">
        <f>分布式光伏电站IRR汇总!$B$2</f>
        <v>6</v>
      </c>
      <c r="F562" s="13" t="s">
        <v>26</v>
      </c>
      <c r="G562" s="14">
        <v>0.25</v>
      </c>
    </row>
    <row r="563" spans="3:27" hidden="1" outlineLevel="1" x14ac:dyDescent="0.3">
      <c r="C563" s="18" t="s">
        <v>56</v>
      </c>
      <c r="D563" s="19">
        <f>分布式光伏电站IRR汇总!$B$3</f>
        <v>120</v>
      </c>
      <c r="F563" s="1" t="s">
        <v>44</v>
      </c>
      <c r="G563" s="4"/>
      <c r="H563" s="5">
        <v>1</v>
      </c>
      <c r="I563" s="5">
        <v>2</v>
      </c>
      <c r="J563" s="5">
        <v>3</v>
      </c>
      <c r="K563" s="5">
        <v>4</v>
      </c>
      <c r="L563" s="5">
        <v>5</v>
      </c>
      <c r="M563" s="5">
        <v>6</v>
      </c>
      <c r="N563" s="5">
        <v>7</v>
      </c>
      <c r="O563" s="5">
        <v>8</v>
      </c>
      <c r="P563" s="5">
        <v>9</v>
      </c>
      <c r="Q563" s="5">
        <v>10</v>
      </c>
      <c r="R563" s="5">
        <v>11</v>
      </c>
      <c r="S563" s="5">
        <v>12</v>
      </c>
      <c r="T563" s="5">
        <v>13</v>
      </c>
      <c r="U563" s="5">
        <v>14</v>
      </c>
      <c r="V563" s="5">
        <v>15</v>
      </c>
      <c r="W563" s="5">
        <v>16</v>
      </c>
      <c r="X563" s="5">
        <v>17</v>
      </c>
      <c r="Y563" s="5">
        <v>18</v>
      </c>
      <c r="Z563" s="5">
        <v>19</v>
      </c>
      <c r="AA563" s="5">
        <v>20</v>
      </c>
    </row>
    <row r="564" spans="3:27" hidden="1" outlineLevel="1" x14ac:dyDescent="0.3">
      <c r="C564" s="18" t="s">
        <v>57</v>
      </c>
      <c r="D564" s="19">
        <f>分布式光伏电站IRR汇总!$B$4</f>
        <v>3</v>
      </c>
      <c r="F564" s="16"/>
      <c r="G564" s="2" t="s">
        <v>0</v>
      </c>
      <c r="H564" s="2" t="s">
        <v>1</v>
      </c>
      <c r="I564" s="2" t="s">
        <v>2</v>
      </c>
      <c r="J564" s="2" t="s">
        <v>3</v>
      </c>
      <c r="K564" s="2" t="s">
        <v>4</v>
      </c>
      <c r="L564" s="2" t="s">
        <v>5</v>
      </c>
      <c r="M564" s="2" t="s">
        <v>6</v>
      </c>
      <c r="N564" s="2" t="s">
        <v>7</v>
      </c>
      <c r="O564" s="2" t="s">
        <v>8</v>
      </c>
      <c r="P564" s="2" t="s">
        <v>9</v>
      </c>
      <c r="Q564" s="2" t="s">
        <v>10</v>
      </c>
      <c r="R564" s="2" t="s">
        <v>11</v>
      </c>
      <c r="S564" s="2" t="s">
        <v>12</v>
      </c>
      <c r="T564" s="2" t="s">
        <v>13</v>
      </c>
      <c r="U564" s="2" t="s">
        <v>45</v>
      </c>
      <c r="V564" s="2" t="s">
        <v>46</v>
      </c>
      <c r="W564" s="2" t="s">
        <v>47</v>
      </c>
      <c r="X564" s="2" t="s">
        <v>48</v>
      </c>
      <c r="Y564" s="2" t="s">
        <v>49</v>
      </c>
      <c r="Z564" s="2" t="s">
        <v>50</v>
      </c>
      <c r="AA564" s="2" t="s">
        <v>127</v>
      </c>
    </row>
    <row r="565" spans="3:27" hidden="1" outlineLevel="1" x14ac:dyDescent="0.3">
      <c r="C565" s="18" t="s">
        <v>54</v>
      </c>
      <c r="D565" s="19">
        <f>分布式光伏电站IRR汇总!$B$5</f>
        <v>5</v>
      </c>
      <c r="F565" s="6" t="s">
        <v>14</v>
      </c>
      <c r="G565" s="33">
        <f>D586</f>
        <v>24.611999999999995</v>
      </c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 spans="3:27" hidden="1" outlineLevel="1" x14ac:dyDescent="0.3">
      <c r="C566" s="18" t="s">
        <v>55</v>
      </c>
      <c r="D566" s="19">
        <f>分布式光伏电站IRR汇总!$B$6</f>
        <v>15</v>
      </c>
      <c r="F566" s="6" t="s">
        <v>15</v>
      </c>
      <c r="G566" s="33">
        <f>SUM(H567:AA567)</f>
        <v>12.385144234005573</v>
      </c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 spans="3:27" hidden="1" outlineLevel="1" x14ac:dyDescent="0.3">
      <c r="C567" s="18" t="s">
        <v>42</v>
      </c>
      <c r="D567" s="19">
        <f>分布式光伏电站IRR汇总!$B$7</f>
        <v>4.1019999999999994</v>
      </c>
      <c r="F567" s="7" t="s">
        <v>16</v>
      </c>
      <c r="G567" s="33"/>
      <c r="H567" s="33">
        <f>D586*(1-D584)/D580/((1+G561)^H563)</f>
        <v>1.0925887850467286</v>
      </c>
      <c r="I567" s="33">
        <f>D586*(1-D584)/D580/((1+G561)^I563)</f>
        <v>1.0211110140623632</v>
      </c>
      <c r="J567" s="33">
        <f>D586*(1-D584)/D580/((1+G561)^J563)</f>
        <v>0.95430935893678792</v>
      </c>
      <c r="K567" s="33">
        <f>D586*(1-D584)/D580/((1+G561)^K563)</f>
        <v>0.89187790554839996</v>
      </c>
      <c r="L567" s="33">
        <f>D586*(1-D584)/D580/((1+G561)^L563)</f>
        <v>0.83353075284897193</v>
      </c>
      <c r="M567" s="33">
        <f>D586*(1-D584)/D580/((1+G561)^M563)</f>
        <v>0.77900070359717</v>
      </c>
      <c r="N567" s="33">
        <f>D586*(1-D584)/D580/((1+G561)^N563)</f>
        <v>0.72803804074501866</v>
      </c>
      <c r="O567" s="33">
        <f>D586*(1-D584)/D580/((1+G561)^O563)</f>
        <v>0.6804093838738493</v>
      </c>
      <c r="P567" s="33">
        <f>D586*(1-D584)/D580/((1+G561)^P563)</f>
        <v>0.63589662044284967</v>
      </c>
      <c r="Q567" s="33">
        <f>D586*(1-D584)/D580/((1+G561)^Q563)</f>
        <v>0.59429590695593437</v>
      </c>
      <c r="R567" s="33">
        <f>D586*(1-D584)/D580/((1+G561)^R563)</f>
        <v>0.55541673547283577</v>
      </c>
      <c r="S567" s="33">
        <f>D586*(1-D584)/D580/((1+G561)^S563)</f>
        <v>0.51908106118956621</v>
      </c>
      <c r="T567" s="33">
        <f>D586*(1-D584)/D580/((1+G561)^T563)</f>
        <v>0.4851224870930525</v>
      </c>
      <c r="U567" s="33">
        <f>D586*(1-D584)/D580/((1+G561)^U563)</f>
        <v>0.45338550195612387</v>
      </c>
      <c r="V567" s="33">
        <f>D586*(1-D584)/D580/((1+G561)^V563)</f>
        <v>0.4237247681832933</v>
      </c>
      <c r="W567" s="33">
        <f>D586*(1-D584)/D580/((1+G561)^W563)</f>
        <v>0.39600445624606856</v>
      </c>
      <c r="X567" s="33">
        <f>D586*(1-D584)/D580/((1+G561)^X563)</f>
        <v>0.37009762265987711</v>
      </c>
      <c r="Y567" s="33">
        <f>D586*(1-D584)/D580/((1+G561)^Y563)</f>
        <v>0.34588562865409078</v>
      </c>
      <c r="Z567" s="33">
        <f>D586*(1-D584)/D580/((1+G561)^Z563)</f>
        <v>0.323257596872982</v>
      </c>
      <c r="AA567" s="33">
        <f>D586*(1-D584)/D580/((1+G561)^AA563)</f>
        <v>0.30210990361960938</v>
      </c>
    </row>
    <row r="568" spans="3:27" hidden="1" outlineLevel="1" x14ac:dyDescent="0.3">
      <c r="C568" s="21" t="s">
        <v>32</v>
      </c>
      <c r="D568" s="19">
        <f>分布式光伏电站IRR汇总!$B$8</f>
        <v>1.8870000000000002</v>
      </c>
      <c r="F568" s="6" t="s">
        <v>17</v>
      </c>
      <c r="G568" s="33">
        <f>SUM(H569:AA569)</f>
        <v>2.5425634189238777</v>
      </c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 spans="3:27" hidden="1" outlineLevel="1" x14ac:dyDescent="0.3">
      <c r="C569" s="21" t="s">
        <v>33</v>
      </c>
      <c r="D569" s="19">
        <f>分布式光伏电站IRR汇总!$B$9</f>
        <v>0.18500000000000003</v>
      </c>
      <c r="F569" s="7" t="s">
        <v>18</v>
      </c>
      <c r="G569" s="33"/>
      <c r="H569" s="33">
        <f>D583*D562/((1+G561)^H563)</f>
        <v>0.22429906542056072</v>
      </c>
      <c r="I569" s="33">
        <f>D583*D562/((1+G561)^I563)</f>
        <v>0.20962529478557079</v>
      </c>
      <c r="J569" s="33">
        <f>D583*D562/((1+G561)^J563)</f>
        <v>0.19591149045380446</v>
      </c>
      <c r="K569" s="33">
        <f>D583*D562/((1+G561)^K563)</f>
        <v>0.18309485089140604</v>
      </c>
      <c r="L569" s="33">
        <f>D583*D562/((1+G561)^L563)</f>
        <v>0.17111668307608041</v>
      </c>
      <c r="M569" s="33">
        <f>D583*D562/((1+G561)^M563)</f>
        <v>0.15992213371596301</v>
      </c>
      <c r="N569" s="33">
        <f>D583*D562/((1+G561)^N563)</f>
        <v>0.14945993805230187</v>
      </c>
      <c r="O569" s="33">
        <f>D583*D562/((1+G561)^O563)</f>
        <v>0.13968218509560923</v>
      </c>
      <c r="P569" s="33">
        <f>D583*D562/((1+G561)^P563)</f>
        <v>0.13054409822019553</v>
      </c>
      <c r="Q569" s="33">
        <f>D583*D562/((1+G561)^Q563)</f>
        <v>0.12200383011233226</v>
      </c>
      <c r="R569" s="33">
        <f>D583*D562/((1+G561)^R563)</f>
        <v>0.1140222711330208</v>
      </c>
      <c r="S569" s="33">
        <f>D583*D562/((1+G561)^S563)</f>
        <v>0.10656287021777647</v>
      </c>
      <c r="T569" s="33">
        <f>D583*D562/((1+G561)^T563)</f>
        <v>9.9591467493249028E-2</v>
      </c>
      <c r="U569" s="33">
        <f>D583*D562/((1+G561)^U563)</f>
        <v>9.3076137844157969E-2</v>
      </c>
      <c r="V569" s="33">
        <f>D583*D562/((1+G561)^V563)</f>
        <v>8.6987044714166323E-2</v>
      </c>
      <c r="W569" s="33">
        <f>D583*D562/((1+G561)^W563)</f>
        <v>8.1296303471183481E-2</v>
      </c>
      <c r="X569" s="33">
        <f>D583*D562/((1+G561)^X563)</f>
        <v>7.5977853711386434E-2</v>
      </c>
      <c r="Y569" s="33">
        <f>D583*D562/((1+G561)^Y563)</f>
        <v>7.1007339917183582E-2</v>
      </c>
      <c r="Z569" s="33">
        <f>D583*D562/((1+G561)^Z563)</f>
        <v>6.6361999922601472E-2</v>
      </c>
      <c r="AA569" s="33">
        <f>D583*D562/((1+G561)^AA563)</f>
        <v>6.2020560675328483E-2</v>
      </c>
    </row>
    <row r="570" spans="3:27" hidden="1" outlineLevel="1" x14ac:dyDescent="0.3">
      <c r="C570" s="21" t="s">
        <v>34</v>
      </c>
      <c r="D570" s="19">
        <f>分布式光伏电站IRR汇总!$B$10</f>
        <v>0.222</v>
      </c>
      <c r="F570" s="6" t="s">
        <v>19</v>
      </c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>
        <f>D583*D586/((1+G561)^AA563)</f>
        <v>0.2544083398901974</v>
      </c>
    </row>
    <row r="571" spans="3:27" hidden="1" outlineLevel="1" x14ac:dyDescent="0.3">
      <c r="C571" s="21" t="s">
        <v>35</v>
      </c>
      <c r="D571" s="19">
        <f>分布式光伏电站IRR汇总!$B$11</f>
        <v>0.44400000000000001</v>
      </c>
      <c r="F571" s="8" t="s">
        <v>64</v>
      </c>
      <c r="G571" s="33">
        <f>SUM(H572:AA572)</f>
        <v>72572.760466741267</v>
      </c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 spans="3:27" hidden="1" outlineLevel="1" x14ac:dyDescent="0.3">
      <c r="C572" s="21" t="s">
        <v>36</v>
      </c>
      <c r="D572" s="19">
        <f>分布式光伏电站IRR汇总!$B$12</f>
        <v>0.222</v>
      </c>
      <c r="F572" s="9" t="s">
        <v>65</v>
      </c>
      <c r="G572" s="33"/>
      <c r="H572" s="33">
        <f>D562*D579*(1-D581)*D585/((1+G561)^H563)</f>
        <v>6614.9450467289698</v>
      </c>
      <c r="I572" s="33">
        <f>D562*D579*(1-D581)*(1-D582)^(I563-1)*D585/((1+G561)^I563)</f>
        <v>6154.3717701109263</v>
      </c>
      <c r="J572" s="33">
        <f>D562*D579*(1-D581)*(1-D582)^(J563-1)*D585/((1+G561)^J563)</f>
        <v>5725.8664459303054</v>
      </c>
      <c r="K572" s="33">
        <f>D562*D579*(1-D581)*(1-D582)^(K563-1)*D585/((1+G561)^K563)</f>
        <v>5327.1963055360939</v>
      </c>
      <c r="L572" s="33">
        <f>D562*D579*(1-D581)*(1-D582)^(L563-1)*D585/((1+G561)^L563)</f>
        <v>4956.2840394029727</v>
      </c>
      <c r="M572" s="33">
        <f>D562*D579*(1-D581)*(1-D582)^(M563-1)*D585/((1+G561)^M563)</f>
        <v>4611.1969731080935</v>
      </c>
      <c r="N572" s="33">
        <f>D562*D579*(1-D581)*(1-D582)^(N563-1)*D585/((1+G561)^N563)</f>
        <v>4290.1369969430907</v>
      </c>
      <c r="O572" s="33">
        <f>D562*D579*(1-D581)*(1-D582)^(O563-1)*D585/((1+G561)^O563)</f>
        <v>3991.4311966886421</v>
      </c>
      <c r="P572" s="33">
        <f>D562*D579*(1-D581)*(1-D582)^(P563-1)*D585/((1+G561)^P563)</f>
        <v>3713.5231367322831</v>
      </c>
      <c r="Q572" s="33">
        <f>D562*D579*(1-D581)*(1-D582)^(Q563-1)*D585/((1+G561)^Q563)</f>
        <v>3454.9647501093355</v>
      </c>
      <c r="R572" s="33">
        <f>D562*D579*(1-D581)*(1-D582)^(R563-1)*D585/((1+G561)^R563)</f>
        <v>3214.4087932091993</v>
      </c>
      <c r="S572" s="33">
        <f>D562*D579*(1-D581)*(1-D582)^(S563-1)*D585/((1+G561)^S563)</f>
        <v>2990.6018258315498</v>
      </c>
      <c r="T572" s="33">
        <f>D562*D579*(1-D581)*(1-D582)^(T563-1)*D585/((1+G561)^T563)</f>
        <v>2782.3776800143064</v>
      </c>
      <c r="U572" s="33">
        <f>D562*D579*(1-D581)*(1-D582)^(U563-1)*D585/((1+G561)^U563)</f>
        <v>2588.6513836020954</v>
      </c>
      <c r="V572" s="33">
        <f>D562*D579*(1-D581)*(1-D582)^(V563-1)*D585/((1+G561)^V563)</f>
        <v>2408.413506893351</v>
      </c>
      <c r="W572" s="33">
        <f>D562*D579*(1-D581)*(1-D582)^(W563-1)*D585/((1+G561)^W563)</f>
        <v>2240.7249029087211</v>
      </c>
      <c r="X572" s="33">
        <f>D562*D579*(1-D581)*(1-D582)^(X563-1)*D585/((1+G561)^X563)</f>
        <v>2084.7118138744227</v>
      </c>
      <c r="Y572" s="33">
        <f>D562*D579*(1-D581)*(1-D582)^(Y563-1)*D585/((1+G561)^Y563)</f>
        <v>1939.5613184224183</v>
      </c>
      <c r="Z572" s="33">
        <f>D562*D579*(1-D581)*(1-D582)^(Z563-1)*D585/((1+G561)^Z563)</f>
        <v>1804.517095784596</v>
      </c>
      <c r="AA572" s="33">
        <f>D562*D579*(1-D581)*(1-D582)^(AA563-1)*D585/((1+G561)^AA563)</f>
        <v>1678.8754849098743</v>
      </c>
    </row>
    <row r="573" spans="3:27" hidden="1" outlineLevel="1" x14ac:dyDescent="0.3">
      <c r="C573" s="21" t="s">
        <v>37</v>
      </c>
      <c r="D573" s="19">
        <f>分布式光伏电站IRR汇总!$B$13</f>
        <v>0.15</v>
      </c>
      <c r="F573" s="4" t="s">
        <v>66</v>
      </c>
      <c r="G573" s="33">
        <f>SUM(H574:AA574)</f>
        <v>35.016719789004988</v>
      </c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 spans="3:27" hidden="1" outlineLevel="1" x14ac:dyDescent="0.3">
      <c r="C574" s="21" t="s">
        <v>38</v>
      </c>
      <c r="D574" s="19">
        <f>分布式光伏电站IRR汇总!$B$14</f>
        <v>3.7000000000000005E-2</v>
      </c>
      <c r="F574" s="7" t="s">
        <v>67</v>
      </c>
      <c r="G574" s="33"/>
      <c r="H574" s="33">
        <f>H572*D590/1000</f>
        <v>3.1917440597719615</v>
      </c>
      <c r="I574" s="33">
        <f>I572*D590/1000</f>
        <v>2.9695151509373727</v>
      </c>
      <c r="J574" s="33">
        <f>J572*D590/1000</f>
        <v>2.7627591894936021</v>
      </c>
      <c r="K574" s="33">
        <f>K572*D590/1000</f>
        <v>2.5703988534026929</v>
      </c>
      <c r="L574" s="33">
        <f>L572*D590/1000</f>
        <v>2.3914318304321314</v>
      </c>
      <c r="M574" s="33">
        <f>M572*D590/1000</f>
        <v>2.2249255955095211</v>
      </c>
      <c r="N574" s="33">
        <f>N572*D590/1000</f>
        <v>2.0700125517100258</v>
      </c>
      <c r="O574" s="33">
        <f>O572*D590/1000</f>
        <v>1.9258855095582532</v>
      </c>
      <c r="P574" s="33">
        <f>P572*D590/1000</f>
        <v>1.7917934810890104</v>
      </c>
      <c r="Q574" s="33">
        <f>Q572*D590/1000</f>
        <v>1.6670377667515048</v>
      </c>
      <c r="R574" s="33">
        <f>R572*D590/1000</f>
        <v>1.5509683147674047</v>
      </c>
      <c r="S574" s="33">
        <f>S572*D590/1000</f>
        <v>1.442980333972852</v>
      </c>
      <c r="T574" s="33">
        <f>T572*D590/1000</f>
        <v>1.3425111424953029</v>
      </c>
      <c r="U574" s="33">
        <f>U572*D590/1000</f>
        <v>1.2490372358449291</v>
      </c>
      <c r="V574" s="33">
        <f>V572*D590/1000</f>
        <v>1.1620715591435764</v>
      </c>
      <c r="W574" s="33">
        <f>W572*D590/1000</f>
        <v>1.0811609692779725</v>
      </c>
      <c r="X574" s="33">
        <f>X572*D590/1000</f>
        <v>1.0058838737534783</v>
      </c>
      <c r="Y574" s="33">
        <f>Y572*D590/1000</f>
        <v>0.93584803394540894</v>
      </c>
      <c r="Z574" s="33">
        <f>Z572*D590/1000</f>
        <v>0.8706885213015465</v>
      </c>
      <c r="AA574" s="33">
        <f>AA572*D590/1000</f>
        <v>0.81006581584643889</v>
      </c>
    </row>
    <row r="575" spans="3:27" hidden="1" outlineLevel="1" x14ac:dyDescent="0.3">
      <c r="C575" s="21" t="s">
        <v>39</v>
      </c>
      <c r="D575" s="19">
        <f>分布式光伏电站IRR汇总!$B$15</f>
        <v>0.25900000000000006</v>
      </c>
      <c r="F575" s="4" t="s">
        <v>20</v>
      </c>
      <c r="G575" s="33">
        <f>SUM(H576:V576)</f>
        <v>4.3698460469252502</v>
      </c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 spans="3:27" hidden="1" outlineLevel="1" x14ac:dyDescent="0.3">
      <c r="C576" s="21" t="s">
        <v>40</v>
      </c>
      <c r="D576" s="19">
        <f>分布式光伏电站IRR汇总!$B$16</f>
        <v>7.400000000000001E-2</v>
      </c>
      <c r="F576" s="7" t="s">
        <v>21</v>
      </c>
      <c r="G576" s="33"/>
      <c r="H576" s="33">
        <f>(H574-H567-H569)*G562</f>
        <v>0.46871405232616803</v>
      </c>
      <c r="I576" s="33">
        <f>(I574-I567-I569)*G562</f>
        <v>0.4346947105223597</v>
      </c>
      <c r="J576" s="33">
        <f>(J574-J567-J569)*G562</f>
        <v>0.40313458502575245</v>
      </c>
      <c r="K576" s="33">
        <f>(K574-K567-K569)*G562</f>
        <v>0.37385652424072174</v>
      </c>
      <c r="L576" s="33">
        <f>(L574-L567-L569)*G562</f>
        <v>0.34669609862676976</v>
      </c>
      <c r="M576" s="33">
        <f>(M574-M567-M569)*G562</f>
        <v>0.321500689549097</v>
      </c>
      <c r="N576" s="33">
        <f>(N574-N567-N569)*G562</f>
        <v>0.29812864322817634</v>
      </c>
      <c r="O576" s="33">
        <f>(O574-O567-O569)*G562</f>
        <v>0.27644848514719866</v>
      </c>
      <c r="P576" s="33">
        <f>(P574-P567-P569)*G562</f>
        <v>0.25633819060649132</v>
      </c>
      <c r="Q576" s="33">
        <f>(Q574-Q567-Q569)*G562</f>
        <v>0.23768450742080954</v>
      </c>
      <c r="R576" s="33">
        <f>(R574-R567-R569)*G562</f>
        <v>0.22038232704038704</v>
      </c>
      <c r="S576" s="33">
        <f>(S574-S567-S569)*G562</f>
        <v>0.20433410064137733</v>
      </c>
      <c r="T576" s="33">
        <f>(T574-T567-T569)*G562</f>
        <v>0.18944929697725035</v>
      </c>
      <c r="U576" s="33">
        <f>(U574-U567-U569)*G562</f>
        <v>0.17564389901116179</v>
      </c>
      <c r="V576" s="33">
        <f>(V574-V567-V569)*G562</f>
        <v>0.1628399365615292</v>
      </c>
      <c r="W576" s="33">
        <f>(W574-W567-W569)*G562</f>
        <v>0.15096505239018013</v>
      </c>
      <c r="X576" s="33">
        <f>(X574-X567-X569)*G562</f>
        <v>0.13995209934555369</v>
      </c>
      <c r="Y576" s="33">
        <f>(Y574-Y567-Y569)*G562</f>
        <v>0.12973876634353365</v>
      </c>
      <c r="Z576" s="33">
        <f>(Z574-Z567-Z569)*G562</f>
        <v>0.12026723112649074</v>
      </c>
      <c r="AA576" s="33">
        <f>(AA574-AA567-AA569)*G562</f>
        <v>0.11148383788787528</v>
      </c>
    </row>
    <row r="577" spans="3:27" hidden="1" outlineLevel="1" x14ac:dyDescent="0.3">
      <c r="C577" s="21" t="s">
        <v>41</v>
      </c>
      <c r="D577" s="19">
        <f>分布式光伏电站IRR汇总!$B$17</f>
        <v>0.222</v>
      </c>
      <c r="F577" s="10" t="s">
        <v>22</v>
      </c>
      <c r="G577" s="33">
        <f>-G565</f>
        <v>-24.611999999999995</v>
      </c>
      <c r="H577" s="33">
        <f t="shared" ref="H577:AA577" si="150">H574-H576-H569</f>
        <v>2.4987309420252326</v>
      </c>
      <c r="I577" s="33">
        <f t="shared" si="150"/>
        <v>2.3251951456294426</v>
      </c>
      <c r="J577" s="33">
        <f t="shared" si="150"/>
        <v>2.1637131140140453</v>
      </c>
      <c r="K577" s="33">
        <f t="shared" si="150"/>
        <v>2.0134474782705651</v>
      </c>
      <c r="L577" s="33">
        <f t="shared" si="150"/>
        <v>1.873619048729281</v>
      </c>
      <c r="M577" s="33">
        <f t="shared" si="150"/>
        <v>1.7435027722444609</v>
      </c>
      <c r="N577" s="33">
        <f t="shared" si="150"/>
        <v>1.6224239704295478</v>
      </c>
      <c r="O577" s="33">
        <f t="shared" si="150"/>
        <v>1.5097548393154454</v>
      </c>
      <c r="P577" s="33">
        <f t="shared" si="150"/>
        <v>1.4049111922623236</v>
      </c>
      <c r="Q577" s="33">
        <f t="shared" si="150"/>
        <v>1.3073494292183629</v>
      </c>
      <c r="R577" s="33">
        <f t="shared" si="150"/>
        <v>1.2165637165939969</v>
      </c>
      <c r="S577" s="33">
        <f t="shared" si="150"/>
        <v>1.1320833631136982</v>
      </c>
      <c r="T577" s="33">
        <f t="shared" si="150"/>
        <v>1.0534703780248036</v>
      </c>
      <c r="U577" s="33">
        <f t="shared" si="150"/>
        <v>0.98031719898960934</v>
      </c>
      <c r="V577" s="33">
        <f t="shared" si="150"/>
        <v>0.91224457786788093</v>
      </c>
      <c r="W577" s="33">
        <f t="shared" si="150"/>
        <v>0.84889961341660891</v>
      </c>
      <c r="X577" s="33">
        <f t="shared" si="150"/>
        <v>0.78995392069653825</v>
      </c>
      <c r="Y577" s="33">
        <f t="shared" si="150"/>
        <v>0.73510192768469174</v>
      </c>
      <c r="Z577" s="33">
        <f t="shared" si="150"/>
        <v>0.68405929025245427</v>
      </c>
      <c r="AA577" s="33">
        <f t="shared" si="150"/>
        <v>0.63656141728323512</v>
      </c>
    </row>
    <row r="578" spans="3:27" ht="13.5" hidden="1" outlineLevel="1" thickBot="1" x14ac:dyDescent="0.35">
      <c r="C578" s="21" t="s">
        <v>74</v>
      </c>
      <c r="D578" s="19">
        <f>分布式光伏电站IRR汇总!$B$18</f>
        <v>0.4</v>
      </c>
      <c r="F578" s="3" t="s">
        <v>61</v>
      </c>
      <c r="G578" s="35">
        <f>SUM(G577:AA577)/G565</f>
        <v>0.11538693873160372</v>
      </c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3:27" ht="13.5" hidden="1" outlineLevel="1" thickTop="1" x14ac:dyDescent="0.3">
      <c r="C579" s="18" t="s">
        <v>58</v>
      </c>
      <c r="D579" s="19">
        <f>分布式光伏电站IRR汇总!$B$19</f>
        <v>0.86599999999999999</v>
      </c>
    </row>
    <row r="580" spans="3:27" hidden="1" outlineLevel="1" x14ac:dyDescent="0.3">
      <c r="C580" s="18" t="s">
        <v>62</v>
      </c>
      <c r="D580" s="19">
        <f>分布式光伏电站IRR汇总!$B$20</f>
        <v>20</v>
      </c>
      <c r="F580" s="13" t="s">
        <v>25</v>
      </c>
      <c r="G580" s="14">
        <v>0</v>
      </c>
    </row>
    <row r="581" spans="3:27" hidden="1" outlineLevel="1" x14ac:dyDescent="0.3">
      <c r="C581" s="18" t="s">
        <v>59</v>
      </c>
      <c r="D581" s="52">
        <f>分布式光伏电站IRR汇总!$B$21</f>
        <v>0.02</v>
      </c>
      <c r="F581" s="13" t="s">
        <v>26</v>
      </c>
      <c r="G581" s="14">
        <v>0.25</v>
      </c>
      <c r="Q581" s="15"/>
    </row>
    <row r="582" spans="3:27" hidden="1" outlineLevel="1" x14ac:dyDescent="0.3">
      <c r="C582" s="18" t="s">
        <v>60</v>
      </c>
      <c r="D582" s="52">
        <f>分布式光伏电站IRR汇总!$B$22</f>
        <v>4.4999999999999997E-3</v>
      </c>
      <c r="F582" s="1" t="s">
        <v>44</v>
      </c>
      <c r="G582" s="4"/>
      <c r="H582" s="5">
        <v>1</v>
      </c>
      <c r="I582" s="5">
        <v>2</v>
      </c>
      <c r="J582" s="5">
        <v>3</v>
      </c>
      <c r="K582" s="5">
        <v>4</v>
      </c>
      <c r="L582" s="5">
        <v>5</v>
      </c>
      <c r="M582" s="5">
        <v>6</v>
      </c>
      <c r="N582" s="5">
        <v>7</v>
      </c>
      <c r="O582" s="5">
        <v>8</v>
      </c>
      <c r="P582" s="5">
        <v>9</v>
      </c>
      <c r="Q582" s="5">
        <v>10</v>
      </c>
      <c r="R582" s="5">
        <v>11</v>
      </c>
      <c r="S582" s="5">
        <v>12</v>
      </c>
      <c r="T582" s="5">
        <v>13</v>
      </c>
      <c r="U582" s="5">
        <v>14</v>
      </c>
      <c r="V582" s="5">
        <v>15</v>
      </c>
      <c r="W582" s="5">
        <v>16</v>
      </c>
      <c r="X582" s="5">
        <v>17</v>
      </c>
      <c r="Y582" s="5">
        <v>18</v>
      </c>
      <c r="Z582" s="5">
        <v>19</v>
      </c>
      <c r="AA582" s="5">
        <v>20</v>
      </c>
    </row>
    <row r="583" spans="3:27" hidden="1" outlineLevel="1" x14ac:dyDescent="0.3">
      <c r="C583" s="18" t="s">
        <v>28</v>
      </c>
      <c r="D583" s="29">
        <f>分布式光伏电站IRR汇总!$B$23</f>
        <v>0.04</v>
      </c>
      <c r="F583" s="16"/>
      <c r="G583" s="2" t="s">
        <v>0</v>
      </c>
      <c r="H583" s="2" t="s">
        <v>1</v>
      </c>
      <c r="I583" s="2" t="s">
        <v>2</v>
      </c>
      <c r="J583" s="2" t="s">
        <v>3</v>
      </c>
      <c r="K583" s="2" t="s">
        <v>4</v>
      </c>
      <c r="L583" s="2" t="s">
        <v>5</v>
      </c>
      <c r="M583" s="2" t="s">
        <v>6</v>
      </c>
      <c r="N583" s="2" t="s">
        <v>7</v>
      </c>
      <c r="O583" s="2" t="s">
        <v>8</v>
      </c>
      <c r="P583" s="2" t="s">
        <v>9</v>
      </c>
      <c r="Q583" s="2" t="s">
        <v>10</v>
      </c>
      <c r="R583" s="2" t="s">
        <v>11</v>
      </c>
      <c r="S583" s="2" t="s">
        <v>12</v>
      </c>
      <c r="T583" s="2" t="s">
        <v>13</v>
      </c>
      <c r="U583" s="2" t="s">
        <v>45</v>
      </c>
      <c r="V583" s="2" t="s">
        <v>46</v>
      </c>
      <c r="W583" s="2" t="s">
        <v>47</v>
      </c>
      <c r="X583" s="2" t="s">
        <v>48</v>
      </c>
      <c r="Y583" s="2" t="s">
        <v>49</v>
      </c>
      <c r="Z583" s="2" t="s">
        <v>50</v>
      </c>
      <c r="AA583" s="2" t="s">
        <v>51</v>
      </c>
    </row>
    <row r="584" spans="3:27" hidden="1" outlineLevel="1" x14ac:dyDescent="0.3">
      <c r="C584" s="18" t="s">
        <v>43</v>
      </c>
      <c r="D584" s="19">
        <f>分布式光伏电站IRR汇总!$B$24</f>
        <v>0.05</v>
      </c>
      <c r="F584" s="6" t="s">
        <v>14</v>
      </c>
      <c r="G584" s="33">
        <f>D586</f>
        <v>24.611999999999995</v>
      </c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 spans="3:27" hidden="1" outlineLevel="1" x14ac:dyDescent="0.3">
      <c r="C585" s="18" t="s">
        <v>126</v>
      </c>
      <c r="D585" s="28">
        <f>Backup分地区光伏小时数及电价!E13</f>
        <v>1390</v>
      </c>
      <c r="F585" s="6" t="s">
        <v>15</v>
      </c>
      <c r="G585" s="33">
        <f>SUM(H586:AA586)</f>
        <v>23.381399999999985</v>
      </c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 spans="3:27" hidden="1" outlineLevel="1" x14ac:dyDescent="0.3">
      <c r="C586" s="24" t="s">
        <v>14</v>
      </c>
      <c r="D586" s="30">
        <f>D562*D567</f>
        <v>24.611999999999995</v>
      </c>
      <c r="F586" s="7" t="s">
        <v>16</v>
      </c>
      <c r="G586" s="33"/>
      <c r="H586" s="33">
        <f>D586*(1-D584)/D580/((1+G580)^H582)</f>
        <v>1.1690699999999996</v>
      </c>
      <c r="I586" s="33">
        <f>D586*(1-D584)/D580/((1+G580)^I582)</f>
        <v>1.1690699999999996</v>
      </c>
      <c r="J586" s="33">
        <f>D586*(1-D584)/D580/((1+G580)^J582)</f>
        <v>1.1690699999999996</v>
      </c>
      <c r="K586" s="33">
        <f>D586*(1-D584)/D580/((1+G580)^K582)</f>
        <v>1.1690699999999996</v>
      </c>
      <c r="L586" s="33">
        <f>D586*(1-D584)/D580/((1+G580)^L582)</f>
        <v>1.1690699999999996</v>
      </c>
      <c r="M586" s="33">
        <f>D586*(1-D584)/D580/((1+G580)^M582)</f>
        <v>1.1690699999999996</v>
      </c>
      <c r="N586" s="33">
        <f>D586*(1-D584)/D580/((1+G580)^N582)</f>
        <v>1.1690699999999996</v>
      </c>
      <c r="O586" s="33">
        <f>D586*(1-D584)/D580/((1+G580)^O582)</f>
        <v>1.1690699999999996</v>
      </c>
      <c r="P586" s="33">
        <f>D586*(1-D584)/D580/((1+G580)^P582)</f>
        <v>1.1690699999999996</v>
      </c>
      <c r="Q586" s="33">
        <f>D586*(1-D584)/D580/((1+G580)^Q582)</f>
        <v>1.1690699999999996</v>
      </c>
      <c r="R586" s="33">
        <f>D586*(1-D584)/D580/((1+G580)^R582)</f>
        <v>1.1690699999999996</v>
      </c>
      <c r="S586" s="33">
        <f>D586*(1-D584)/D580/((1+G580)^S582)</f>
        <v>1.1690699999999996</v>
      </c>
      <c r="T586" s="33">
        <f>D586*(1-D584)/D580/((1+G580)^T582)</f>
        <v>1.1690699999999996</v>
      </c>
      <c r="U586" s="33">
        <f>D586*(1-D584)/D580/((1+G580)^U582)</f>
        <v>1.1690699999999996</v>
      </c>
      <c r="V586" s="33">
        <f>D586*(1-D584)/D580/((1+G580)^V582)</f>
        <v>1.1690699999999996</v>
      </c>
      <c r="W586" s="33">
        <f>D586*(1-D584)/D580/((1+G580)^W582)</f>
        <v>1.1690699999999996</v>
      </c>
      <c r="X586" s="33">
        <f>D586*(1-D584)/D580/((1+G580)^X582)</f>
        <v>1.1690699999999996</v>
      </c>
      <c r="Y586" s="33">
        <f>D586*(1-D584)/D580/((1+G580)^Y582)</f>
        <v>1.1690699999999996</v>
      </c>
      <c r="Z586" s="33">
        <f>D586*(1-D584)/D580/((1+G580)^Z582)</f>
        <v>1.1690699999999996</v>
      </c>
      <c r="AA586" s="33">
        <f>D586*(1-D584)/D580/((1+G580)^AA582)</f>
        <v>1.1690699999999996</v>
      </c>
    </row>
    <row r="587" spans="3:27" hidden="1" outlineLevel="1" x14ac:dyDescent="0.3">
      <c r="C587" s="18" t="s">
        <v>29</v>
      </c>
      <c r="D587" s="29">
        <v>0.35980000000000001</v>
      </c>
      <c r="F587" s="6" t="s">
        <v>17</v>
      </c>
      <c r="G587" s="33">
        <f>SUM(H588:AA588)</f>
        <v>4.8000000000000025</v>
      </c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 spans="3:27" hidden="1" outlineLevel="1" x14ac:dyDescent="0.3">
      <c r="C588" s="18" t="s">
        <v>30</v>
      </c>
      <c r="D588" s="31">
        <f>Backup分地区光伏小时数及电价!I13</f>
        <v>0.48250500000000002</v>
      </c>
      <c r="F588" s="7" t="s">
        <v>18</v>
      </c>
      <c r="G588" s="33"/>
      <c r="H588" s="33">
        <f>D583*D562/((1+G580)^H582)</f>
        <v>0.24</v>
      </c>
      <c r="I588" s="33">
        <f>D583*D562/((1+G580)^I582)</f>
        <v>0.24</v>
      </c>
      <c r="J588" s="33">
        <f>D583*D562/((1+G580)^J582)</f>
        <v>0.24</v>
      </c>
      <c r="K588" s="33">
        <f>D583*D562/((1+G580)^K582)</f>
        <v>0.24</v>
      </c>
      <c r="L588" s="33">
        <f>D583*D562/((1+G580)^L582)</f>
        <v>0.24</v>
      </c>
      <c r="M588" s="33">
        <f>D583*D562/((1+G580)^M582)</f>
        <v>0.24</v>
      </c>
      <c r="N588" s="33">
        <f>D583*D562/((1+G580)^N582)</f>
        <v>0.24</v>
      </c>
      <c r="O588" s="33">
        <f>D583*D562/((1+G580)^O582)</f>
        <v>0.24</v>
      </c>
      <c r="P588" s="33">
        <f>D583*D562/((1+G580)^P582)</f>
        <v>0.24</v>
      </c>
      <c r="Q588" s="33">
        <f>D583*D562/((1+G580)^Q582)</f>
        <v>0.24</v>
      </c>
      <c r="R588" s="33">
        <f>D583*D562/((1+G580)^R582)</f>
        <v>0.24</v>
      </c>
      <c r="S588" s="33">
        <f>D583*D562/((1+G580)^S582)</f>
        <v>0.24</v>
      </c>
      <c r="T588" s="33">
        <f>D583*D562/((1+G580)^T582)</f>
        <v>0.24</v>
      </c>
      <c r="U588" s="33">
        <f>D583*D562/((1+G580)^U582)</f>
        <v>0.24</v>
      </c>
      <c r="V588" s="33">
        <f>D583*D562/((1+G580)^V582)</f>
        <v>0.24</v>
      </c>
      <c r="W588" s="33">
        <f>D583*D562/((1+G580)^W582)</f>
        <v>0.24</v>
      </c>
      <c r="X588" s="33">
        <f>D583*D562/((1+G580)^X582)</f>
        <v>0.24</v>
      </c>
      <c r="Y588" s="33">
        <f>D583*D562/((1+G580)^Y582)</f>
        <v>0.24</v>
      </c>
      <c r="Z588" s="33">
        <f>D583*D562/((1+G580)^Z582)</f>
        <v>0.24</v>
      </c>
      <c r="AA588" s="33">
        <f>D583*D562/((1+G580)^AA582)</f>
        <v>0.24</v>
      </c>
    </row>
    <row r="589" spans="3:27" hidden="1" outlineLevel="1" x14ac:dyDescent="0.3">
      <c r="C589" s="18" t="s">
        <v>70</v>
      </c>
      <c r="D589" s="32">
        <f>分布式光伏电站IRR汇总!$B$27</f>
        <v>1</v>
      </c>
      <c r="F589" s="6" t="s">
        <v>19</v>
      </c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>
        <f>D583*D586/((1+G580)^AA582)</f>
        <v>0.9844799999999998</v>
      </c>
    </row>
    <row r="590" spans="3:27" hidden="1" outlineLevel="1" x14ac:dyDescent="0.3">
      <c r="C590" s="18" t="s">
        <v>69</v>
      </c>
      <c r="D590" s="31">
        <f>D589*D588</f>
        <v>0.48250500000000002</v>
      </c>
      <c r="F590" s="8" t="s">
        <v>64</v>
      </c>
      <c r="G590" s="33">
        <f>SUM(H591:AA591)</f>
        <v>135668.45651069726</v>
      </c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 spans="3:27" hidden="1" outlineLevel="1" x14ac:dyDescent="0.3">
      <c r="C591" s="18" t="s">
        <v>31</v>
      </c>
      <c r="D591" s="27">
        <v>0</v>
      </c>
      <c r="F591" s="9" t="s">
        <v>65</v>
      </c>
      <c r="G591" s="33"/>
      <c r="H591" s="33">
        <f>D562*D579*(1-D581)*D585/((1+G580)^H582)</f>
        <v>7077.9911999999986</v>
      </c>
      <c r="I591" s="33">
        <f>D562*D579*(1-D581)*(1-D582)^(I582-1)*D585/((1+G580)^I582)</f>
        <v>7046.1402395999994</v>
      </c>
      <c r="J591" s="33">
        <f>D562*D579*(1-D581)*(1-D582)^(J582-1)*D585/((1+G580)^J582)</f>
        <v>7014.4326085217999</v>
      </c>
      <c r="K591" s="33">
        <f>D562*D579*(1-D581)*(1-D582)^(K582-1)*D585/((1+G580)^K582)</f>
        <v>6982.8676617834526</v>
      </c>
      <c r="L591" s="33">
        <f>D562*D579*(1-D581)*(1-D582)^(L582-1)*D585/((1+G580)^L582)</f>
        <v>6951.4447573054276</v>
      </c>
      <c r="M591" s="33">
        <f>D562*D579*(1-D581)*(1-D582)^(M582-1)*D585/((1+G580)^M582)</f>
        <v>6920.1632558975534</v>
      </c>
      <c r="N591" s="33">
        <f>D562*D579*(1-D581)*(1-D582)^(N582-1)*D585/((1+G580)^N582)</f>
        <v>6889.0225212460145</v>
      </c>
      <c r="O591" s="33">
        <f>D562*D579*(1-D581)*(1-D582)^(O582-1)*D585/((1+G580)^O582)</f>
        <v>6858.0219199004077</v>
      </c>
      <c r="P591" s="33">
        <f>D562*D579*(1-D581)*(1-D582)^(P582-1)*D585/((1+G580)^P582)</f>
        <v>6827.1608212608562</v>
      </c>
      <c r="Q591" s="33">
        <f>D562*D579*(1-D581)*(1-D582)^(Q582-1)*D585/((1+G580)^Q582)</f>
        <v>6796.438597565184</v>
      </c>
      <c r="R591" s="33">
        <f>D562*D579*(1-D581)*(1-D582)^(R582-1)*D585/((1+G580)^R582)</f>
        <v>6765.854623876141</v>
      </c>
      <c r="S591" s="33">
        <f>D562*D579*(1-D581)*(1-D582)^(S582-1)*D585/((1+G580)^S582)</f>
        <v>6735.4082780686977</v>
      </c>
      <c r="T591" s="33">
        <f>D562*D579*(1-D581)*(1-D582)^(T582-1)*D585/((1+G580)^T582)</f>
        <v>6705.09894081739</v>
      </c>
      <c r="U591" s="33">
        <f>D562*D579*(1-D581)*(1-D582)^(U582-1)*D585/((1+G580)^U582)</f>
        <v>6674.9259955837115</v>
      </c>
      <c r="V591" s="33">
        <f>D562*D579*(1-D581)*(1-D582)^(V582-1)*D585/((1+G580)^V582)</f>
        <v>6644.8888286035844</v>
      </c>
      <c r="W591" s="33">
        <f>D562*D579*(1-D581)*(1-D582)^(W582-1)*D585/((1+G580)^W582)</f>
        <v>6614.9868288748694</v>
      </c>
      <c r="X591" s="33">
        <f>D562*D579*(1-D581)*(1-D582)^(X582-1)*D585/((1+G580)^X582)</f>
        <v>6585.219388144933</v>
      </c>
      <c r="Y591" s="33">
        <f>D562*D579*(1-D581)*(1-D582)^(Y582-1)*D585/((1+G580)^Y582)</f>
        <v>6555.5859008982807</v>
      </c>
      <c r="Z591" s="33">
        <f>D562*D579*(1-D581)*(1-D582)^(Z582-1)*D585/((1+G580)^Z582)</f>
        <v>6526.0857643442396</v>
      </c>
      <c r="AA591" s="33">
        <f>D562*D579*(1-D581)*(1-D582)^(AA582-1)*D585/((1+G580)^AA582)</f>
        <v>6496.7183784046911</v>
      </c>
    </row>
    <row r="592" spans="3:27" hidden="1" outlineLevel="1" x14ac:dyDescent="0.3">
      <c r="F592" s="4" t="s">
        <v>66</v>
      </c>
      <c r="G592" s="33">
        <f>SUM(H593:AA593)</f>
        <v>65.460708608693977</v>
      </c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 spans="2:27" hidden="1" outlineLevel="1" x14ac:dyDescent="0.3">
      <c r="F593" s="7" t="s">
        <v>67</v>
      </c>
      <c r="G593" s="33"/>
      <c r="H593" s="33">
        <f>H591*D590/1000</f>
        <v>3.4151661439559993</v>
      </c>
      <c r="I593" s="33">
        <f>I591*D590/1000</f>
        <v>3.3997978963081978</v>
      </c>
      <c r="J593" s="33">
        <f>J591*D590/1000</f>
        <v>3.3844988057748111</v>
      </c>
      <c r="K593" s="33">
        <f>K591*D590/1000</f>
        <v>3.3692685611488251</v>
      </c>
      <c r="L593" s="33">
        <f>L591*D590/1000</f>
        <v>3.3541068526236555</v>
      </c>
      <c r="M593" s="33">
        <f>M591*D590/1000</f>
        <v>3.3390133717868493</v>
      </c>
      <c r="N593" s="33">
        <f>N591*D590/1000</f>
        <v>3.3239878116138084</v>
      </c>
      <c r="O593" s="33">
        <f>O591*D590/1000</f>
        <v>3.3090298664615463</v>
      </c>
      <c r="P593" s="33">
        <f>P591*D590/1000</f>
        <v>3.2941392320624696</v>
      </c>
      <c r="Q593" s="33">
        <f>Q591*D590/1000</f>
        <v>3.2793156055181893</v>
      </c>
      <c r="R593" s="33">
        <f>R591*D590/1000</f>
        <v>3.2645586852933577</v>
      </c>
      <c r="S593" s="33">
        <f>S591*D590/1000</f>
        <v>3.2498681712095374</v>
      </c>
      <c r="T593" s="33">
        <f>T591*D590/1000</f>
        <v>3.2352437644390948</v>
      </c>
      <c r="U593" s="33">
        <f>U591*D590/1000</f>
        <v>3.220685167499119</v>
      </c>
      <c r="V593" s="33">
        <f>V591*D590/1000</f>
        <v>3.2061920842453726</v>
      </c>
      <c r="W593" s="33">
        <f>W591*D590/1000</f>
        <v>3.1917642198662688</v>
      </c>
      <c r="X593" s="33">
        <f>X591*D590/1000</f>
        <v>3.1774012808768712</v>
      </c>
      <c r="Y593" s="33">
        <f>Y591*D590/1000</f>
        <v>3.1631029751129249</v>
      </c>
      <c r="Z593" s="33">
        <f>Z591*D590/1000</f>
        <v>3.1488690117249174</v>
      </c>
      <c r="AA593" s="33">
        <f>AA591*D590/1000</f>
        <v>3.1346991011721559</v>
      </c>
    </row>
    <row r="594" spans="2:27" hidden="1" outlineLevel="1" x14ac:dyDescent="0.3">
      <c r="F594" s="4" t="s">
        <v>20</v>
      </c>
      <c r="G594" s="33">
        <f>SUM(H595:AA595)</f>
        <v>9.3198271521734934</v>
      </c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 spans="2:27" hidden="1" outlineLevel="1" x14ac:dyDescent="0.3">
      <c r="F595" s="7" t="s">
        <v>21</v>
      </c>
      <c r="G595" s="33"/>
      <c r="H595" s="33">
        <f>(H593-H586-H588)*G581</f>
        <v>0.50152403598899986</v>
      </c>
      <c r="I595" s="33">
        <f>(I593-I586-I588)*G581</f>
        <v>0.49768197407704956</v>
      </c>
      <c r="J595" s="33">
        <f>(J593-J586-J588)*G581</f>
        <v>0.49385720144370288</v>
      </c>
      <c r="K595" s="33">
        <f>(K593-K586-K588)*G581</f>
        <v>0.49004964028720638</v>
      </c>
      <c r="L595" s="33">
        <f>(L593-L586-L588)*G581</f>
        <v>0.48625921315591397</v>
      </c>
      <c r="M595" s="33">
        <f>(M593-M586-M588)*G581</f>
        <v>0.48248584294671243</v>
      </c>
      <c r="N595" s="33">
        <f>(N593-N586-N588)*G581</f>
        <v>0.4787294529034522</v>
      </c>
      <c r="O595" s="33">
        <f>(O593-O586-O588)*G581</f>
        <v>0.47498996661538667</v>
      </c>
      <c r="P595" s="33">
        <f>(P593-P586-P588)*G581</f>
        <v>0.4712673080156175</v>
      </c>
      <c r="Q595" s="33">
        <f>(Q593-Q586-Q588)*G581</f>
        <v>0.46756140137954744</v>
      </c>
      <c r="R595" s="33">
        <f>(R593-R586-R588)*G581</f>
        <v>0.46387217132333952</v>
      </c>
      <c r="S595" s="33">
        <f>(S593-S586-S588)*G581</f>
        <v>0.46019954280238445</v>
      </c>
      <c r="T595" s="33">
        <f>(T593-T586-T588)*G581</f>
        <v>0.4565434411097738</v>
      </c>
      <c r="U595" s="33">
        <f>(U593-U586-U588)*G581</f>
        <v>0.45290379187477986</v>
      </c>
      <c r="V595" s="33">
        <f>(V593-V586-V588)*G581</f>
        <v>0.44928052106134325</v>
      </c>
      <c r="W595" s="33">
        <f>(W593-W586-W588)*G581</f>
        <v>0.4456735549665673</v>
      </c>
      <c r="X595" s="33">
        <f>(X593-X586-X588)*G581</f>
        <v>0.44208282021921791</v>
      </c>
      <c r="Y595" s="33">
        <f>(Y593-Y586-Y588)*G581</f>
        <v>0.43850824377823133</v>
      </c>
      <c r="Z595" s="33">
        <f>(Z593-Z586-Z588)*G581</f>
        <v>0.43494975293122945</v>
      </c>
      <c r="AA595" s="33">
        <f>(AA593-AA586-AA588)*G581</f>
        <v>0.43140727529303907</v>
      </c>
    </row>
    <row r="596" spans="2:27" hidden="1" outlineLevel="1" x14ac:dyDescent="0.3">
      <c r="F596" s="10" t="s">
        <v>22</v>
      </c>
      <c r="G596" s="33">
        <f>-G584</f>
        <v>-24.611999999999995</v>
      </c>
      <c r="H596" s="33">
        <f>H593-H595-H588</f>
        <v>2.673642107966999</v>
      </c>
      <c r="I596" s="33">
        <f t="shared" ref="I596" si="151">I593-I595-I588</f>
        <v>2.6621159222311483</v>
      </c>
      <c r="J596" s="33">
        <f t="shared" ref="J596" si="152">J593-J595-J588</f>
        <v>2.6506416043311081</v>
      </c>
      <c r="K596" s="33">
        <f t="shared" ref="K596" si="153">K593-K595-K588</f>
        <v>2.6392189208616186</v>
      </c>
      <c r="L596" s="33">
        <f t="shared" ref="L596" si="154">L593-L595-L588</f>
        <v>2.6278476394677419</v>
      </c>
      <c r="M596" s="33">
        <f t="shared" ref="M596" si="155">M593-M595-M588</f>
        <v>2.6165275288401366</v>
      </c>
      <c r="N596" s="33">
        <f t="shared" ref="N596" si="156">N593-N595-N588</f>
        <v>2.6052583587103566</v>
      </c>
      <c r="O596" s="33">
        <f t="shared" ref="O596" si="157">O593-O595-O588</f>
        <v>2.5940398998461598</v>
      </c>
      <c r="P596" s="33">
        <f t="shared" ref="P596" si="158">P593-P595-P588</f>
        <v>2.5828719240468523</v>
      </c>
      <c r="Q596" s="33">
        <f t="shared" ref="Q596" si="159">Q593-Q595-Q588</f>
        <v>2.5717542041386423</v>
      </c>
      <c r="R596" s="33">
        <f t="shared" ref="R596" si="160">R593-R595-R588</f>
        <v>2.5606865139700181</v>
      </c>
      <c r="S596" s="33">
        <f t="shared" ref="S596" si="161">S593-S595-S588</f>
        <v>2.5496686284071526</v>
      </c>
      <c r="T596" s="33">
        <f t="shared" ref="T596" si="162">T593-T595-T588</f>
        <v>2.5387003233293211</v>
      </c>
      <c r="U596" s="33">
        <f t="shared" ref="U596" si="163">U593-U595-U588</f>
        <v>2.5277813756243388</v>
      </c>
      <c r="V596" s="33">
        <f t="shared" ref="V596" si="164">V593-V595-V588</f>
        <v>2.5169115631840295</v>
      </c>
      <c r="W596" s="33">
        <f t="shared" ref="W596" si="165">W593-W595-W588</f>
        <v>2.5060906648997019</v>
      </c>
      <c r="X596" s="33">
        <f t="shared" ref="X596" si="166">X593-X595-X588</f>
        <v>2.4953184606576535</v>
      </c>
      <c r="Y596" s="33">
        <f t="shared" ref="Y596" si="167">Y593-Y595-Y588</f>
        <v>2.4845947313346937</v>
      </c>
      <c r="Z596" s="33">
        <f t="shared" ref="Z596" si="168">Z593-Z595-Z588</f>
        <v>2.4739192587936882</v>
      </c>
      <c r="AA596" s="33">
        <f t="shared" ref="AA596" si="169">AA593-AA595-AA588</f>
        <v>2.463291825879117</v>
      </c>
    </row>
    <row r="597" spans="2:27" ht="13.5" hidden="1" outlineLevel="1" thickBot="1" x14ac:dyDescent="0.35">
      <c r="F597" s="3" t="s">
        <v>68</v>
      </c>
      <c r="G597" s="40">
        <f>IRR(G596:AA596)</f>
        <v>8.4737540772200859E-2</v>
      </c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2:27" ht="13.5" collapsed="1" thickTop="1" x14ac:dyDescent="0.3"/>
    <row r="599" spans="2:27" x14ac:dyDescent="0.3">
      <c r="B599" s="11" t="s">
        <v>151</v>
      </c>
      <c r="C599" s="11" t="s">
        <v>52</v>
      </c>
    </row>
    <row r="600" spans="2:27" x14ac:dyDescent="0.3">
      <c r="C600" s="11" t="s">
        <v>141</v>
      </c>
      <c r="D600" s="54">
        <f>D631</f>
        <v>1466</v>
      </c>
    </row>
    <row r="601" spans="2:27" x14ac:dyDescent="0.3">
      <c r="C601" s="16" t="s">
        <v>78</v>
      </c>
      <c r="D601" s="37">
        <f>(G630+G633+G640)/G636*1000</f>
        <v>0.30217705362678798</v>
      </c>
    </row>
    <row r="602" spans="2:27" x14ac:dyDescent="0.3">
      <c r="C602" s="13" t="s">
        <v>77</v>
      </c>
      <c r="D602" s="39">
        <f>(G611+G614+G621)/G617*1000</f>
        <v>0.43912306011278379</v>
      </c>
    </row>
    <row r="603" spans="2:27" x14ac:dyDescent="0.3">
      <c r="C603" s="13" t="s">
        <v>61</v>
      </c>
      <c r="D603" s="36">
        <f>G624</f>
        <v>0.40916461770251789</v>
      </c>
    </row>
    <row r="604" spans="2:27" x14ac:dyDescent="0.3">
      <c r="C604" s="13" t="s">
        <v>73</v>
      </c>
      <c r="D604" s="25">
        <f>SUM(G623:AA623)</f>
        <v>10.070359570894368</v>
      </c>
    </row>
    <row r="605" spans="2:27" ht="13.5" thickBot="1" x14ac:dyDescent="0.35">
      <c r="C605" s="23" t="s">
        <v>68</v>
      </c>
      <c r="D605" s="26">
        <f>G643</f>
        <v>0.11985931715760834</v>
      </c>
    </row>
    <row r="606" spans="2:27" ht="13.5" hidden="1" outlineLevel="1" thickTop="1" x14ac:dyDescent="0.3">
      <c r="E606" s="20"/>
      <c r="F606" s="38" t="s">
        <v>75</v>
      </c>
    </row>
    <row r="607" spans="2:27" hidden="1" outlineLevel="1" x14ac:dyDescent="0.3">
      <c r="C607" s="11" t="s">
        <v>71</v>
      </c>
      <c r="F607" s="13" t="s">
        <v>25</v>
      </c>
      <c r="G607" s="14">
        <v>7.0000000000000007E-2</v>
      </c>
    </row>
    <row r="608" spans="2:27" hidden="1" outlineLevel="1" x14ac:dyDescent="0.3">
      <c r="C608" s="18" t="s">
        <v>53</v>
      </c>
      <c r="D608" s="19">
        <f>分布式光伏电站IRR汇总!$B$2</f>
        <v>6</v>
      </c>
      <c r="F608" s="13" t="s">
        <v>26</v>
      </c>
      <c r="G608" s="14">
        <v>0.25</v>
      </c>
    </row>
    <row r="609" spans="3:27" hidden="1" outlineLevel="1" x14ac:dyDescent="0.3">
      <c r="C609" s="18" t="s">
        <v>56</v>
      </c>
      <c r="D609" s="19">
        <f>分布式光伏电站IRR汇总!$B$3</f>
        <v>120</v>
      </c>
      <c r="F609" s="1" t="s">
        <v>44</v>
      </c>
      <c r="G609" s="4"/>
      <c r="H609" s="5">
        <v>1</v>
      </c>
      <c r="I609" s="5">
        <v>2</v>
      </c>
      <c r="J609" s="5">
        <v>3</v>
      </c>
      <c r="K609" s="5">
        <v>4</v>
      </c>
      <c r="L609" s="5">
        <v>5</v>
      </c>
      <c r="M609" s="5">
        <v>6</v>
      </c>
      <c r="N609" s="5">
        <v>7</v>
      </c>
      <c r="O609" s="5">
        <v>8</v>
      </c>
      <c r="P609" s="5">
        <v>9</v>
      </c>
      <c r="Q609" s="5">
        <v>10</v>
      </c>
      <c r="R609" s="5">
        <v>11</v>
      </c>
      <c r="S609" s="5">
        <v>12</v>
      </c>
      <c r="T609" s="5">
        <v>13</v>
      </c>
      <c r="U609" s="5">
        <v>14</v>
      </c>
      <c r="V609" s="5">
        <v>15</v>
      </c>
      <c r="W609" s="5">
        <v>16</v>
      </c>
      <c r="X609" s="5">
        <v>17</v>
      </c>
      <c r="Y609" s="5">
        <v>18</v>
      </c>
      <c r="Z609" s="5">
        <v>19</v>
      </c>
      <c r="AA609" s="5">
        <v>20</v>
      </c>
    </row>
    <row r="610" spans="3:27" hidden="1" outlineLevel="1" x14ac:dyDescent="0.3">
      <c r="C610" s="18" t="s">
        <v>57</v>
      </c>
      <c r="D610" s="19">
        <f>分布式光伏电站IRR汇总!$B$4</f>
        <v>3</v>
      </c>
      <c r="F610" s="16"/>
      <c r="G610" s="2" t="s">
        <v>0</v>
      </c>
      <c r="H610" s="2" t="s">
        <v>1</v>
      </c>
      <c r="I610" s="2" t="s">
        <v>2</v>
      </c>
      <c r="J610" s="2" t="s">
        <v>3</v>
      </c>
      <c r="K610" s="2" t="s">
        <v>4</v>
      </c>
      <c r="L610" s="2" t="s">
        <v>5</v>
      </c>
      <c r="M610" s="2" t="s">
        <v>6</v>
      </c>
      <c r="N610" s="2" t="s">
        <v>7</v>
      </c>
      <c r="O610" s="2" t="s">
        <v>8</v>
      </c>
      <c r="P610" s="2" t="s">
        <v>9</v>
      </c>
      <c r="Q610" s="2" t="s">
        <v>10</v>
      </c>
      <c r="R610" s="2" t="s">
        <v>11</v>
      </c>
      <c r="S610" s="2" t="s">
        <v>12</v>
      </c>
      <c r="T610" s="2" t="s">
        <v>13</v>
      </c>
      <c r="U610" s="2" t="s">
        <v>45</v>
      </c>
      <c r="V610" s="2" t="s">
        <v>46</v>
      </c>
      <c r="W610" s="2" t="s">
        <v>47</v>
      </c>
      <c r="X610" s="2" t="s">
        <v>48</v>
      </c>
      <c r="Y610" s="2" t="s">
        <v>49</v>
      </c>
      <c r="Z610" s="2" t="s">
        <v>50</v>
      </c>
      <c r="AA610" s="2" t="s">
        <v>127</v>
      </c>
    </row>
    <row r="611" spans="3:27" hidden="1" outlineLevel="1" x14ac:dyDescent="0.3">
      <c r="C611" s="18" t="s">
        <v>54</v>
      </c>
      <c r="D611" s="19">
        <f>分布式光伏电站IRR汇总!$B$5</f>
        <v>5</v>
      </c>
      <c r="F611" s="6" t="s">
        <v>14</v>
      </c>
      <c r="G611" s="33">
        <f>D632</f>
        <v>24.611999999999995</v>
      </c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 spans="3:27" hidden="1" outlineLevel="1" x14ac:dyDescent="0.3">
      <c r="C612" s="18" t="s">
        <v>55</v>
      </c>
      <c r="D612" s="19">
        <f>分布式光伏电站IRR汇总!$B$6</f>
        <v>15</v>
      </c>
      <c r="F612" s="6" t="s">
        <v>15</v>
      </c>
      <c r="G612" s="33">
        <f>SUM(H613:AA613)</f>
        <v>12.385144234005573</v>
      </c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 spans="3:27" hidden="1" outlineLevel="1" x14ac:dyDescent="0.3">
      <c r="C613" s="18" t="s">
        <v>42</v>
      </c>
      <c r="D613" s="19">
        <f>分布式光伏电站IRR汇总!$B$7</f>
        <v>4.1019999999999994</v>
      </c>
      <c r="F613" s="7" t="s">
        <v>16</v>
      </c>
      <c r="G613" s="33"/>
      <c r="H613" s="33">
        <f>D632*(1-D630)/D626/((1+G607)^H609)</f>
        <v>1.0925887850467286</v>
      </c>
      <c r="I613" s="33">
        <f>D632*(1-D630)/D626/((1+G607)^I609)</f>
        <v>1.0211110140623632</v>
      </c>
      <c r="J613" s="33">
        <f>D632*(1-D630)/D626/((1+G607)^J609)</f>
        <v>0.95430935893678792</v>
      </c>
      <c r="K613" s="33">
        <f>D632*(1-D630)/D626/((1+G607)^K609)</f>
        <v>0.89187790554839996</v>
      </c>
      <c r="L613" s="33">
        <f>D632*(1-D630)/D626/((1+G607)^L609)</f>
        <v>0.83353075284897193</v>
      </c>
      <c r="M613" s="33">
        <f>D632*(1-D630)/D626/((1+G607)^M609)</f>
        <v>0.77900070359717</v>
      </c>
      <c r="N613" s="33">
        <f>D632*(1-D630)/D626/((1+G607)^N609)</f>
        <v>0.72803804074501866</v>
      </c>
      <c r="O613" s="33">
        <f>D632*(1-D630)/D626/((1+G607)^O609)</f>
        <v>0.6804093838738493</v>
      </c>
      <c r="P613" s="33">
        <f>D632*(1-D630)/D626/((1+G607)^P609)</f>
        <v>0.63589662044284967</v>
      </c>
      <c r="Q613" s="33">
        <f>D632*(1-D630)/D626/((1+G607)^Q609)</f>
        <v>0.59429590695593437</v>
      </c>
      <c r="R613" s="33">
        <f>D632*(1-D630)/D626/((1+G607)^R609)</f>
        <v>0.55541673547283577</v>
      </c>
      <c r="S613" s="33">
        <f>D632*(1-D630)/D626/((1+G607)^S609)</f>
        <v>0.51908106118956621</v>
      </c>
      <c r="T613" s="33">
        <f>D632*(1-D630)/D626/((1+G607)^T609)</f>
        <v>0.4851224870930525</v>
      </c>
      <c r="U613" s="33">
        <f>D632*(1-D630)/D626/((1+G607)^U609)</f>
        <v>0.45338550195612387</v>
      </c>
      <c r="V613" s="33">
        <f>D632*(1-D630)/D626/((1+G607)^V609)</f>
        <v>0.4237247681832933</v>
      </c>
      <c r="W613" s="33">
        <f>D632*(1-D630)/D626/((1+G607)^W609)</f>
        <v>0.39600445624606856</v>
      </c>
      <c r="X613" s="33">
        <f>D632*(1-D630)/D626/((1+G607)^X609)</f>
        <v>0.37009762265987711</v>
      </c>
      <c r="Y613" s="33">
        <f>D632*(1-D630)/D626/((1+G607)^Y609)</f>
        <v>0.34588562865409078</v>
      </c>
      <c r="Z613" s="33">
        <f>D632*(1-D630)/D626/((1+G607)^Z609)</f>
        <v>0.323257596872982</v>
      </c>
      <c r="AA613" s="33">
        <f>D632*(1-D630)/D626/((1+G607)^AA609)</f>
        <v>0.30210990361960938</v>
      </c>
    </row>
    <row r="614" spans="3:27" hidden="1" outlineLevel="1" x14ac:dyDescent="0.3">
      <c r="C614" s="21" t="s">
        <v>32</v>
      </c>
      <c r="D614" s="19">
        <f>分布式光伏电站IRR汇总!$B$8</f>
        <v>1.8870000000000002</v>
      </c>
      <c r="F614" s="6" t="s">
        <v>17</v>
      </c>
      <c r="G614" s="33">
        <f>SUM(H615:AA615)</f>
        <v>2.5425634189238777</v>
      </c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 spans="3:27" hidden="1" outlineLevel="1" x14ac:dyDescent="0.3">
      <c r="C615" s="21" t="s">
        <v>33</v>
      </c>
      <c r="D615" s="19">
        <f>分布式光伏电站IRR汇总!$B$9</f>
        <v>0.18500000000000003</v>
      </c>
      <c r="F615" s="7" t="s">
        <v>18</v>
      </c>
      <c r="G615" s="33"/>
      <c r="H615" s="33">
        <f>D629*D608/((1+G607)^H609)</f>
        <v>0.22429906542056072</v>
      </c>
      <c r="I615" s="33">
        <f>D629*D608/((1+G607)^I609)</f>
        <v>0.20962529478557079</v>
      </c>
      <c r="J615" s="33">
        <f>D629*D608/((1+G607)^J609)</f>
        <v>0.19591149045380446</v>
      </c>
      <c r="K615" s="33">
        <f>D629*D608/((1+G607)^K609)</f>
        <v>0.18309485089140604</v>
      </c>
      <c r="L615" s="33">
        <f>D629*D608/((1+G607)^L609)</f>
        <v>0.17111668307608041</v>
      </c>
      <c r="M615" s="33">
        <f>D629*D608/((1+G607)^M609)</f>
        <v>0.15992213371596301</v>
      </c>
      <c r="N615" s="33">
        <f>D629*D608/((1+G607)^N609)</f>
        <v>0.14945993805230187</v>
      </c>
      <c r="O615" s="33">
        <f>D629*D608/((1+G607)^O609)</f>
        <v>0.13968218509560923</v>
      </c>
      <c r="P615" s="33">
        <f>D629*D608/((1+G607)^P609)</f>
        <v>0.13054409822019553</v>
      </c>
      <c r="Q615" s="33">
        <f>D629*D608/((1+G607)^Q609)</f>
        <v>0.12200383011233226</v>
      </c>
      <c r="R615" s="33">
        <f>D629*D608/((1+G607)^R609)</f>
        <v>0.1140222711330208</v>
      </c>
      <c r="S615" s="33">
        <f>D629*D608/((1+G607)^S609)</f>
        <v>0.10656287021777647</v>
      </c>
      <c r="T615" s="33">
        <f>D629*D608/((1+G607)^T609)</f>
        <v>9.9591467493249028E-2</v>
      </c>
      <c r="U615" s="33">
        <f>D629*D608/((1+G607)^U609)</f>
        <v>9.3076137844157969E-2</v>
      </c>
      <c r="V615" s="33">
        <f>D629*D608/((1+G607)^V609)</f>
        <v>8.6987044714166323E-2</v>
      </c>
      <c r="W615" s="33">
        <f>D629*D608/((1+G607)^W609)</f>
        <v>8.1296303471183481E-2</v>
      </c>
      <c r="X615" s="33">
        <f>D629*D608/((1+G607)^X609)</f>
        <v>7.5977853711386434E-2</v>
      </c>
      <c r="Y615" s="33">
        <f>D629*D608/((1+G607)^Y609)</f>
        <v>7.1007339917183582E-2</v>
      </c>
      <c r="Z615" s="33">
        <f>D629*D608/((1+G607)^Z609)</f>
        <v>6.6361999922601472E-2</v>
      </c>
      <c r="AA615" s="33">
        <f>D629*D608/((1+G607)^AA609)</f>
        <v>6.2020560675328483E-2</v>
      </c>
    </row>
    <row r="616" spans="3:27" hidden="1" outlineLevel="1" x14ac:dyDescent="0.3">
      <c r="C616" s="21" t="s">
        <v>34</v>
      </c>
      <c r="D616" s="19">
        <f>分布式光伏电站IRR汇总!$B$10</f>
        <v>0.222</v>
      </c>
      <c r="F616" s="6" t="s">
        <v>19</v>
      </c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>
        <f>D629*D632/((1+G607)^AA609)</f>
        <v>0.2544083398901974</v>
      </c>
    </row>
    <row r="617" spans="3:27" hidden="1" outlineLevel="1" x14ac:dyDescent="0.3">
      <c r="C617" s="21" t="s">
        <v>35</v>
      </c>
      <c r="D617" s="19">
        <f>分布式光伏电站IRR汇总!$B$11</f>
        <v>0.44400000000000001</v>
      </c>
      <c r="F617" s="8" t="s">
        <v>64</v>
      </c>
      <c r="G617" s="33">
        <f>SUM(H618:AA618)</f>
        <v>76540.767513843661</v>
      </c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 spans="3:27" hidden="1" outlineLevel="1" x14ac:dyDescent="0.3">
      <c r="C618" s="21" t="s">
        <v>36</v>
      </c>
      <c r="D618" s="19">
        <f>分布式光伏电站IRR汇总!$B$12</f>
        <v>0.222</v>
      </c>
      <c r="F618" s="9" t="s">
        <v>65</v>
      </c>
      <c r="G618" s="33"/>
      <c r="H618" s="33">
        <f>D608*D625*(1-D627)*D631/((1+G607)^H609)</f>
        <v>6976.6254953271009</v>
      </c>
      <c r="I618" s="33">
        <f>D608*D625*(1-D627)*(1-D628)^(I609-1)*D631/((1+G607)^I609)</f>
        <v>6490.8697949515235</v>
      </c>
      <c r="J618" s="33">
        <f>D608*D625*(1-D627)*(1-D628)^(J609-1)*D631/((1+G607)^J609)</f>
        <v>6038.9354026862075</v>
      </c>
      <c r="K618" s="33">
        <f>D608*D625*(1-D627)*(1-D628)^(K609-1)*D631/((1+G607)^K609)</f>
        <v>5618.4674704431036</v>
      </c>
      <c r="L618" s="33">
        <f>D608*D625*(1-D627)*(1-D628)^(L609-1)*D631/((1+G607)^L609)</f>
        <v>5227.2751091832797</v>
      </c>
      <c r="M618" s="33">
        <f>D608*D625*(1-D627)*(1-D628)^(M609-1)*D631/((1+G607)^M609)</f>
        <v>4863.3199730765946</v>
      </c>
      <c r="N618" s="33">
        <f>D608*D625*(1-D627)*(1-D628)^(N609-1)*D631/((1+G607)^N609)</f>
        <v>4524.7056385025689</v>
      </c>
      <c r="O618" s="33">
        <f>D608*D625*(1-D627)*(1-D628)^(O609-1)*D631/((1+G607)^O609)</f>
        <v>4209.6677225507547</v>
      </c>
      <c r="P618" s="33">
        <f>D608*D625*(1-D627)*(1-D628)^(P609-1)*D631/((1+G607)^P609)</f>
        <v>3916.5646895320342</v>
      </c>
      <c r="Q618" s="33">
        <f>D608*D625*(1-D627)*(1-D628)^(Q609-1)*D631/((1+G607)^Q609)</f>
        <v>3643.8692975973277</v>
      </c>
      <c r="R618" s="33">
        <f>D608*D625*(1-D627)*(1-D628)^(R609-1)*D631/((1+G607)^R609)</f>
        <v>3390.1606408954576</v>
      </c>
      <c r="S618" s="33">
        <f>D608*D625*(1-D627)*(1-D628)^(S609-1)*D631/((1+G607)^S609)</f>
        <v>3154.1167458050732</v>
      </c>
      <c r="T618" s="33">
        <f>D608*D625*(1-D627)*(1-D628)^(T609-1)*D631/((1+G607)^T609)</f>
        <v>2934.5076826625709</v>
      </c>
      <c r="U618" s="33">
        <f>D608*D625*(1-D627)*(1-D628)^(U609-1)*D631/((1+G607)^U609)</f>
        <v>2730.1891570940084</v>
      </c>
      <c r="V618" s="33">
        <f>D608*D625*(1-D627)*(1-D628)^(V609-1)*D631/((1+G607)^V609)</f>
        <v>2540.0965475580238</v>
      </c>
      <c r="W618" s="33">
        <f>D608*D625*(1-D627)*(1-D628)^(W609-1)*D631/((1+G607)^W609)</f>
        <v>2363.239358031788</v>
      </c>
      <c r="X618" s="33">
        <f>D608*D625*(1-D627)*(1-D628)^(X609-1)*D631/((1+G607)^X609)</f>
        <v>2198.6960569351822</v>
      </c>
      <c r="Y618" s="33">
        <f>D608*D625*(1-D627)*(1-D628)^(Y609-1)*D631/((1+G607)^Y609)</f>
        <v>2045.6092754009103</v>
      </c>
      <c r="Z618" s="33">
        <f>D608*D625*(1-D627)*(1-D628)^(Z609-1)*D631/((1+G607)^Z609)</f>
        <v>1903.1813398706602</v>
      </c>
      <c r="AA618" s="33">
        <f>D608*D625*(1-D627)*(1-D628)^(AA609-1)*D631/((1+G607)^AA609)</f>
        <v>1770.6701157394789</v>
      </c>
    </row>
    <row r="619" spans="3:27" hidden="1" outlineLevel="1" x14ac:dyDescent="0.3">
      <c r="C619" s="21" t="s">
        <v>37</v>
      </c>
      <c r="D619" s="19">
        <f>分布式光伏电站IRR汇总!$B$13</f>
        <v>0.15</v>
      </c>
      <c r="F619" s="4" t="s">
        <v>66</v>
      </c>
      <c r="G619" s="33">
        <f>SUM(H620:AA620)</f>
        <v>44.657328102114505</v>
      </c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 spans="3:27" hidden="1" outlineLevel="1" x14ac:dyDescent="0.3">
      <c r="C620" s="21" t="s">
        <v>38</v>
      </c>
      <c r="D620" s="19">
        <f>分布式光伏电站IRR汇总!$B$14</f>
        <v>3.7000000000000005E-2</v>
      </c>
      <c r="F620" s="7" t="s">
        <v>67</v>
      </c>
      <c r="G620" s="33"/>
      <c r="H620" s="33">
        <f>H618*D636/1000</f>
        <v>4.0704772621211207</v>
      </c>
      <c r="I620" s="33">
        <f>I618*D636/1000</f>
        <v>3.7870655275154919</v>
      </c>
      <c r="J620" s="33">
        <f>J618*D636/1000</f>
        <v>3.5233866660202544</v>
      </c>
      <c r="K620" s="33">
        <f>K618*D636/1000</f>
        <v>3.2780667532926762</v>
      </c>
      <c r="L620" s="33">
        <f>L618*D636/1000</f>
        <v>3.0498275260774386</v>
      </c>
      <c r="M620" s="33">
        <f>M618*D636/1000</f>
        <v>2.8374797216916736</v>
      </c>
      <c r="N620" s="33">
        <f>N618*D636/1000</f>
        <v>2.6399168812561311</v>
      </c>
      <c r="O620" s="33">
        <f>O618*D636/1000</f>
        <v>2.4561095843836251</v>
      </c>
      <c r="P620" s="33">
        <f>P618*D636/1000</f>
        <v>2.2851000852840175</v>
      </c>
      <c r="Q620" s="33">
        <f>Q618*D636/1000</f>
        <v>2.1259973223366728</v>
      </c>
      <c r="R620" s="33">
        <f>R618*D636/1000</f>
        <v>1.9779722751272502</v>
      </c>
      <c r="S620" s="33">
        <f>S618*D636/1000</f>
        <v>1.840253644756241</v>
      </c>
      <c r="T620" s="33">
        <f>T618*D636/1000</f>
        <v>1.7121238349110635</v>
      </c>
      <c r="U620" s="33">
        <f>U618*D636/1000</f>
        <v>1.5929152127607138</v>
      </c>
      <c r="V620" s="33">
        <f>V618*D636/1000</f>
        <v>1.4820066301899912</v>
      </c>
      <c r="W620" s="33">
        <f>W618*D636/1000</f>
        <v>1.3788201872468564</v>
      </c>
      <c r="X620" s="33">
        <f>X618*D636/1000</f>
        <v>1.2828182209385475</v>
      </c>
      <c r="Y620" s="33">
        <f>Y618*D636/1000</f>
        <v>1.193500503686284</v>
      </c>
      <c r="Z620" s="33">
        <f>Z618*D636/1000</f>
        <v>1.1104016368408371</v>
      </c>
      <c r="AA620" s="33">
        <f>AA618*D636/1000</f>
        <v>1.0330886256776202</v>
      </c>
    </row>
    <row r="621" spans="3:27" hidden="1" outlineLevel="1" x14ac:dyDescent="0.3">
      <c r="C621" s="21" t="s">
        <v>39</v>
      </c>
      <c r="D621" s="19">
        <f>分布式光伏电站IRR汇总!$B$15</f>
        <v>0.25900000000000006</v>
      </c>
      <c r="F621" s="4" t="s">
        <v>20</v>
      </c>
      <c r="G621" s="33">
        <f>SUM(H622:V622)</f>
        <v>6.4562526351363054</v>
      </c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 spans="3:27" hidden="1" outlineLevel="1" x14ac:dyDescent="0.3">
      <c r="C622" s="21" t="s">
        <v>40</v>
      </c>
      <c r="D622" s="19">
        <f>分布式光伏电站IRR汇总!$B$16</f>
        <v>7.400000000000001E-2</v>
      </c>
      <c r="F622" s="7" t="s">
        <v>21</v>
      </c>
      <c r="G622" s="33"/>
      <c r="H622" s="33">
        <f>(H620-H613-H615)*G608</f>
        <v>0.68839735291345783</v>
      </c>
      <c r="I622" s="33">
        <f>(I620-I613-I615)*G608</f>
        <v>0.63908230466688942</v>
      </c>
      <c r="J622" s="33">
        <f>(J620-J613-J615)*G608</f>
        <v>0.59329145415741547</v>
      </c>
      <c r="K622" s="33">
        <f>(K620-K613-K615)*G608</f>
        <v>0.55077349921321761</v>
      </c>
      <c r="L622" s="33">
        <f>(L620-L613-L615)*G608</f>
        <v>0.51129502253809656</v>
      </c>
      <c r="M622" s="33">
        <f>(M620-M613-M615)*G608</f>
        <v>0.47463922109463519</v>
      </c>
      <c r="N622" s="33">
        <f>(N620-N613-N615)*G608</f>
        <v>0.44060472561470265</v>
      </c>
      <c r="O622" s="33">
        <f>(O620-O613-O615)*G608</f>
        <v>0.4090045038535417</v>
      </c>
      <c r="P622" s="33">
        <f>(P620-P613-P615)*G608</f>
        <v>0.37966484165524306</v>
      </c>
      <c r="Q622" s="33">
        <f>(Q620-Q613-Q615)*G608</f>
        <v>0.35242439631710154</v>
      </c>
      <c r="R622" s="33">
        <f>(R620-R613-R615)*G608</f>
        <v>0.32713331713034843</v>
      </c>
      <c r="S622" s="33">
        <f>(S620-S613-S615)*G608</f>
        <v>0.30365242833722456</v>
      </c>
      <c r="T622" s="33">
        <f>(T620-T613-T615)*G608</f>
        <v>0.28185247008119046</v>
      </c>
      <c r="U622" s="33">
        <f>(U620-U613-U615)*G608</f>
        <v>0.26161339324010796</v>
      </c>
      <c r="V622" s="33">
        <f>(V620-V613-V615)*G608</f>
        <v>0.24282370432313294</v>
      </c>
      <c r="W622" s="33">
        <f>(W620-W613-W615)*G608</f>
        <v>0.22537985688240111</v>
      </c>
      <c r="X622" s="33">
        <f>(X620-X613-X615)*G608</f>
        <v>0.20918568614182098</v>
      </c>
      <c r="Y622" s="33">
        <f>(Y620-Y613-Y615)*G608</f>
        <v>0.19415188377875242</v>
      </c>
      <c r="Z622" s="33">
        <f>(Z620-Z613-Z615)*G608</f>
        <v>0.1801955100113134</v>
      </c>
      <c r="AA622" s="33">
        <f>(AA620-AA613-AA615)*G608</f>
        <v>0.1672395403456706</v>
      </c>
    </row>
    <row r="623" spans="3:27" hidden="1" outlineLevel="1" x14ac:dyDescent="0.3">
      <c r="C623" s="21" t="s">
        <v>41</v>
      </c>
      <c r="D623" s="19">
        <f>分布式光伏电站IRR汇总!$B$17</f>
        <v>0.222</v>
      </c>
      <c r="F623" s="10" t="s">
        <v>22</v>
      </c>
      <c r="G623" s="33">
        <f>-G611</f>
        <v>-24.611999999999995</v>
      </c>
      <c r="H623" s="33">
        <f t="shared" ref="H623:AA623" si="170">H620-H622-H615</f>
        <v>3.1577808437871022</v>
      </c>
      <c r="I623" s="33">
        <f t="shared" si="170"/>
        <v>2.9383579280630316</v>
      </c>
      <c r="J623" s="33">
        <f t="shared" si="170"/>
        <v>2.7341837214090345</v>
      </c>
      <c r="K623" s="33">
        <f t="shared" si="170"/>
        <v>2.5441984031880525</v>
      </c>
      <c r="L623" s="33">
        <f t="shared" si="170"/>
        <v>2.3674158204632612</v>
      </c>
      <c r="M623" s="33">
        <f t="shared" si="170"/>
        <v>2.2029183668810752</v>
      </c>
      <c r="N623" s="33">
        <f t="shared" si="170"/>
        <v>2.0498522175891267</v>
      </c>
      <c r="O623" s="33">
        <f t="shared" si="170"/>
        <v>1.9074228954344741</v>
      </c>
      <c r="P623" s="33">
        <f t="shared" si="170"/>
        <v>1.774891145408579</v>
      </c>
      <c r="Q623" s="33">
        <f t="shared" si="170"/>
        <v>1.6515690959072391</v>
      </c>
      <c r="R623" s="33">
        <f t="shared" si="170"/>
        <v>1.5368166868638808</v>
      </c>
      <c r="S623" s="33">
        <f t="shared" si="170"/>
        <v>1.4300383462012398</v>
      </c>
      <c r="T623" s="33">
        <f t="shared" si="170"/>
        <v>1.3306798973366241</v>
      </c>
      <c r="U623" s="33">
        <f t="shared" si="170"/>
        <v>1.2382256816764479</v>
      </c>
      <c r="V623" s="33">
        <f t="shared" si="170"/>
        <v>1.152195881152692</v>
      </c>
      <c r="W623" s="33">
        <f t="shared" si="170"/>
        <v>1.0721440268932718</v>
      </c>
      <c r="X623" s="33">
        <f t="shared" si="170"/>
        <v>0.99765468108533994</v>
      </c>
      <c r="Y623" s="33">
        <f t="shared" si="170"/>
        <v>0.9283412799903481</v>
      </c>
      <c r="Z623" s="33">
        <f t="shared" si="170"/>
        <v>0.86384412690692225</v>
      </c>
      <c r="AA623" s="33">
        <f t="shared" si="170"/>
        <v>0.80382852465662114</v>
      </c>
    </row>
    <row r="624" spans="3:27" ht="13.5" hidden="1" outlineLevel="1" thickBot="1" x14ac:dyDescent="0.35">
      <c r="C624" s="21" t="s">
        <v>74</v>
      </c>
      <c r="D624" s="19">
        <f>分布式光伏电站IRR汇总!$B$18</f>
        <v>0.4</v>
      </c>
      <c r="F624" s="3" t="s">
        <v>61</v>
      </c>
      <c r="G624" s="35">
        <f>SUM(G623:AA623)/G611</f>
        <v>0.40916461770251789</v>
      </c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3:27" ht="13.5" hidden="1" outlineLevel="1" thickTop="1" x14ac:dyDescent="0.3">
      <c r="C625" s="18" t="s">
        <v>58</v>
      </c>
      <c r="D625" s="19">
        <f>分布式光伏电站IRR汇总!$B$19</f>
        <v>0.86599999999999999</v>
      </c>
    </row>
    <row r="626" spans="3:27" hidden="1" outlineLevel="1" x14ac:dyDescent="0.3">
      <c r="C626" s="18" t="s">
        <v>62</v>
      </c>
      <c r="D626" s="19">
        <f>分布式光伏电站IRR汇总!$B$20</f>
        <v>20</v>
      </c>
      <c r="F626" s="13" t="s">
        <v>25</v>
      </c>
      <c r="G626" s="14">
        <v>0</v>
      </c>
    </row>
    <row r="627" spans="3:27" hidden="1" outlineLevel="1" x14ac:dyDescent="0.3">
      <c r="C627" s="18" t="s">
        <v>59</v>
      </c>
      <c r="D627" s="52">
        <f>分布式光伏电站IRR汇总!$B$21</f>
        <v>0.02</v>
      </c>
      <c r="F627" s="13" t="s">
        <v>26</v>
      </c>
      <c r="G627" s="14">
        <v>0.25</v>
      </c>
      <c r="Q627" s="15"/>
    </row>
    <row r="628" spans="3:27" hidden="1" outlineLevel="1" x14ac:dyDescent="0.3">
      <c r="C628" s="18" t="s">
        <v>60</v>
      </c>
      <c r="D628" s="52">
        <f>分布式光伏电站IRR汇总!$B$22</f>
        <v>4.4999999999999997E-3</v>
      </c>
      <c r="F628" s="1" t="s">
        <v>44</v>
      </c>
      <c r="G628" s="4"/>
      <c r="H628" s="5">
        <v>1</v>
      </c>
      <c r="I628" s="5">
        <v>2</v>
      </c>
      <c r="J628" s="5">
        <v>3</v>
      </c>
      <c r="K628" s="5">
        <v>4</v>
      </c>
      <c r="L628" s="5">
        <v>5</v>
      </c>
      <c r="M628" s="5">
        <v>6</v>
      </c>
      <c r="N628" s="5">
        <v>7</v>
      </c>
      <c r="O628" s="5">
        <v>8</v>
      </c>
      <c r="P628" s="5">
        <v>9</v>
      </c>
      <c r="Q628" s="5">
        <v>10</v>
      </c>
      <c r="R628" s="5">
        <v>11</v>
      </c>
      <c r="S628" s="5">
        <v>12</v>
      </c>
      <c r="T628" s="5">
        <v>13</v>
      </c>
      <c r="U628" s="5">
        <v>14</v>
      </c>
      <c r="V628" s="5">
        <v>15</v>
      </c>
      <c r="W628" s="5">
        <v>16</v>
      </c>
      <c r="X628" s="5">
        <v>17</v>
      </c>
      <c r="Y628" s="5">
        <v>18</v>
      </c>
      <c r="Z628" s="5">
        <v>19</v>
      </c>
      <c r="AA628" s="5">
        <v>20</v>
      </c>
    </row>
    <row r="629" spans="3:27" hidden="1" outlineLevel="1" x14ac:dyDescent="0.3">
      <c r="C629" s="18" t="s">
        <v>28</v>
      </c>
      <c r="D629" s="29">
        <f>分布式光伏电站IRR汇总!$B$23</f>
        <v>0.04</v>
      </c>
      <c r="F629" s="16"/>
      <c r="G629" s="2" t="s">
        <v>0</v>
      </c>
      <c r="H629" s="2" t="s">
        <v>1</v>
      </c>
      <c r="I629" s="2" t="s">
        <v>2</v>
      </c>
      <c r="J629" s="2" t="s">
        <v>3</v>
      </c>
      <c r="K629" s="2" t="s">
        <v>4</v>
      </c>
      <c r="L629" s="2" t="s">
        <v>5</v>
      </c>
      <c r="M629" s="2" t="s">
        <v>6</v>
      </c>
      <c r="N629" s="2" t="s">
        <v>7</v>
      </c>
      <c r="O629" s="2" t="s">
        <v>8</v>
      </c>
      <c r="P629" s="2" t="s">
        <v>9</v>
      </c>
      <c r="Q629" s="2" t="s">
        <v>10</v>
      </c>
      <c r="R629" s="2" t="s">
        <v>11</v>
      </c>
      <c r="S629" s="2" t="s">
        <v>12</v>
      </c>
      <c r="T629" s="2" t="s">
        <v>13</v>
      </c>
      <c r="U629" s="2" t="s">
        <v>45</v>
      </c>
      <c r="V629" s="2" t="s">
        <v>46</v>
      </c>
      <c r="W629" s="2" t="s">
        <v>47</v>
      </c>
      <c r="X629" s="2" t="s">
        <v>48</v>
      </c>
      <c r="Y629" s="2" t="s">
        <v>49</v>
      </c>
      <c r="Z629" s="2" t="s">
        <v>50</v>
      </c>
      <c r="AA629" s="2" t="s">
        <v>51</v>
      </c>
    </row>
    <row r="630" spans="3:27" hidden="1" outlineLevel="1" x14ac:dyDescent="0.3">
      <c r="C630" s="18" t="s">
        <v>43</v>
      </c>
      <c r="D630" s="19">
        <f>分布式光伏电站IRR汇总!$B$24</f>
        <v>0.05</v>
      </c>
      <c r="F630" s="6" t="s">
        <v>14</v>
      </c>
      <c r="G630" s="33">
        <f>D632</f>
        <v>24.611999999999995</v>
      </c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 spans="3:27" hidden="1" outlineLevel="1" x14ac:dyDescent="0.3">
      <c r="C631" s="18" t="s">
        <v>126</v>
      </c>
      <c r="D631" s="28">
        <f>Backup分地区光伏小时数及电价!E14</f>
        <v>1466</v>
      </c>
      <c r="F631" s="6" t="s">
        <v>15</v>
      </c>
      <c r="G631" s="33">
        <f>SUM(H632:AA632)</f>
        <v>23.381399999999985</v>
      </c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 spans="3:27" hidden="1" outlineLevel="1" x14ac:dyDescent="0.3">
      <c r="C632" s="24" t="s">
        <v>14</v>
      </c>
      <c r="D632" s="30">
        <f>D608*D613</f>
        <v>24.611999999999995</v>
      </c>
      <c r="F632" s="7" t="s">
        <v>16</v>
      </c>
      <c r="G632" s="33"/>
      <c r="H632" s="33">
        <f>D632*(1-D630)/D626/((1+G626)^H628)</f>
        <v>1.1690699999999996</v>
      </c>
      <c r="I632" s="33">
        <f>D632*(1-D630)/D626/((1+G626)^I628)</f>
        <v>1.1690699999999996</v>
      </c>
      <c r="J632" s="33">
        <f>D632*(1-D630)/D626/((1+G626)^J628)</f>
        <v>1.1690699999999996</v>
      </c>
      <c r="K632" s="33">
        <f>D632*(1-D630)/D626/((1+G626)^K628)</f>
        <v>1.1690699999999996</v>
      </c>
      <c r="L632" s="33">
        <f>D632*(1-D630)/D626/((1+G626)^L628)</f>
        <v>1.1690699999999996</v>
      </c>
      <c r="M632" s="33">
        <f>D632*(1-D630)/D626/((1+G626)^M628)</f>
        <v>1.1690699999999996</v>
      </c>
      <c r="N632" s="33">
        <f>D632*(1-D630)/D626/((1+G626)^N628)</f>
        <v>1.1690699999999996</v>
      </c>
      <c r="O632" s="33">
        <f>D632*(1-D630)/D626/((1+G626)^O628)</f>
        <v>1.1690699999999996</v>
      </c>
      <c r="P632" s="33">
        <f>D632*(1-D630)/D626/((1+G626)^P628)</f>
        <v>1.1690699999999996</v>
      </c>
      <c r="Q632" s="33">
        <f>D632*(1-D630)/D626/((1+G626)^Q628)</f>
        <v>1.1690699999999996</v>
      </c>
      <c r="R632" s="33">
        <f>D632*(1-D630)/D626/((1+G626)^R628)</f>
        <v>1.1690699999999996</v>
      </c>
      <c r="S632" s="33">
        <f>D632*(1-D630)/D626/((1+G626)^S628)</f>
        <v>1.1690699999999996</v>
      </c>
      <c r="T632" s="33">
        <f>D632*(1-D630)/D626/((1+G626)^T628)</f>
        <v>1.1690699999999996</v>
      </c>
      <c r="U632" s="33">
        <f>D632*(1-D630)/D626/((1+G626)^U628)</f>
        <v>1.1690699999999996</v>
      </c>
      <c r="V632" s="33">
        <f>D632*(1-D630)/D626/((1+G626)^V628)</f>
        <v>1.1690699999999996</v>
      </c>
      <c r="W632" s="33">
        <f>D632*(1-D630)/D626/((1+G626)^W628)</f>
        <v>1.1690699999999996</v>
      </c>
      <c r="X632" s="33">
        <f>D632*(1-D630)/D626/((1+G626)^X628)</f>
        <v>1.1690699999999996</v>
      </c>
      <c r="Y632" s="33">
        <f>D632*(1-D630)/D626/((1+G626)^Y628)</f>
        <v>1.1690699999999996</v>
      </c>
      <c r="Z632" s="33">
        <f>D632*(1-D630)/D626/((1+G626)^Z628)</f>
        <v>1.1690699999999996</v>
      </c>
      <c r="AA632" s="33">
        <f>D632*(1-D630)/D626/((1+G626)^AA628)</f>
        <v>1.1690699999999996</v>
      </c>
    </row>
    <row r="633" spans="3:27" hidden="1" outlineLevel="1" x14ac:dyDescent="0.3">
      <c r="C633" s="18" t="s">
        <v>29</v>
      </c>
      <c r="D633" s="29">
        <v>0.35980000000000001</v>
      </c>
      <c r="F633" s="6" t="s">
        <v>17</v>
      </c>
      <c r="G633" s="33">
        <f>SUM(H634:AA634)</f>
        <v>4.8000000000000025</v>
      </c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 spans="3:27" hidden="1" outlineLevel="1" x14ac:dyDescent="0.3">
      <c r="C634" s="18" t="s">
        <v>30</v>
      </c>
      <c r="D634" s="31">
        <f>Backup分地区光伏小时数及电价!I14</f>
        <v>0.58344499999999999</v>
      </c>
      <c r="F634" s="7" t="s">
        <v>18</v>
      </c>
      <c r="G634" s="33"/>
      <c r="H634" s="33">
        <f>D629*D608/((1+G626)^H628)</f>
        <v>0.24</v>
      </c>
      <c r="I634" s="33">
        <f>D629*D608/((1+G626)^I628)</f>
        <v>0.24</v>
      </c>
      <c r="J634" s="33">
        <f>D629*D608/((1+G626)^J628)</f>
        <v>0.24</v>
      </c>
      <c r="K634" s="33">
        <f>D629*D608/((1+G626)^K628)</f>
        <v>0.24</v>
      </c>
      <c r="L634" s="33">
        <f>D629*D608/((1+G626)^L628)</f>
        <v>0.24</v>
      </c>
      <c r="M634" s="33">
        <f>D629*D608/((1+G626)^M628)</f>
        <v>0.24</v>
      </c>
      <c r="N634" s="33">
        <f>D629*D608/((1+G626)^N628)</f>
        <v>0.24</v>
      </c>
      <c r="O634" s="33">
        <f>D629*D608/((1+G626)^O628)</f>
        <v>0.24</v>
      </c>
      <c r="P634" s="33">
        <f>D629*D608/((1+G626)^P628)</f>
        <v>0.24</v>
      </c>
      <c r="Q634" s="33">
        <f>D629*D608/((1+G626)^Q628)</f>
        <v>0.24</v>
      </c>
      <c r="R634" s="33">
        <f>D629*D608/((1+G626)^R628)</f>
        <v>0.24</v>
      </c>
      <c r="S634" s="33">
        <f>D629*D608/((1+G626)^S628)</f>
        <v>0.24</v>
      </c>
      <c r="T634" s="33">
        <f>D629*D608/((1+G626)^T628)</f>
        <v>0.24</v>
      </c>
      <c r="U634" s="33">
        <f>D629*D608/((1+G626)^U628)</f>
        <v>0.24</v>
      </c>
      <c r="V634" s="33">
        <f>D629*D608/((1+G626)^V628)</f>
        <v>0.24</v>
      </c>
      <c r="W634" s="33">
        <f>D629*D608/((1+G626)^W628)</f>
        <v>0.24</v>
      </c>
      <c r="X634" s="33">
        <f>D629*D608/((1+G626)^X628)</f>
        <v>0.24</v>
      </c>
      <c r="Y634" s="33">
        <f>D629*D608/((1+G626)^Y628)</f>
        <v>0.24</v>
      </c>
      <c r="Z634" s="33">
        <f>D629*D608/((1+G626)^Z628)</f>
        <v>0.24</v>
      </c>
      <c r="AA634" s="33">
        <f>D629*D608/((1+G626)^AA628)</f>
        <v>0.24</v>
      </c>
    </row>
    <row r="635" spans="3:27" hidden="1" outlineLevel="1" x14ac:dyDescent="0.3">
      <c r="C635" s="18" t="s">
        <v>70</v>
      </c>
      <c r="D635" s="32">
        <f>分布式光伏电站IRR汇总!$B$27</f>
        <v>1</v>
      </c>
      <c r="F635" s="6" t="s">
        <v>19</v>
      </c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f>D629*D632/((1+G626)^AA628)</f>
        <v>0.9844799999999998</v>
      </c>
    </row>
    <row r="636" spans="3:27" hidden="1" outlineLevel="1" x14ac:dyDescent="0.3">
      <c r="C636" s="18" t="s">
        <v>69</v>
      </c>
      <c r="D636" s="31">
        <f>D635*D634</f>
        <v>0.58344499999999999</v>
      </c>
      <c r="F636" s="8" t="s">
        <v>64</v>
      </c>
      <c r="G636" s="33">
        <f>SUM(H637:AA637)</f>
        <v>143086.30017603032</v>
      </c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 spans="3:27" hidden="1" outlineLevel="1" x14ac:dyDescent="0.3">
      <c r="C637" s="18" t="s">
        <v>31</v>
      </c>
      <c r="D637" s="27">
        <v>0</v>
      </c>
      <c r="F637" s="9" t="s">
        <v>65</v>
      </c>
      <c r="G637" s="33"/>
      <c r="H637" s="33">
        <f>D608*D625*(1-D627)*D631/((1+G626)^H628)</f>
        <v>7464.9892799999989</v>
      </c>
      <c r="I637" s="33">
        <f>D608*D625*(1-D627)*(1-D628)^(I628-1)*D631/((1+G626)^I628)</f>
        <v>7431.3968282399992</v>
      </c>
      <c r="J637" s="33">
        <f>D608*D625*(1-D627)*(1-D628)^(J628-1)*D631/((1+G626)^J628)</f>
        <v>7397.9555425129201</v>
      </c>
      <c r="K637" s="33">
        <f>D608*D625*(1-D627)*(1-D628)^(K628-1)*D631/((1+G626)^K628)</f>
        <v>7364.6647425716128</v>
      </c>
      <c r="L637" s="33">
        <f>D608*D625*(1-D627)*(1-D628)^(L628-1)*D631/((1+G626)^L628)</f>
        <v>7331.5237512300409</v>
      </c>
      <c r="M637" s="33">
        <f>D608*D625*(1-D627)*(1-D628)^(M628-1)*D631/((1+G626)^M628)</f>
        <v>7298.5318943495067</v>
      </c>
      <c r="N637" s="33">
        <f>D608*D625*(1-D627)*(1-D628)^(N628-1)*D631/((1+G626)^N628)</f>
        <v>7265.6885008249337</v>
      </c>
      <c r="O637" s="33">
        <f>D608*D625*(1-D627)*(1-D628)^(O628-1)*D631/((1+G626)^O628)</f>
        <v>7232.9929025712208</v>
      </c>
      <c r="P637" s="33">
        <f>D608*D625*(1-D627)*(1-D628)^(P628-1)*D631/((1+G626)^P628)</f>
        <v>7200.4444345096517</v>
      </c>
      <c r="Q637" s="33">
        <f>D608*D625*(1-D627)*(1-D628)^(Q628-1)*D631/((1+G626)^Q628)</f>
        <v>7168.0424345543588</v>
      </c>
      <c r="R637" s="33">
        <f>D608*D625*(1-D627)*(1-D628)^(R628-1)*D631/((1+G626)^R628)</f>
        <v>7135.7862435988654</v>
      </c>
      <c r="S637" s="33">
        <f>D608*D625*(1-D627)*(1-D628)^(S628-1)*D631/((1+G626)^S628)</f>
        <v>7103.67520550267</v>
      </c>
      <c r="T637" s="33">
        <f>D608*D625*(1-D627)*(1-D628)^(T628-1)*D631/((1+G626)^T628)</f>
        <v>7071.708667077909</v>
      </c>
      <c r="U637" s="33">
        <f>D608*D625*(1-D627)*(1-D628)^(U628-1)*D631/((1+G626)^U628)</f>
        <v>7039.8859780760577</v>
      </c>
      <c r="V637" s="33">
        <f>D608*D625*(1-D627)*(1-D628)^(V628-1)*D631/((1+G626)^V628)</f>
        <v>7008.2064911747157</v>
      </c>
      <c r="W637" s="33">
        <f>D608*D625*(1-D627)*(1-D628)^(W628-1)*D631/((1+G626)^W628)</f>
        <v>6976.6695619644306</v>
      </c>
      <c r="X637" s="33">
        <f>D608*D625*(1-D627)*(1-D628)^(X628-1)*D631/((1+G626)^X628)</f>
        <v>6945.2745489355912</v>
      </c>
      <c r="Y637" s="33">
        <f>D608*D625*(1-D627)*(1-D628)^(Y628-1)*D631/((1+G626)^Y628)</f>
        <v>6914.0208134653813</v>
      </c>
      <c r="Z637" s="33">
        <f>D608*D625*(1-D627)*(1-D628)^(Z628-1)*D631/((1+G626)^Z628)</f>
        <v>6882.907719804788</v>
      </c>
      <c r="AA637" s="33">
        <f>D608*D625*(1-D627)*(1-D628)^(AA628-1)*D631/((1+G626)^AA628)</f>
        <v>6851.934635065667</v>
      </c>
    </row>
    <row r="638" spans="3:27" hidden="1" outlineLevel="1" x14ac:dyDescent="0.3">
      <c r="F638" s="4" t="s">
        <v>66</v>
      </c>
      <c r="G638" s="33">
        <f>SUM(H639:AA639)</f>
        <v>83.482986406203992</v>
      </c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 spans="3:27" hidden="1" outlineLevel="1" x14ac:dyDescent="0.3">
      <c r="F639" s="7" t="s">
        <v>67</v>
      </c>
      <c r="G639" s="33"/>
      <c r="H639" s="33">
        <f>H637*D636/1000</f>
        <v>4.3554106704695998</v>
      </c>
      <c r="I639" s="33">
        <f>I637*D636/1000</f>
        <v>4.3358113224524857</v>
      </c>
      <c r="J639" s="33">
        <f>J637*D636/1000</f>
        <v>4.3163001715014504</v>
      </c>
      <c r="K639" s="33">
        <f>K637*D636/1000</f>
        <v>4.2968768207296941</v>
      </c>
      <c r="L639" s="33">
        <f>L637*D636/1000</f>
        <v>4.2775408750364114</v>
      </c>
      <c r="M639" s="33">
        <f>M637*D636/1000</f>
        <v>4.2582919410987481</v>
      </c>
      <c r="N639" s="33">
        <f>N637*D636/1000</f>
        <v>4.2391296273638037</v>
      </c>
      <c r="O639" s="33">
        <f>O637*D636/1000</f>
        <v>4.2200535440406659</v>
      </c>
      <c r="P639" s="33">
        <f>P637*D636/1000</f>
        <v>4.201063303092484</v>
      </c>
      <c r="Q639" s="33">
        <f>Q637*D636/1000</f>
        <v>4.1821585182285679</v>
      </c>
      <c r="R639" s="33">
        <f>R637*D636/1000</f>
        <v>4.1633388048965401</v>
      </c>
      <c r="S639" s="33">
        <f>S637*D636/1000</f>
        <v>4.1446037802745046</v>
      </c>
      <c r="T639" s="33">
        <f>T637*D636/1000</f>
        <v>4.1259530632632702</v>
      </c>
      <c r="U639" s="33">
        <f>U637*D636/1000</f>
        <v>4.1073862744785856</v>
      </c>
      <c r="V639" s="33">
        <f>V637*D636/1000</f>
        <v>4.0889030362434315</v>
      </c>
      <c r="W639" s="33">
        <f>W637*D636/1000</f>
        <v>4.0705029725803366</v>
      </c>
      <c r="X639" s="33">
        <f>X637*D636/1000</f>
        <v>4.0521857092037257</v>
      </c>
      <c r="Y639" s="33">
        <f>Y637*D636/1000</f>
        <v>4.0339508735123095</v>
      </c>
      <c r="Z639" s="33">
        <f>Z637*D636/1000</f>
        <v>4.0157980945815046</v>
      </c>
      <c r="AA639" s="33">
        <f>AA637*D636/1000</f>
        <v>3.9977270031558878</v>
      </c>
    </row>
    <row r="640" spans="3:27" hidden="1" outlineLevel="1" x14ac:dyDescent="0.3">
      <c r="F640" s="4" t="s">
        <v>20</v>
      </c>
      <c r="G640" s="33">
        <f>SUM(H641:AA641)</f>
        <v>13.825396601551001</v>
      </c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 spans="2:27" hidden="1" outlineLevel="1" x14ac:dyDescent="0.3">
      <c r="F641" s="7" t="s">
        <v>21</v>
      </c>
      <c r="G641" s="33"/>
      <c r="H641" s="33">
        <f>(H639-H632-H634)*G627</f>
        <v>0.73658516761740001</v>
      </c>
      <c r="I641" s="33">
        <f>(I639-I632-I634)*G627</f>
        <v>0.73168533061312147</v>
      </c>
      <c r="J641" s="33">
        <f>(J639-J632-J634)*G627</f>
        <v>0.72680754287536264</v>
      </c>
      <c r="K641" s="33">
        <f>(K639-K632-K634)*G627</f>
        <v>0.72195170518242358</v>
      </c>
      <c r="L641" s="33">
        <f>(L639-L632-L634)*G627</f>
        <v>0.71711771875910291</v>
      </c>
      <c r="M641" s="33">
        <f>(M639-M632-M634)*G627</f>
        <v>0.71230548527468707</v>
      </c>
      <c r="N641" s="33">
        <f>(N639-N632-N634)*G627</f>
        <v>0.70751490684095097</v>
      </c>
      <c r="O641" s="33">
        <f>(O639-O632-O634)*G627</f>
        <v>0.70274588601016652</v>
      </c>
      <c r="P641" s="33">
        <f>(P639-P632-P634)*G627</f>
        <v>0.69799832577312104</v>
      </c>
      <c r="Q641" s="33">
        <f>(Q639-Q632-Q634)*G627</f>
        <v>0.69327212955714201</v>
      </c>
      <c r="R641" s="33">
        <f>(R639-R632-R634)*G627</f>
        <v>0.68856720122413506</v>
      </c>
      <c r="S641" s="33">
        <f>(S639-S632-S634)*G627</f>
        <v>0.68388344506862619</v>
      </c>
      <c r="T641" s="33">
        <f>(T639-T632-T634)*G627</f>
        <v>0.67922076581581758</v>
      </c>
      <c r="U641" s="33">
        <f>(U639-U632-U634)*G627</f>
        <v>0.67457906861964645</v>
      </c>
      <c r="V641" s="33">
        <f>(V639-V632-V634)*G627</f>
        <v>0.66995825906085793</v>
      </c>
      <c r="W641" s="33">
        <f>(W639-W632-W634)*G627</f>
        <v>0.66535824314508418</v>
      </c>
      <c r="X641" s="33">
        <f>(X639-X632-X634)*G627</f>
        <v>0.66077892730093146</v>
      </c>
      <c r="Y641" s="33">
        <f>(Y639-Y632-Y634)*G627</f>
        <v>0.65622021837807742</v>
      </c>
      <c r="Z641" s="33">
        <f>(Z639-Z632-Z634)*G627</f>
        <v>0.6516820236453762</v>
      </c>
      <c r="AA641" s="33">
        <f>(AA639-AA632-AA634)*G627</f>
        <v>0.64716425078897211</v>
      </c>
    </row>
    <row r="642" spans="2:27" hidden="1" outlineLevel="1" x14ac:dyDescent="0.3">
      <c r="F642" s="10" t="s">
        <v>22</v>
      </c>
      <c r="G642" s="33">
        <f>-G630</f>
        <v>-24.611999999999995</v>
      </c>
      <c r="H642" s="33">
        <f>H639-H641-H634</f>
        <v>3.3788255028521998</v>
      </c>
      <c r="I642" s="33">
        <f t="shared" ref="I642" si="171">I639-I641-I634</f>
        <v>3.364125991839364</v>
      </c>
      <c r="J642" s="33">
        <f t="shared" ref="J642" si="172">J639-J641-J634</f>
        <v>3.3494926286260878</v>
      </c>
      <c r="K642" s="33">
        <f t="shared" ref="K642" si="173">K639-K641-K634</f>
        <v>3.3349251155472706</v>
      </c>
      <c r="L642" s="33">
        <f t="shared" ref="L642" si="174">L639-L641-L634</f>
        <v>3.3204231562773083</v>
      </c>
      <c r="M642" s="33">
        <f t="shared" ref="M642" si="175">M639-M641-M634</f>
        <v>3.305986455824061</v>
      </c>
      <c r="N642" s="33">
        <f t="shared" ref="N642" si="176">N639-N641-N634</f>
        <v>3.291614720522853</v>
      </c>
      <c r="O642" s="33">
        <f t="shared" ref="O642" si="177">O639-O641-O634</f>
        <v>3.2773076580304989</v>
      </c>
      <c r="P642" s="33">
        <f t="shared" ref="P642" si="178">P639-P641-P634</f>
        <v>3.2630649773193632</v>
      </c>
      <c r="Q642" s="33">
        <f t="shared" ref="Q642" si="179">Q639-Q641-Q634</f>
        <v>3.2488863886714254</v>
      </c>
      <c r="R642" s="33">
        <f t="shared" ref="R642" si="180">R639-R641-R634</f>
        <v>3.2347716036724048</v>
      </c>
      <c r="S642" s="33">
        <f t="shared" ref="S642" si="181">S639-S641-S634</f>
        <v>3.2207203352058782</v>
      </c>
      <c r="T642" s="33">
        <f t="shared" ref="T642" si="182">T639-T641-T634</f>
        <v>3.2067322974474521</v>
      </c>
      <c r="U642" s="33">
        <f t="shared" ref="U642" si="183">U639-U641-U634</f>
        <v>3.192807205858939</v>
      </c>
      <c r="V642" s="33">
        <f t="shared" ref="V642" si="184">V639-V641-V634</f>
        <v>3.1789447771825738</v>
      </c>
      <c r="W642" s="33">
        <f t="shared" ref="W642" si="185">W639-W641-W634</f>
        <v>3.1651447294352524</v>
      </c>
      <c r="X642" s="33">
        <f t="shared" ref="X642" si="186">X639-X641-X634</f>
        <v>3.1514067819027938</v>
      </c>
      <c r="Y642" s="33">
        <f t="shared" ref="Y642" si="187">Y639-Y641-Y634</f>
        <v>3.1377306551342317</v>
      </c>
      <c r="Z642" s="33">
        <f t="shared" ref="Z642" si="188">Z639-Z641-Z634</f>
        <v>3.124116070936128</v>
      </c>
      <c r="AA642" s="33">
        <f t="shared" ref="AA642" si="189">AA639-AA641-AA634</f>
        <v>3.1105627523669153</v>
      </c>
    </row>
    <row r="643" spans="2:27" ht="13.5" hidden="1" outlineLevel="1" thickBot="1" x14ac:dyDescent="0.35">
      <c r="F643" s="3" t="s">
        <v>68</v>
      </c>
      <c r="G643" s="40">
        <f>IRR(G642:AA642)</f>
        <v>0.11985931715760834</v>
      </c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2:27" ht="13.5" collapsed="1" thickTop="1" x14ac:dyDescent="0.3"/>
    <row r="645" spans="2:27" x14ac:dyDescent="0.3">
      <c r="B645" s="11" t="s">
        <v>153</v>
      </c>
      <c r="C645" s="11" t="s">
        <v>52</v>
      </c>
    </row>
    <row r="646" spans="2:27" x14ac:dyDescent="0.3">
      <c r="C646" s="11" t="s">
        <v>141</v>
      </c>
      <c r="D646" s="54">
        <f>D677</f>
        <v>1507</v>
      </c>
    </row>
    <row r="647" spans="2:27" x14ac:dyDescent="0.3">
      <c r="C647" s="16" t="s">
        <v>78</v>
      </c>
      <c r="D647" s="37">
        <f>(G676+G679+G686)/G682*1000</f>
        <v>0.33563013466060909</v>
      </c>
    </row>
    <row r="648" spans="2:27" x14ac:dyDescent="0.3">
      <c r="C648" s="13" t="s">
        <v>77</v>
      </c>
      <c r="D648" s="39">
        <f>(G657+G660+G667)/G663*1000</f>
        <v>0.46325241620374336</v>
      </c>
    </row>
    <row r="649" spans="2:27" x14ac:dyDescent="0.3">
      <c r="C649" s="13" t="s">
        <v>61</v>
      </c>
      <c r="D649" s="36">
        <f>G670</f>
        <v>0.80884602178665221</v>
      </c>
    </row>
    <row r="650" spans="2:27" x14ac:dyDescent="0.3">
      <c r="C650" s="13" t="s">
        <v>73</v>
      </c>
      <c r="D650" s="25">
        <f>SUM(G669:AA669)</f>
        <v>19.90731828821308</v>
      </c>
    </row>
    <row r="651" spans="2:27" ht="13.5" thickBot="1" x14ac:dyDescent="0.35">
      <c r="C651" s="23" t="s">
        <v>68</v>
      </c>
      <c r="D651" s="26">
        <f>G689</f>
        <v>0.16416035055271716</v>
      </c>
    </row>
    <row r="652" spans="2:27" ht="13.5" outlineLevel="1" thickTop="1" x14ac:dyDescent="0.3">
      <c r="E652" s="20"/>
      <c r="F652" s="38" t="s">
        <v>75</v>
      </c>
    </row>
    <row r="653" spans="2:27" outlineLevel="1" x14ac:dyDescent="0.3">
      <c r="C653" s="11" t="s">
        <v>71</v>
      </c>
      <c r="F653" s="13" t="s">
        <v>25</v>
      </c>
      <c r="G653" s="14">
        <v>7.0000000000000007E-2</v>
      </c>
    </row>
    <row r="654" spans="2:27" outlineLevel="1" x14ac:dyDescent="0.3">
      <c r="C654" s="18" t="s">
        <v>53</v>
      </c>
      <c r="D654" s="19">
        <f>分布式光伏电站IRR汇总!$B$2</f>
        <v>6</v>
      </c>
      <c r="F654" s="13" t="s">
        <v>26</v>
      </c>
      <c r="G654" s="14">
        <v>0.25</v>
      </c>
    </row>
    <row r="655" spans="2:27" outlineLevel="1" x14ac:dyDescent="0.3">
      <c r="C655" s="18" t="s">
        <v>56</v>
      </c>
      <c r="D655" s="19">
        <f>分布式光伏电站IRR汇总!$B$3</f>
        <v>120</v>
      </c>
      <c r="F655" s="1" t="s">
        <v>44</v>
      </c>
      <c r="G655" s="4"/>
      <c r="H655" s="5">
        <v>1</v>
      </c>
      <c r="I655" s="5">
        <v>2</v>
      </c>
      <c r="J655" s="5">
        <v>3</v>
      </c>
      <c r="K655" s="5">
        <v>4</v>
      </c>
      <c r="L655" s="5">
        <v>5</v>
      </c>
      <c r="M655" s="5">
        <v>6</v>
      </c>
      <c r="N655" s="5">
        <v>7</v>
      </c>
      <c r="O655" s="5">
        <v>8</v>
      </c>
      <c r="P655" s="5">
        <v>9</v>
      </c>
      <c r="Q655" s="5">
        <v>10</v>
      </c>
      <c r="R655" s="5">
        <v>11</v>
      </c>
      <c r="S655" s="5">
        <v>12</v>
      </c>
      <c r="T655" s="5">
        <v>13</v>
      </c>
      <c r="U655" s="5">
        <v>14</v>
      </c>
      <c r="V655" s="5">
        <v>15</v>
      </c>
      <c r="W655" s="5">
        <v>16</v>
      </c>
      <c r="X655" s="5">
        <v>17</v>
      </c>
      <c r="Y655" s="5">
        <v>18</v>
      </c>
      <c r="Z655" s="5">
        <v>19</v>
      </c>
      <c r="AA655" s="5">
        <v>20</v>
      </c>
    </row>
    <row r="656" spans="2:27" outlineLevel="1" x14ac:dyDescent="0.3">
      <c r="C656" s="18" t="s">
        <v>57</v>
      </c>
      <c r="D656" s="19">
        <f>分布式光伏电站IRR汇总!$B$4</f>
        <v>3</v>
      </c>
      <c r="F656" s="16"/>
      <c r="G656" s="2" t="s">
        <v>0</v>
      </c>
      <c r="H656" s="2" t="s">
        <v>1</v>
      </c>
      <c r="I656" s="2" t="s">
        <v>2</v>
      </c>
      <c r="J656" s="2" t="s">
        <v>3</v>
      </c>
      <c r="K656" s="2" t="s">
        <v>4</v>
      </c>
      <c r="L656" s="2" t="s">
        <v>5</v>
      </c>
      <c r="M656" s="2" t="s">
        <v>6</v>
      </c>
      <c r="N656" s="2" t="s">
        <v>7</v>
      </c>
      <c r="O656" s="2" t="s">
        <v>8</v>
      </c>
      <c r="P656" s="2" t="s">
        <v>9</v>
      </c>
      <c r="Q656" s="2" t="s">
        <v>10</v>
      </c>
      <c r="R656" s="2" t="s">
        <v>11</v>
      </c>
      <c r="S656" s="2" t="s">
        <v>12</v>
      </c>
      <c r="T656" s="2" t="s">
        <v>13</v>
      </c>
      <c r="U656" s="2" t="s">
        <v>45</v>
      </c>
      <c r="V656" s="2" t="s">
        <v>46</v>
      </c>
      <c r="W656" s="2" t="s">
        <v>47</v>
      </c>
      <c r="X656" s="2" t="s">
        <v>48</v>
      </c>
      <c r="Y656" s="2" t="s">
        <v>49</v>
      </c>
      <c r="Z656" s="2" t="s">
        <v>50</v>
      </c>
      <c r="AA656" s="2" t="s">
        <v>127</v>
      </c>
    </row>
    <row r="657" spans="3:27" outlineLevel="1" x14ac:dyDescent="0.3">
      <c r="C657" s="18" t="s">
        <v>54</v>
      </c>
      <c r="D657" s="19">
        <f>分布式光伏电站IRR汇总!$B$5</f>
        <v>5</v>
      </c>
      <c r="F657" s="6" t="s">
        <v>14</v>
      </c>
      <c r="G657" s="33">
        <f>D678</f>
        <v>24.611999999999995</v>
      </c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 spans="3:27" outlineLevel="1" x14ac:dyDescent="0.3">
      <c r="C658" s="18" t="s">
        <v>55</v>
      </c>
      <c r="D658" s="19">
        <f>分布式光伏电站IRR汇总!$B$6</f>
        <v>15</v>
      </c>
      <c r="F658" s="6" t="s">
        <v>15</v>
      </c>
      <c r="G658" s="33">
        <f>SUM(H659:AA659)</f>
        <v>12.385144234005573</v>
      </c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 spans="3:27" outlineLevel="1" x14ac:dyDescent="0.3">
      <c r="C659" s="18" t="s">
        <v>42</v>
      </c>
      <c r="D659" s="19">
        <f>分布式光伏电站IRR汇总!$B$7</f>
        <v>4.1019999999999994</v>
      </c>
      <c r="F659" s="7" t="s">
        <v>16</v>
      </c>
      <c r="G659" s="33"/>
      <c r="H659" s="33">
        <f>D678*(1-D676)/D672/((1+G653)^H655)</f>
        <v>1.0925887850467286</v>
      </c>
      <c r="I659" s="33">
        <f>D678*(1-D676)/D672/((1+G653)^I655)</f>
        <v>1.0211110140623632</v>
      </c>
      <c r="J659" s="33">
        <f>D678*(1-D676)/D672/((1+G653)^J655)</f>
        <v>0.95430935893678792</v>
      </c>
      <c r="K659" s="33">
        <f>D678*(1-D676)/D672/((1+G653)^K655)</f>
        <v>0.89187790554839996</v>
      </c>
      <c r="L659" s="33">
        <f>D678*(1-D676)/D672/((1+G653)^L655)</f>
        <v>0.83353075284897193</v>
      </c>
      <c r="M659" s="33">
        <f>D678*(1-D676)/D672/((1+G653)^M655)</f>
        <v>0.77900070359717</v>
      </c>
      <c r="N659" s="33">
        <f>D678*(1-D676)/D672/((1+G653)^N655)</f>
        <v>0.72803804074501866</v>
      </c>
      <c r="O659" s="33">
        <f>D678*(1-D676)/D672/((1+G653)^O655)</f>
        <v>0.6804093838738493</v>
      </c>
      <c r="P659" s="33">
        <f>D678*(1-D676)/D672/((1+G653)^P655)</f>
        <v>0.63589662044284967</v>
      </c>
      <c r="Q659" s="33">
        <f>D678*(1-D676)/D672/((1+G653)^Q655)</f>
        <v>0.59429590695593437</v>
      </c>
      <c r="R659" s="33">
        <f>D678*(1-D676)/D672/((1+G653)^R655)</f>
        <v>0.55541673547283577</v>
      </c>
      <c r="S659" s="33">
        <f>D678*(1-D676)/D672/((1+G653)^S655)</f>
        <v>0.51908106118956621</v>
      </c>
      <c r="T659" s="33">
        <f>D678*(1-D676)/D672/((1+G653)^T655)</f>
        <v>0.4851224870930525</v>
      </c>
      <c r="U659" s="33">
        <f>D678*(1-D676)/D672/((1+G653)^U655)</f>
        <v>0.45338550195612387</v>
      </c>
      <c r="V659" s="33">
        <f>D678*(1-D676)/D672/((1+G653)^V655)</f>
        <v>0.4237247681832933</v>
      </c>
      <c r="W659" s="33">
        <f>D678*(1-D676)/D672/((1+G653)^W655)</f>
        <v>0.39600445624606856</v>
      </c>
      <c r="X659" s="33">
        <f>D678*(1-D676)/D672/((1+G653)^X655)</f>
        <v>0.37009762265987711</v>
      </c>
      <c r="Y659" s="33">
        <f>D678*(1-D676)/D672/((1+G653)^Y655)</f>
        <v>0.34588562865409078</v>
      </c>
      <c r="Z659" s="33">
        <f>D678*(1-D676)/D672/((1+G653)^Z655)</f>
        <v>0.323257596872982</v>
      </c>
      <c r="AA659" s="33">
        <f>D678*(1-D676)/D672/((1+G653)^AA655)</f>
        <v>0.30210990361960938</v>
      </c>
    </row>
    <row r="660" spans="3:27" outlineLevel="1" x14ac:dyDescent="0.3">
      <c r="C660" s="21" t="s">
        <v>32</v>
      </c>
      <c r="D660" s="19">
        <f>分布式光伏电站IRR汇总!$B$8</f>
        <v>1.8870000000000002</v>
      </c>
      <c r="F660" s="6" t="s">
        <v>17</v>
      </c>
      <c r="G660" s="33">
        <f>SUM(H661:AA661)</f>
        <v>2.5425634189238777</v>
      </c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 spans="3:27" outlineLevel="1" x14ac:dyDescent="0.3">
      <c r="C661" s="21" t="s">
        <v>33</v>
      </c>
      <c r="D661" s="19">
        <f>分布式光伏电站IRR汇总!$B$9</f>
        <v>0.18500000000000003</v>
      </c>
      <c r="F661" s="7" t="s">
        <v>18</v>
      </c>
      <c r="G661" s="33"/>
      <c r="H661" s="33">
        <f>D675*D654/((1+G653)^H655)</f>
        <v>0.22429906542056072</v>
      </c>
      <c r="I661" s="33">
        <f>D675*D654/((1+G653)^I655)</f>
        <v>0.20962529478557079</v>
      </c>
      <c r="J661" s="33">
        <f>D675*D654/((1+G653)^J655)</f>
        <v>0.19591149045380446</v>
      </c>
      <c r="K661" s="33">
        <f>D675*D654/((1+G653)^K655)</f>
        <v>0.18309485089140604</v>
      </c>
      <c r="L661" s="33">
        <f>D675*D654/((1+G653)^L655)</f>
        <v>0.17111668307608041</v>
      </c>
      <c r="M661" s="33">
        <f>D675*D654/((1+G653)^M655)</f>
        <v>0.15992213371596301</v>
      </c>
      <c r="N661" s="33">
        <f>D675*D654/((1+G653)^N655)</f>
        <v>0.14945993805230187</v>
      </c>
      <c r="O661" s="33">
        <f>D675*D654/((1+G653)^O655)</f>
        <v>0.13968218509560923</v>
      </c>
      <c r="P661" s="33">
        <f>D675*D654/((1+G653)^P655)</f>
        <v>0.13054409822019553</v>
      </c>
      <c r="Q661" s="33">
        <f>D675*D654/((1+G653)^Q655)</f>
        <v>0.12200383011233226</v>
      </c>
      <c r="R661" s="33">
        <f>D675*D654/((1+G653)^R655)</f>
        <v>0.1140222711330208</v>
      </c>
      <c r="S661" s="33">
        <f>D675*D654/((1+G653)^S655)</f>
        <v>0.10656287021777647</v>
      </c>
      <c r="T661" s="33">
        <f>D675*D654/((1+G653)^T655)</f>
        <v>9.9591467493249028E-2</v>
      </c>
      <c r="U661" s="33">
        <f>D675*D654/((1+G653)^U655)</f>
        <v>9.3076137844157969E-2</v>
      </c>
      <c r="V661" s="33">
        <f>D675*D654/((1+G653)^V655)</f>
        <v>8.6987044714166323E-2</v>
      </c>
      <c r="W661" s="33">
        <f>D675*D654/((1+G653)^W655)</f>
        <v>8.1296303471183481E-2</v>
      </c>
      <c r="X661" s="33">
        <f>D675*D654/((1+G653)^X655)</f>
        <v>7.5977853711386434E-2</v>
      </c>
      <c r="Y661" s="33">
        <f>D675*D654/((1+G653)^Y655)</f>
        <v>7.1007339917183582E-2</v>
      </c>
      <c r="Z661" s="33">
        <f>D675*D654/((1+G653)^Z655)</f>
        <v>6.6361999922601472E-2</v>
      </c>
      <c r="AA661" s="33">
        <f>D675*D654/((1+G653)^AA655)</f>
        <v>6.2020560675328483E-2</v>
      </c>
    </row>
    <row r="662" spans="3:27" outlineLevel="1" x14ac:dyDescent="0.3">
      <c r="C662" s="21" t="s">
        <v>34</v>
      </c>
      <c r="D662" s="19">
        <f>分布式光伏电站IRR汇总!$B$10</f>
        <v>0.222</v>
      </c>
      <c r="F662" s="6" t="s">
        <v>19</v>
      </c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>
        <f>D675*D678/((1+G653)^AA655)</f>
        <v>0.2544083398901974</v>
      </c>
    </row>
    <row r="663" spans="3:27" outlineLevel="1" x14ac:dyDescent="0.3">
      <c r="C663" s="21" t="s">
        <v>35</v>
      </c>
      <c r="D663" s="19">
        <f>分布式光伏电站IRR汇总!$B$11</f>
        <v>0.44400000000000001</v>
      </c>
      <c r="F663" s="8" t="s">
        <v>64</v>
      </c>
      <c r="G663" s="33">
        <f>SUM(H664:AA664)</f>
        <v>78681.402894517334</v>
      </c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 spans="3:27" outlineLevel="1" x14ac:dyDescent="0.3">
      <c r="C664" s="21" t="s">
        <v>36</v>
      </c>
      <c r="D664" s="19">
        <f>分布式光伏电站IRR汇总!$B$12</f>
        <v>0.222</v>
      </c>
      <c r="F664" s="9" t="s">
        <v>65</v>
      </c>
      <c r="G664" s="33"/>
      <c r="H664" s="33">
        <f>D654*D671*(1-D673)*D677/((1+G653)^H655)</f>
        <v>7171.7425794392511</v>
      </c>
      <c r="I664" s="33">
        <f>D654*D671*(1-D673)*(1-D674)^(I655-1)*D677/((1+G653)^I655)</f>
        <v>6672.4016241418458</v>
      </c>
      <c r="J664" s="33">
        <f>D654*D671*(1-D673)*(1-D674)^(J655-1)*D677/((1+G653)^J655)</f>
        <v>6207.827866199259</v>
      </c>
      <c r="K664" s="33">
        <f>D654*D671*(1-D673)*(1-D674)^(K655-1)*D677/((1+G653)^K655)</f>
        <v>5775.6005988797797</v>
      </c>
      <c r="L664" s="33">
        <f>D654*D671*(1-D673)*(1-D674)^(L655-1)*D677/((1+G653)^L655)</f>
        <v>5373.467659985813</v>
      </c>
      <c r="M664" s="33">
        <f>D654*D671*(1-D673)*(1-D674)^(M655-1)*D677/((1+G653)^M655)</f>
        <v>4999.3336967438108</v>
      </c>
      <c r="N664" s="33">
        <f>D654*D671*(1-D673)*(1-D674)^(N655-1)*D677/((1+G653)^N655)</f>
        <v>4651.2492477649193</v>
      </c>
      <c r="O664" s="33">
        <f>D654*D671*(1-D673)*(1-D674)^(O655-1)*D677/((1+G653)^O655)</f>
        <v>4327.4005851868942</v>
      </c>
      <c r="P664" s="33">
        <f>D654*D671*(1-D673)*(1-D674)^(P655-1)*D677/((1+G653)^P655)</f>
        <v>4026.1002640687416</v>
      </c>
      <c r="Q664" s="33">
        <f>D654*D671*(1-D673)*(1-D674)^(Q655-1)*D677/((1+G653)^Q655)</f>
        <v>3745.7783297947972</v>
      </c>
      <c r="R664" s="33">
        <f>D654*D671*(1-D673)*(1-D674)^(R655-1)*D677/((1+G653)^R655)</f>
        <v>3484.9741376735706</v>
      </c>
      <c r="S664" s="33">
        <f>D654*D671*(1-D673)*(1-D674)^(S655-1)*D677/((1+G653)^S655)</f>
        <v>3242.3287421065797</v>
      </c>
      <c r="T664" s="33">
        <f>D654*D671*(1-D673)*(1-D674)^(T655-1)*D677/((1+G653)^T655)</f>
        <v>3016.5778156701872</v>
      </c>
      <c r="U664" s="33">
        <f>D654*D671*(1-D673)*(1-D674)^(U655-1)*D677/((1+G653)^U655)</f>
        <v>2806.545061214646</v>
      </c>
      <c r="V664" s="33">
        <f>D654*D671*(1-D673)*(1-D674)^(V655-1)*D677/((1+G653)^V655)</f>
        <v>2611.1360826534392</v>
      </c>
      <c r="W664" s="33">
        <f>D654*D671*(1-D673)*(1-D674)^(W655-1)*D677/((1+G653)^W655)</f>
        <v>2429.3326825060744</v>
      </c>
      <c r="X664" s="33">
        <f>D654*D671*(1-D673)*(1-D674)^(X655-1)*D677/((1+G653)^X655)</f>
        <v>2260.1875564811185</v>
      </c>
      <c r="Y664" s="33">
        <f>D654*D671*(1-D673)*(1-D674)^(Y655-1)*D677/((1+G653)^Y655)</f>
        <v>2102.8193574550969</v>
      </c>
      <c r="Z664" s="33">
        <f>D654*D671*(1-D673)*(1-D674)^(Z655-1)*D677/((1+G653)^Z655)</f>
        <v>1956.408103127616</v>
      </c>
      <c r="AA664" s="33">
        <f>D654*D671*(1-D673)*(1-D674)^(AA655-1)*D677/((1+G653)^AA655)</f>
        <v>1820.1909034238711</v>
      </c>
    </row>
    <row r="665" spans="3:27" outlineLevel="1" x14ac:dyDescent="0.3">
      <c r="C665" s="21" t="s">
        <v>37</v>
      </c>
      <c r="D665" s="19">
        <f>分布式光伏电站IRR汇总!$B$13</f>
        <v>0.15</v>
      </c>
      <c r="F665" s="4" t="s">
        <v>66</v>
      </c>
      <c r="G665" s="33">
        <f>SUM(H666:AA666)</f>
        <v>57.773273058539459</v>
      </c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 spans="3:27" outlineLevel="1" x14ac:dyDescent="0.3">
      <c r="C666" s="21" t="s">
        <v>38</v>
      </c>
      <c r="D666" s="19">
        <f>分布式光伏电站IRR汇总!$B$14</f>
        <v>3.7000000000000005E-2</v>
      </c>
      <c r="F666" s="7" t="s">
        <v>67</v>
      </c>
      <c r="G666" s="33"/>
      <c r="H666" s="33">
        <f>H664*D682/1000</f>
        <v>5.2659844271329037</v>
      </c>
      <c r="I666" s="33">
        <f>I664*D682/1000</f>
        <v>4.8993341095428091</v>
      </c>
      <c r="J666" s="33">
        <f>J664*D682/1000</f>
        <v>4.5582122486447352</v>
      </c>
      <c r="K666" s="33">
        <f>K664*D682/1000</f>
        <v>4.2408413958185376</v>
      </c>
      <c r="L666" s="33">
        <f>L664*D682/1000</f>
        <v>3.9455678593807044</v>
      </c>
      <c r="M666" s="33">
        <f>M664*D682/1000</f>
        <v>3.6708530878630765</v>
      </c>
      <c r="N666" s="33">
        <f>N664*D682/1000</f>
        <v>3.4152656532408341</v>
      </c>
      <c r="O666" s="33">
        <f>O664*D682/1000</f>
        <v>3.1774737923376168</v>
      </c>
      <c r="P666" s="33">
        <f>P664*D682/1000</f>
        <v>2.9562384675440168</v>
      </c>
      <c r="Q666" s="33">
        <f>Q664*D682/1000</f>
        <v>2.7504069106916536</v>
      </c>
      <c r="R666" s="33">
        <f>R664*D682/1000</f>
        <v>2.5589066164425618</v>
      </c>
      <c r="S666" s="33">
        <f>S664*D682/1000</f>
        <v>2.3807397538958601</v>
      </c>
      <c r="T666" s="33">
        <f>T664*D682/1000</f>
        <v>2.2149779672928314</v>
      </c>
      <c r="U666" s="33">
        <f>U664*D682/1000</f>
        <v>2.0607575387289843</v>
      </c>
      <c r="V666" s="33">
        <f>V664*D682/1000</f>
        <v>1.9172748876679475</v>
      </c>
      <c r="W666" s="33">
        <f>W664*D682/1000</f>
        <v>1.7837823838069555</v>
      </c>
      <c r="X666" s="33">
        <f>X664*D682/1000</f>
        <v>1.659584451476471</v>
      </c>
      <c r="Y666" s="33">
        <f>Y664*D682/1000</f>
        <v>1.5440339452755394</v>
      </c>
      <c r="Z666" s="33">
        <f>Z664*D682/1000</f>
        <v>1.4365287780577565</v>
      </c>
      <c r="AA666" s="33">
        <f>AA664*D682/1000</f>
        <v>1.3365087836976606</v>
      </c>
    </row>
    <row r="667" spans="3:27" outlineLevel="1" x14ac:dyDescent="0.3">
      <c r="C667" s="21" t="s">
        <v>39</v>
      </c>
      <c r="D667" s="19">
        <f>分布式光伏电站IRR汇总!$B$15</f>
        <v>0.25900000000000006</v>
      </c>
      <c r="F667" s="4" t="s">
        <v>20</v>
      </c>
      <c r="G667" s="33">
        <f>SUM(H668:V668)</f>
        <v>9.2947865822614855</v>
      </c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 spans="3:27" outlineLevel="1" x14ac:dyDescent="0.3">
      <c r="C668" s="21" t="s">
        <v>40</v>
      </c>
      <c r="D668" s="19">
        <f>分布式光伏电站IRR汇总!$B$16</f>
        <v>7.400000000000001E-2</v>
      </c>
      <c r="F668" s="7" t="s">
        <v>21</v>
      </c>
      <c r="G668" s="33"/>
      <c r="H668" s="33">
        <f>(H666-H659-H661)*G654</f>
        <v>0.98727414416640369</v>
      </c>
      <c r="I668" s="33">
        <f>(I666-I659-I661)*G654</f>
        <v>0.91714945017371874</v>
      </c>
      <c r="J668" s="33">
        <f>(J666-J659-J661)*G654</f>
        <v>0.85199784981353566</v>
      </c>
      <c r="K668" s="33">
        <f>(K666-K659-K661)*G654</f>
        <v>0.79146715984468297</v>
      </c>
      <c r="L668" s="33">
        <f>(L666-L659-L661)*G654</f>
        <v>0.73523010586391302</v>
      </c>
      <c r="M668" s="33">
        <f>(M666-M659-M661)*G654</f>
        <v>0.6829825626374858</v>
      </c>
      <c r="N668" s="33">
        <f>(N666-N659-N661)*G654</f>
        <v>0.6344419186108784</v>
      </c>
      <c r="O668" s="33">
        <f>(O666-O659-O661)*G654</f>
        <v>0.58934555584203963</v>
      </c>
      <c r="P668" s="33">
        <f>(P666-P659-P661)*G654</f>
        <v>0.54744943722024286</v>
      </c>
      <c r="Q668" s="33">
        <f>(Q666-Q659-Q661)*G654</f>
        <v>0.50852679340584683</v>
      </c>
      <c r="R668" s="33">
        <f>(R666-R659-R661)*G654</f>
        <v>0.47236690245917634</v>
      </c>
      <c r="S668" s="33">
        <f>(S666-S659-S661)*G654</f>
        <v>0.43877395562212934</v>
      </c>
      <c r="T668" s="33">
        <f>(T666-T659-T661)*G654</f>
        <v>0.40756600317663244</v>
      </c>
      <c r="U668" s="33">
        <f>(U666-U659-U661)*G654</f>
        <v>0.37857397473217558</v>
      </c>
      <c r="V668" s="33">
        <f>(V666-V659-V661)*G654</f>
        <v>0.35164076869262195</v>
      </c>
      <c r="W668" s="33">
        <f>(W666-W659-W661)*G654</f>
        <v>0.32662040602242587</v>
      </c>
      <c r="X668" s="33">
        <f>(X666-X659-X661)*G654</f>
        <v>0.30337724377630187</v>
      </c>
      <c r="Y668" s="33">
        <f>(Y666-Y659-Y661)*G654</f>
        <v>0.28178524417606626</v>
      </c>
      <c r="Z668" s="33">
        <f>(Z666-Z659-Z661)*G654</f>
        <v>0.26172729531554323</v>
      </c>
      <c r="AA668" s="33">
        <f>(AA666-AA659-AA661)*G654</f>
        <v>0.2430945798506807</v>
      </c>
    </row>
    <row r="669" spans="3:27" outlineLevel="1" x14ac:dyDescent="0.3">
      <c r="C669" s="21" t="s">
        <v>41</v>
      </c>
      <c r="D669" s="19">
        <f>分布式光伏电站IRR汇总!$B$17</f>
        <v>0.222</v>
      </c>
      <c r="F669" s="10" t="s">
        <v>22</v>
      </c>
      <c r="G669" s="33">
        <f>-G657</f>
        <v>-24.611999999999995</v>
      </c>
      <c r="H669" s="33">
        <f t="shared" ref="H669:AA669" si="190">H666-H668-H661</f>
        <v>4.0544112175459395</v>
      </c>
      <c r="I669" s="33">
        <f t="shared" si="190"/>
        <v>3.7725593645835191</v>
      </c>
      <c r="J669" s="33">
        <f t="shared" si="190"/>
        <v>3.5103029083773949</v>
      </c>
      <c r="K669" s="33">
        <f t="shared" si="190"/>
        <v>3.2662793850824485</v>
      </c>
      <c r="L669" s="33">
        <f t="shared" si="190"/>
        <v>3.0392210704407105</v>
      </c>
      <c r="M669" s="33">
        <f t="shared" si="190"/>
        <v>2.8279483915096275</v>
      </c>
      <c r="N669" s="33">
        <f t="shared" si="190"/>
        <v>2.631363796577654</v>
      </c>
      <c r="O669" s="33">
        <f t="shared" si="190"/>
        <v>2.448446051399968</v>
      </c>
      <c r="P669" s="33">
        <f t="shared" si="190"/>
        <v>2.2782449321035783</v>
      </c>
      <c r="Q669" s="33">
        <f t="shared" si="190"/>
        <v>2.1198762871734749</v>
      </c>
      <c r="R669" s="33">
        <f t="shared" si="190"/>
        <v>1.9725174428503647</v>
      </c>
      <c r="S669" s="33">
        <f t="shared" si="190"/>
        <v>1.8354029280559543</v>
      </c>
      <c r="T669" s="33">
        <f t="shared" si="190"/>
        <v>1.70782049662295</v>
      </c>
      <c r="U669" s="33">
        <f t="shared" si="190"/>
        <v>1.5891074261526505</v>
      </c>
      <c r="V669" s="33">
        <f t="shared" si="190"/>
        <v>1.4786470742611593</v>
      </c>
      <c r="W669" s="33">
        <f t="shared" si="190"/>
        <v>1.3758656743133462</v>
      </c>
      <c r="X669" s="33">
        <f t="shared" si="190"/>
        <v>1.2802293539887828</v>
      </c>
      <c r="Y669" s="33">
        <f t="shared" si="190"/>
        <v>1.1912413611822896</v>
      </c>
      <c r="Z669" s="33">
        <f t="shared" si="190"/>
        <v>1.1084394828196118</v>
      </c>
      <c r="AA669" s="33">
        <f t="shared" si="190"/>
        <v>1.0313936431716513</v>
      </c>
    </row>
    <row r="670" spans="3:27" ht="13.5" outlineLevel="1" thickBot="1" x14ac:dyDescent="0.35">
      <c r="C670" s="21" t="s">
        <v>74</v>
      </c>
      <c r="D670" s="19">
        <f>分布式光伏电站IRR汇总!$B$18</f>
        <v>0.4</v>
      </c>
      <c r="F670" s="3" t="s">
        <v>61</v>
      </c>
      <c r="G670" s="35">
        <f>SUM(G669:AA669)/G657</f>
        <v>0.80884602178665221</v>
      </c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3:27" ht="13.5" outlineLevel="1" thickTop="1" x14ac:dyDescent="0.3">
      <c r="C671" s="18" t="s">
        <v>58</v>
      </c>
      <c r="D671" s="19">
        <f>分布式光伏电站IRR汇总!$B$19</f>
        <v>0.86599999999999999</v>
      </c>
    </row>
    <row r="672" spans="3:27" outlineLevel="1" x14ac:dyDescent="0.3">
      <c r="C672" s="18" t="s">
        <v>62</v>
      </c>
      <c r="D672" s="19">
        <f>分布式光伏电站IRR汇总!$B$20</f>
        <v>20</v>
      </c>
      <c r="F672" s="13" t="s">
        <v>25</v>
      </c>
      <c r="G672" s="14">
        <v>0</v>
      </c>
    </row>
    <row r="673" spans="3:27" outlineLevel="1" x14ac:dyDescent="0.3">
      <c r="C673" s="18" t="s">
        <v>59</v>
      </c>
      <c r="D673" s="52">
        <f>分布式光伏电站IRR汇总!$B$21</f>
        <v>0.02</v>
      </c>
      <c r="F673" s="13" t="s">
        <v>26</v>
      </c>
      <c r="G673" s="14">
        <v>0.25</v>
      </c>
      <c r="Q673" s="15"/>
    </row>
    <row r="674" spans="3:27" outlineLevel="1" x14ac:dyDescent="0.3">
      <c r="C674" s="18" t="s">
        <v>60</v>
      </c>
      <c r="D674" s="52">
        <f>分布式光伏电站IRR汇总!$B$22</f>
        <v>4.4999999999999997E-3</v>
      </c>
      <c r="F674" s="1" t="s">
        <v>44</v>
      </c>
      <c r="G674" s="4"/>
      <c r="H674" s="5">
        <v>1</v>
      </c>
      <c r="I674" s="5">
        <v>2</v>
      </c>
      <c r="J674" s="5">
        <v>3</v>
      </c>
      <c r="K674" s="5">
        <v>4</v>
      </c>
      <c r="L674" s="5">
        <v>5</v>
      </c>
      <c r="M674" s="5">
        <v>6</v>
      </c>
      <c r="N674" s="5">
        <v>7</v>
      </c>
      <c r="O674" s="5">
        <v>8</v>
      </c>
      <c r="P674" s="5">
        <v>9</v>
      </c>
      <c r="Q674" s="5">
        <v>10</v>
      </c>
      <c r="R674" s="5">
        <v>11</v>
      </c>
      <c r="S674" s="5">
        <v>12</v>
      </c>
      <c r="T674" s="5">
        <v>13</v>
      </c>
      <c r="U674" s="5">
        <v>14</v>
      </c>
      <c r="V674" s="5">
        <v>15</v>
      </c>
      <c r="W674" s="5">
        <v>16</v>
      </c>
      <c r="X674" s="5">
        <v>17</v>
      </c>
      <c r="Y674" s="5">
        <v>18</v>
      </c>
      <c r="Z674" s="5">
        <v>19</v>
      </c>
      <c r="AA674" s="5">
        <v>20</v>
      </c>
    </row>
    <row r="675" spans="3:27" outlineLevel="1" x14ac:dyDescent="0.3">
      <c r="C675" s="18" t="s">
        <v>28</v>
      </c>
      <c r="D675" s="29">
        <f>分布式光伏电站IRR汇总!$B$23</f>
        <v>0.04</v>
      </c>
      <c r="F675" s="16"/>
      <c r="G675" s="2" t="s">
        <v>0</v>
      </c>
      <c r="H675" s="2" t="s">
        <v>1</v>
      </c>
      <c r="I675" s="2" t="s">
        <v>2</v>
      </c>
      <c r="J675" s="2" t="s">
        <v>3</v>
      </c>
      <c r="K675" s="2" t="s">
        <v>4</v>
      </c>
      <c r="L675" s="2" t="s">
        <v>5</v>
      </c>
      <c r="M675" s="2" t="s">
        <v>6</v>
      </c>
      <c r="N675" s="2" t="s">
        <v>7</v>
      </c>
      <c r="O675" s="2" t="s">
        <v>8</v>
      </c>
      <c r="P675" s="2" t="s">
        <v>9</v>
      </c>
      <c r="Q675" s="2" t="s">
        <v>10</v>
      </c>
      <c r="R675" s="2" t="s">
        <v>11</v>
      </c>
      <c r="S675" s="2" t="s">
        <v>12</v>
      </c>
      <c r="T675" s="2" t="s">
        <v>13</v>
      </c>
      <c r="U675" s="2" t="s">
        <v>45</v>
      </c>
      <c r="V675" s="2" t="s">
        <v>46</v>
      </c>
      <c r="W675" s="2" t="s">
        <v>47</v>
      </c>
      <c r="X675" s="2" t="s">
        <v>48</v>
      </c>
      <c r="Y675" s="2" t="s">
        <v>49</v>
      </c>
      <c r="Z675" s="2" t="s">
        <v>50</v>
      </c>
      <c r="AA675" s="2" t="s">
        <v>51</v>
      </c>
    </row>
    <row r="676" spans="3:27" outlineLevel="1" x14ac:dyDescent="0.3">
      <c r="C676" s="18" t="s">
        <v>43</v>
      </c>
      <c r="D676" s="19">
        <f>分布式光伏电站IRR汇总!$B$24</f>
        <v>0.05</v>
      </c>
      <c r="F676" s="6" t="s">
        <v>14</v>
      </c>
      <c r="G676" s="33">
        <f>D678</f>
        <v>24.611999999999995</v>
      </c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 spans="3:27" outlineLevel="1" x14ac:dyDescent="0.3">
      <c r="C677" s="18" t="s">
        <v>126</v>
      </c>
      <c r="D677" s="28">
        <f>Backup分地区光伏小时数及电价!E15</f>
        <v>1507</v>
      </c>
      <c r="F677" s="6" t="s">
        <v>15</v>
      </c>
      <c r="G677" s="33">
        <f>SUM(H678:AA678)</f>
        <v>23.381399999999985</v>
      </c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 spans="3:27" outlineLevel="1" x14ac:dyDescent="0.3">
      <c r="C678" s="24" t="s">
        <v>14</v>
      </c>
      <c r="D678" s="30">
        <f>D654*D659</f>
        <v>24.611999999999995</v>
      </c>
      <c r="F678" s="7" t="s">
        <v>16</v>
      </c>
      <c r="G678" s="33"/>
      <c r="H678" s="33">
        <f>D678*(1-D676)/D672/((1+G672)^H674)</f>
        <v>1.1690699999999996</v>
      </c>
      <c r="I678" s="33">
        <f>D678*(1-D676)/D672/((1+G672)^I674)</f>
        <v>1.1690699999999996</v>
      </c>
      <c r="J678" s="33">
        <f>D678*(1-D676)/D672/((1+G672)^J674)</f>
        <v>1.1690699999999996</v>
      </c>
      <c r="K678" s="33">
        <f>D678*(1-D676)/D672/((1+G672)^K674)</f>
        <v>1.1690699999999996</v>
      </c>
      <c r="L678" s="33">
        <f>D678*(1-D676)/D672/((1+G672)^L674)</f>
        <v>1.1690699999999996</v>
      </c>
      <c r="M678" s="33">
        <f>D678*(1-D676)/D672/((1+G672)^M674)</f>
        <v>1.1690699999999996</v>
      </c>
      <c r="N678" s="33">
        <f>D678*(1-D676)/D672/((1+G672)^N674)</f>
        <v>1.1690699999999996</v>
      </c>
      <c r="O678" s="33">
        <f>D678*(1-D676)/D672/((1+G672)^O674)</f>
        <v>1.1690699999999996</v>
      </c>
      <c r="P678" s="33">
        <f>D678*(1-D676)/D672/((1+G672)^P674)</f>
        <v>1.1690699999999996</v>
      </c>
      <c r="Q678" s="33">
        <f>D678*(1-D676)/D672/((1+G672)^Q674)</f>
        <v>1.1690699999999996</v>
      </c>
      <c r="R678" s="33">
        <f>D678*(1-D676)/D672/((1+G672)^R674)</f>
        <v>1.1690699999999996</v>
      </c>
      <c r="S678" s="33">
        <f>D678*(1-D676)/D672/((1+G672)^S674)</f>
        <v>1.1690699999999996</v>
      </c>
      <c r="T678" s="33">
        <f>D678*(1-D676)/D672/((1+G672)^T674)</f>
        <v>1.1690699999999996</v>
      </c>
      <c r="U678" s="33">
        <f>D678*(1-D676)/D672/((1+G672)^U674)</f>
        <v>1.1690699999999996</v>
      </c>
      <c r="V678" s="33">
        <f>D678*(1-D676)/D672/((1+G672)^V674)</f>
        <v>1.1690699999999996</v>
      </c>
      <c r="W678" s="33">
        <f>D678*(1-D676)/D672/((1+G672)^W674)</f>
        <v>1.1690699999999996</v>
      </c>
      <c r="X678" s="33">
        <f>D678*(1-D676)/D672/((1+G672)^X674)</f>
        <v>1.1690699999999996</v>
      </c>
      <c r="Y678" s="33">
        <f>D678*(1-D676)/D672/((1+G672)^Y674)</f>
        <v>1.1690699999999996</v>
      </c>
      <c r="Z678" s="33">
        <f>D678*(1-D676)/D672/((1+G672)^Z674)</f>
        <v>1.1690699999999996</v>
      </c>
      <c r="AA678" s="33">
        <f>D678*(1-D676)/D672/((1+G672)^AA674)</f>
        <v>1.1690699999999996</v>
      </c>
    </row>
    <row r="679" spans="3:27" outlineLevel="1" x14ac:dyDescent="0.3">
      <c r="C679" s="18" t="s">
        <v>29</v>
      </c>
      <c r="D679" s="29">
        <v>0.35980000000000001</v>
      </c>
      <c r="F679" s="6" t="s">
        <v>17</v>
      </c>
      <c r="G679" s="33">
        <f>SUM(H680:AA680)</f>
        <v>4.8000000000000025</v>
      </c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 spans="3:27" outlineLevel="1" x14ac:dyDescent="0.3">
      <c r="C680" s="18" t="s">
        <v>30</v>
      </c>
      <c r="D680" s="31">
        <f>Backup分地区光伏小时数及电价!I15</f>
        <v>0.73426846666666667</v>
      </c>
      <c r="F680" s="7" t="s">
        <v>18</v>
      </c>
      <c r="G680" s="33"/>
      <c r="H680" s="33">
        <f>D675*D654/((1+G672)^H674)</f>
        <v>0.24</v>
      </c>
      <c r="I680" s="33">
        <f>D675*D654/((1+G672)^I674)</f>
        <v>0.24</v>
      </c>
      <c r="J680" s="33">
        <f>D675*D654/((1+G672)^J674)</f>
        <v>0.24</v>
      </c>
      <c r="K680" s="33">
        <f>D675*D654/((1+G672)^K674)</f>
        <v>0.24</v>
      </c>
      <c r="L680" s="33">
        <f>D675*D654/((1+G672)^L674)</f>
        <v>0.24</v>
      </c>
      <c r="M680" s="33">
        <f>D675*D654/((1+G672)^M674)</f>
        <v>0.24</v>
      </c>
      <c r="N680" s="33">
        <f>D675*D654/((1+G672)^N674)</f>
        <v>0.24</v>
      </c>
      <c r="O680" s="33">
        <f>D675*D654/((1+G672)^O674)</f>
        <v>0.24</v>
      </c>
      <c r="P680" s="33">
        <f>D675*D654/((1+G672)^P674)</f>
        <v>0.24</v>
      </c>
      <c r="Q680" s="33">
        <f>D675*D654/((1+G672)^Q674)</f>
        <v>0.24</v>
      </c>
      <c r="R680" s="33">
        <f>D675*D654/((1+G672)^R674)</f>
        <v>0.24</v>
      </c>
      <c r="S680" s="33">
        <f>D675*D654/((1+G672)^S674)</f>
        <v>0.24</v>
      </c>
      <c r="T680" s="33">
        <f>D675*D654/((1+G672)^T674)</f>
        <v>0.24</v>
      </c>
      <c r="U680" s="33">
        <f>D675*D654/((1+G672)^U674)</f>
        <v>0.24</v>
      </c>
      <c r="V680" s="33">
        <f>D675*D654/((1+G672)^V674)</f>
        <v>0.24</v>
      </c>
      <c r="W680" s="33">
        <f>D675*D654/((1+G672)^W674)</f>
        <v>0.24</v>
      </c>
      <c r="X680" s="33">
        <f>D675*D654/((1+G672)^X674)</f>
        <v>0.24</v>
      </c>
      <c r="Y680" s="33">
        <f>D675*D654/((1+G672)^Y674)</f>
        <v>0.24</v>
      </c>
      <c r="Z680" s="33">
        <f>D675*D654/((1+G672)^Z674)</f>
        <v>0.24</v>
      </c>
      <c r="AA680" s="33">
        <f>D675*D654/((1+G672)^AA674)</f>
        <v>0.24</v>
      </c>
    </row>
    <row r="681" spans="3:27" outlineLevel="1" x14ac:dyDescent="0.3">
      <c r="C681" s="18" t="s">
        <v>70</v>
      </c>
      <c r="D681" s="32">
        <f>分布式光伏电站IRR汇总!$B$27</f>
        <v>1</v>
      </c>
      <c r="F681" s="6" t="s">
        <v>19</v>
      </c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>
        <f>D675*D678/((1+G672)^AA674)</f>
        <v>0.9844799999999998</v>
      </c>
    </row>
    <row r="682" spans="3:27" outlineLevel="1" x14ac:dyDescent="0.3">
      <c r="C682" s="18" t="s">
        <v>69</v>
      </c>
      <c r="D682" s="31">
        <f>D681*D680</f>
        <v>0.73426846666666667</v>
      </c>
      <c r="F682" s="8" t="s">
        <v>64</v>
      </c>
      <c r="G682" s="33">
        <f>SUM(H683:AA683)</f>
        <v>147088.03162706527</v>
      </c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 spans="3:27" outlineLevel="1" x14ac:dyDescent="0.3">
      <c r="C683" s="18" t="s">
        <v>31</v>
      </c>
      <c r="D683" s="27">
        <v>0</v>
      </c>
      <c r="F683" s="9" t="s">
        <v>65</v>
      </c>
      <c r="G683" s="33"/>
      <c r="H683" s="33">
        <f>D654*D671*(1-D673)*D677/((1+G672)^H674)</f>
        <v>7673.7645599999987</v>
      </c>
      <c r="I683" s="33">
        <f>D654*D671*(1-D673)*(1-D674)^(I674-1)*D677/((1+G672)^I674)</f>
        <v>7639.2326194799998</v>
      </c>
      <c r="J683" s="33">
        <f>D654*D671*(1-D673)*(1-D674)^(J674-1)*D677/((1+G672)^J674)</f>
        <v>7604.8560726923397</v>
      </c>
      <c r="K683" s="33">
        <f>D654*D671*(1-D673)*(1-D674)^(K674-1)*D677/((1+G672)^K674)</f>
        <v>7570.6342203652257</v>
      </c>
      <c r="L683" s="33">
        <f>D654*D671*(1-D673)*(1-D674)^(L674-1)*D677/((1+G672)^L674)</f>
        <v>7536.5663663735822</v>
      </c>
      <c r="M683" s="33">
        <f>D654*D671*(1-D673)*(1-D674)^(M674-1)*D677/((1+G672)^M674)</f>
        <v>7502.6518177249018</v>
      </c>
      <c r="N683" s="33">
        <f>D654*D671*(1-D673)*(1-D674)^(N674-1)*D677/((1+G672)^N674)</f>
        <v>7468.8898845451395</v>
      </c>
      <c r="O683" s="33">
        <f>D654*D671*(1-D673)*(1-D674)^(O674-1)*D677/((1+G672)^O674)</f>
        <v>7435.279880064686</v>
      </c>
      <c r="P683" s="33">
        <f>D654*D671*(1-D673)*(1-D674)^(P674-1)*D677/((1+G672)^P674)</f>
        <v>7401.8211206043961</v>
      </c>
      <c r="Q683" s="33">
        <f>D654*D671*(1-D673)*(1-D674)^(Q674-1)*D677/((1+G672)^Q674)</f>
        <v>7368.5129255616775</v>
      </c>
      <c r="R683" s="33">
        <f>D654*D671*(1-D673)*(1-D674)^(R674-1)*D677/((1+G672)^R674)</f>
        <v>7335.3546173966506</v>
      </c>
      <c r="S683" s="33">
        <f>D654*D671*(1-D673)*(1-D674)^(S674-1)*D677/((1+G672)^S674)</f>
        <v>7302.3455216183656</v>
      </c>
      <c r="T683" s="33">
        <f>D654*D671*(1-D673)*(1-D674)^(T674-1)*D677/((1+G672)^T674)</f>
        <v>7269.4849667710841</v>
      </c>
      <c r="U683" s="33">
        <f>D654*D671*(1-D673)*(1-D674)^(U674-1)*D677/((1+G672)^U674)</f>
        <v>7236.7722844206137</v>
      </c>
      <c r="V683" s="33">
        <f>D654*D671*(1-D673)*(1-D674)^(V674-1)*D677/((1+G672)^V674)</f>
        <v>7204.2068091407209</v>
      </c>
      <c r="W683" s="33">
        <f>D654*D671*(1-D673)*(1-D674)^(W674-1)*D677/((1+G672)^W674)</f>
        <v>7171.7878784995892</v>
      </c>
      <c r="X683" s="33">
        <f>D654*D671*(1-D673)*(1-D674)^(X674-1)*D677/((1+G672)^X674)</f>
        <v>7139.5148330463408</v>
      </c>
      <c r="Y683" s="33">
        <f>D654*D671*(1-D673)*(1-D674)^(Y674-1)*D677/((1+G672)^Y674)</f>
        <v>7107.3870162976327</v>
      </c>
      <c r="Z683" s="33">
        <f>D654*D671*(1-D673)*(1-D674)^(Z674-1)*D677/((1+G672)^Z674)</f>
        <v>7075.4037747242946</v>
      </c>
      <c r="AA683" s="33">
        <f>D654*D671*(1-D673)*(1-D674)^(AA674-1)*D677/((1+G672)^AA674)</f>
        <v>7043.5644577380363</v>
      </c>
    </row>
    <row r="684" spans="3:27" outlineLevel="1" x14ac:dyDescent="0.3">
      <c r="F684" s="4" t="s">
        <v>66</v>
      </c>
      <c r="G684" s="33">
        <f>SUM(H685:AA685)</f>
        <v>108.0021034478234</v>
      </c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 spans="3:27" outlineLevel="1" x14ac:dyDescent="0.3">
      <c r="F685" s="7" t="s">
        <v>67</v>
      </c>
      <c r="G685" s="33"/>
      <c r="H685" s="33">
        <f>H683*D682/1000</f>
        <v>5.6346033370322077</v>
      </c>
      <c r="I685" s="33">
        <f>I683*D682/1000</f>
        <v>5.6092476220155634</v>
      </c>
      <c r="J685" s="33">
        <f>J683*D682/1000</f>
        <v>5.5840060077164928</v>
      </c>
      <c r="K685" s="33">
        <f>K683*D682/1000</f>
        <v>5.5588779806817703</v>
      </c>
      <c r="L685" s="33">
        <f>L683*D682/1000</f>
        <v>5.5338630297687024</v>
      </c>
      <c r="M685" s="33">
        <f>M683*D682/1000</f>
        <v>5.5089606461347431</v>
      </c>
      <c r="N685" s="33">
        <f>N683*D682/1000</f>
        <v>5.4841703232271364</v>
      </c>
      <c r="O685" s="33">
        <f>O683*D682/1000</f>
        <v>5.4594915567726137</v>
      </c>
      <c r="P685" s="33">
        <f>P683*D682/1000</f>
        <v>5.4349238447671384</v>
      </c>
      <c r="Q685" s="33">
        <f>Q683*D682/1000</f>
        <v>5.4104666874656866</v>
      </c>
      <c r="R685" s="33">
        <f>R683*D682/1000</f>
        <v>5.3861195873720913</v>
      </c>
      <c r="S685" s="33">
        <f>S683*D682/1000</f>
        <v>5.3618820492289174</v>
      </c>
      <c r="T685" s="33">
        <f>T683*D682/1000</f>
        <v>5.3377535800073881</v>
      </c>
      <c r="U685" s="33">
        <f>U683*D682/1000</f>
        <v>5.3137336888973552</v>
      </c>
      <c r="V685" s="33">
        <f>V683*D682/1000</f>
        <v>5.2898218872973164</v>
      </c>
      <c r="W685" s="33">
        <f>W683*D682/1000</f>
        <v>5.2660176888044798</v>
      </c>
      <c r="X685" s="33">
        <f>X683*D682/1000</f>
        <v>5.2423206092048593</v>
      </c>
      <c r="Y685" s="33">
        <f>Y683*D682/1000</f>
        <v>5.2187301664634376</v>
      </c>
      <c r="Z685" s="33">
        <f>Z683*D682/1000</f>
        <v>5.1952458807143529</v>
      </c>
      <c r="AA685" s="33">
        <f>AA683*D682/1000</f>
        <v>5.1718672742511389</v>
      </c>
    </row>
    <row r="686" spans="3:27" outlineLevel="1" x14ac:dyDescent="0.3">
      <c r="F686" s="4" t="s">
        <v>20</v>
      </c>
      <c r="G686" s="33">
        <f>SUM(H687:AA687)</f>
        <v>19.955175861955851</v>
      </c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 spans="3:27" outlineLevel="1" x14ac:dyDescent="0.3">
      <c r="F687" s="7" t="s">
        <v>21</v>
      </c>
      <c r="G687" s="33"/>
      <c r="H687" s="33">
        <f>(H685-H678-H680)*G673</f>
        <v>1.056383334258052</v>
      </c>
      <c r="I687" s="33">
        <f>(I685-I678-I680)*G673</f>
        <v>1.0500444055038909</v>
      </c>
      <c r="J687" s="33">
        <f>(J685-J678-J680)*G673</f>
        <v>1.0437340019291232</v>
      </c>
      <c r="K687" s="33">
        <f>(K685-K678-K680)*G673</f>
        <v>1.0374519951704426</v>
      </c>
      <c r="L687" s="33">
        <f>(L685-L678-L680)*G673</f>
        <v>1.0311982574421756</v>
      </c>
      <c r="M687" s="33">
        <f>(M685-M678-M680)*G673</f>
        <v>1.0249726615336858</v>
      </c>
      <c r="N687" s="33">
        <f>(N685-N678-N680)*G673</f>
        <v>1.0187750808067841</v>
      </c>
      <c r="O687" s="33">
        <f>(O685-O678-O680)*G673</f>
        <v>1.0126053891931535</v>
      </c>
      <c r="P687" s="33">
        <f>(P685-P678-P680)*G673</f>
        <v>1.0064634611917846</v>
      </c>
      <c r="Q687" s="33">
        <f>(Q685-Q678-Q680)*G673</f>
        <v>1.0003491718664217</v>
      </c>
      <c r="R687" s="33">
        <f>(R685-R678-R680)*G673</f>
        <v>0.99426239684302287</v>
      </c>
      <c r="S687" s="33">
        <f>(S685-S678-S680)*G673</f>
        <v>0.9882030123072294</v>
      </c>
      <c r="T687" s="33">
        <f>(T685-T678-T680)*G673</f>
        <v>0.98217089500184707</v>
      </c>
      <c r="U687" s="33">
        <f>(U685-U678-U680)*G673</f>
        <v>0.97616592222433884</v>
      </c>
      <c r="V687" s="33">
        <f>(V685-V678-V680)*G673</f>
        <v>0.97018797182432914</v>
      </c>
      <c r="W687" s="33">
        <f>(W685-W678-W680)*G673</f>
        <v>0.96423692220112001</v>
      </c>
      <c r="X687" s="33">
        <f>(X685-X678-X680)*G673</f>
        <v>0.95831265230121487</v>
      </c>
      <c r="Y687" s="33">
        <f>(Y685-Y678-Y680)*G673</f>
        <v>0.95241504161585944</v>
      </c>
      <c r="Z687" s="33">
        <f>(Z685-Z678-Z680)*G673</f>
        <v>0.94654397017858827</v>
      </c>
      <c r="AA687" s="33">
        <f>(AA685-AA678-AA680)*G673</f>
        <v>0.94069931856278477</v>
      </c>
    </row>
    <row r="688" spans="3:27" outlineLevel="1" x14ac:dyDescent="0.3">
      <c r="F688" s="10" t="s">
        <v>22</v>
      </c>
      <c r="G688" s="33">
        <f>-G676</f>
        <v>-24.611999999999995</v>
      </c>
      <c r="H688" s="33">
        <f>H685-H687-H680</f>
        <v>4.3382200027741558</v>
      </c>
      <c r="I688" s="33">
        <f t="shared" ref="I688" si="191">I685-I687-I680</f>
        <v>4.3192032165116725</v>
      </c>
      <c r="J688" s="33">
        <f t="shared" ref="J688" si="192">J685-J687-J680</f>
        <v>4.3002720057873693</v>
      </c>
      <c r="K688" s="33">
        <f t="shared" ref="K688" si="193">K685-K687-K680</f>
        <v>4.2814259855113272</v>
      </c>
      <c r="L688" s="33">
        <f t="shared" ref="L688" si="194">L685-L687-L680</f>
        <v>4.2626647723265263</v>
      </c>
      <c r="M688" s="33">
        <f t="shared" ref="M688" si="195">M685-M687-M680</f>
        <v>4.2439879846010573</v>
      </c>
      <c r="N688" s="33">
        <f t="shared" ref="N688" si="196">N685-N687-N680</f>
        <v>4.225395242420352</v>
      </c>
      <c r="O688" s="33">
        <f t="shared" ref="O688" si="197">O685-O687-O680</f>
        <v>4.2068861675794604</v>
      </c>
      <c r="P688" s="33">
        <f t="shared" ref="P688" si="198">P685-P687-P680</f>
        <v>4.1884603835753538</v>
      </c>
      <c r="Q688" s="33">
        <f t="shared" ref="Q688" si="199">Q685-Q687-Q680</f>
        <v>4.1701175155992649</v>
      </c>
      <c r="R688" s="33">
        <f t="shared" ref="R688" si="200">R685-R687-R680</f>
        <v>4.1518571905290678</v>
      </c>
      <c r="S688" s="33">
        <f t="shared" ref="S688" si="201">S685-S687-S680</f>
        <v>4.1336790369216878</v>
      </c>
      <c r="T688" s="33">
        <f t="shared" ref="T688" si="202">T685-T687-T680</f>
        <v>4.115582685005541</v>
      </c>
      <c r="U688" s="33">
        <f t="shared" ref="U688" si="203">U685-U687-U680</f>
        <v>4.0975677666730164</v>
      </c>
      <c r="V688" s="33">
        <f t="shared" ref="V688" si="204">V685-V687-V680</f>
        <v>4.0796339154729875</v>
      </c>
      <c r="W688" s="33">
        <f t="shared" ref="W688" si="205">W685-W687-W680</f>
        <v>4.0617807666033592</v>
      </c>
      <c r="X688" s="33">
        <f t="shared" ref="X688" si="206">X685-X687-X680</f>
        <v>4.044007956903644</v>
      </c>
      <c r="Y688" s="33">
        <f t="shared" ref="Y688" si="207">Y685-Y687-Y680</f>
        <v>4.0263151248475779</v>
      </c>
      <c r="Z688" s="33">
        <f t="shared" ref="Z688" si="208">Z685-Z687-Z680</f>
        <v>4.0087019105357644</v>
      </c>
      <c r="AA688" s="33">
        <f t="shared" ref="AA688" si="209">AA685-AA687-AA680</f>
        <v>3.9911679556883541</v>
      </c>
    </row>
    <row r="689" spans="2:27" ht="13.5" outlineLevel="1" thickBot="1" x14ac:dyDescent="0.35">
      <c r="F689" s="3" t="s">
        <v>68</v>
      </c>
      <c r="G689" s="40">
        <f>IRR(G688:AA688)</f>
        <v>0.16416035055271716</v>
      </c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2:27" ht="13.5" thickTop="1" x14ac:dyDescent="0.3"/>
    <row r="691" spans="2:27" x14ac:dyDescent="0.3">
      <c r="B691" s="11" t="s">
        <v>155</v>
      </c>
      <c r="C691" s="11" t="s">
        <v>52</v>
      </c>
    </row>
    <row r="692" spans="2:27" x14ac:dyDescent="0.3">
      <c r="C692" s="11" t="s">
        <v>141</v>
      </c>
      <c r="D692" s="54">
        <f>D723</f>
        <v>1477</v>
      </c>
    </row>
    <row r="693" spans="2:27" x14ac:dyDescent="0.3">
      <c r="C693" s="16" t="s">
        <v>78</v>
      </c>
      <c r="D693" s="37">
        <f>(G722+G725+G732)/G728*1000</f>
        <v>0.34428388718136171</v>
      </c>
    </row>
    <row r="694" spans="2:27" x14ac:dyDescent="0.3">
      <c r="C694" s="13" t="s">
        <v>77</v>
      </c>
      <c r="D694" s="39">
        <f>(G703+G706+G713)/G709*1000</f>
        <v>0.47425165588283252</v>
      </c>
    </row>
    <row r="695" spans="2:27" x14ac:dyDescent="0.3">
      <c r="C695" s="13" t="s">
        <v>61</v>
      </c>
      <c r="D695" s="36">
        <f>G716</f>
        <v>0.82610969101741905</v>
      </c>
    </row>
    <row r="696" spans="2:27" x14ac:dyDescent="0.3">
      <c r="C696" s="13" t="s">
        <v>73</v>
      </c>
      <c r="D696" s="25">
        <f>SUM(G715:AA715)</f>
        <v>20.332211715320714</v>
      </c>
    </row>
    <row r="697" spans="2:27" ht="13.5" thickBot="1" x14ac:dyDescent="0.35">
      <c r="C697" s="23" t="s">
        <v>68</v>
      </c>
      <c r="D697" s="26">
        <f>G735</f>
        <v>0.16601344580739985</v>
      </c>
    </row>
    <row r="698" spans="2:27" ht="13.5" hidden="1" outlineLevel="1" thickTop="1" x14ac:dyDescent="0.3">
      <c r="E698" s="20"/>
      <c r="F698" s="38" t="s">
        <v>75</v>
      </c>
    </row>
    <row r="699" spans="2:27" hidden="1" outlineLevel="1" x14ac:dyDescent="0.3">
      <c r="C699" s="11" t="s">
        <v>71</v>
      </c>
      <c r="F699" s="13" t="s">
        <v>25</v>
      </c>
      <c r="G699" s="14">
        <v>7.0000000000000007E-2</v>
      </c>
    </row>
    <row r="700" spans="2:27" hidden="1" outlineLevel="1" x14ac:dyDescent="0.3">
      <c r="C700" s="18" t="s">
        <v>53</v>
      </c>
      <c r="D700" s="19">
        <f>分布式光伏电站IRR汇总!$B$2</f>
        <v>6</v>
      </c>
      <c r="F700" s="13" t="s">
        <v>26</v>
      </c>
      <c r="G700" s="14">
        <v>0.25</v>
      </c>
    </row>
    <row r="701" spans="2:27" hidden="1" outlineLevel="1" x14ac:dyDescent="0.3">
      <c r="C701" s="18" t="s">
        <v>56</v>
      </c>
      <c r="D701" s="19">
        <f>分布式光伏电站IRR汇总!$B$3</f>
        <v>120</v>
      </c>
      <c r="F701" s="1" t="s">
        <v>44</v>
      </c>
      <c r="G701" s="4"/>
      <c r="H701" s="5">
        <v>1</v>
      </c>
      <c r="I701" s="5">
        <v>2</v>
      </c>
      <c r="J701" s="5">
        <v>3</v>
      </c>
      <c r="K701" s="5">
        <v>4</v>
      </c>
      <c r="L701" s="5">
        <v>5</v>
      </c>
      <c r="M701" s="5">
        <v>6</v>
      </c>
      <c r="N701" s="5">
        <v>7</v>
      </c>
      <c r="O701" s="5">
        <v>8</v>
      </c>
      <c r="P701" s="5">
        <v>9</v>
      </c>
      <c r="Q701" s="5">
        <v>10</v>
      </c>
      <c r="R701" s="5">
        <v>11</v>
      </c>
      <c r="S701" s="5">
        <v>12</v>
      </c>
      <c r="T701" s="5">
        <v>13</v>
      </c>
      <c r="U701" s="5">
        <v>14</v>
      </c>
      <c r="V701" s="5">
        <v>15</v>
      </c>
      <c r="W701" s="5">
        <v>16</v>
      </c>
      <c r="X701" s="5">
        <v>17</v>
      </c>
      <c r="Y701" s="5">
        <v>18</v>
      </c>
      <c r="Z701" s="5">
        <v>19</v>
      </c>
      <c r="AA701" s="5">
        <v>20</v>
      </c>
    </row>
    <row r="702" spans="2:27" hidden="1" outlineLevel="1" x14ac:dyDescent="0.3">
      <c r="C702" s="18" t="s">
        <v>57</v>
      </c>
      <c r="D702" s="19">
        <f>分布式光伏电站IRR汇总!$B$4</f>
        <v>3</v>
      </c>
      <c r="F702" s="16"/>
      <c r="G702" s="2" t="s">
        <v>0</v>
      </c>
      <c r="H702" s="2" t="s">
        <v>1</v>
      </c>
      <c r="I702" s="2" t="s">
        <v>2</v>
      </c>
      <c r="J702" s="2" t="s">
        <v>3</v>
      </c>
      <c r="K702" s="2" t="s">
        <v>4</v>
      </c>
      <c r="L702" s="2" t="s">
        <v>5</v>
      </c>
      <c r="M702" s="2" t="s">
        <v>6</v>
      </c>
      <c r="N702" s="2" t="s">
        <v>7</v>
      </c>
      <c r="O702" s="2" t="s">
        <v>8</v>
      </c>
      <c r="P702" s="2" t="s">
        <v>9</v>
      </c>
      <c r="Q702" s="2" t="s">
        <v>10</v>
      </c>
      <c r="R702" s="2" t="s">
        <v>11</v>
      </c>
      <c r="S702" s="2" t="s">
        <v>12</v>
      </c>
      <c r="T702" s="2" t="s">
        <v>13</v>
      </c>
      <c r="U702" s="2" t="s">
        <v>45</v>
      </c>
      <c r="V702" s="2" t="s">
        <v>46</v>
      </c>
      <c r="W702" s="2" t="s">
        <v>47</v>
      </c>
      <c r="X702" s="2" t="s">
        <v>48</v>
      </c>
      <c r="Y702" s="2" t="s">
        <v>49</v>
      </c>
      <c r="Z702" s="2" t="s">
        <v>50</v>
      </c>
      <c r="AA702" s="2" t="s">
        <v>127</v>
      </c>
    </row>
    <row r="703" spans="2:27" hidden="1" outlineLevel="1" x14ac:dyDescent="0.3">
      <c r="C703" s="18" t="s">
        <v>54</v>
      </c>
      <c r="D703" s="19">
        <f>分布式光伏电站IRR汇总!$B$5</f>
        <v>5</v>
      </c>
      <c r="F703" s="6" t="s">
        <v>14</v>
      </c>
      <c r="G703" s="33">
        <f>D724</f>
        <v>24.611999999999995</v>
      </c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 spans="2:27" hidden="1" outlineLevel="1" x14ac:dyDescent="0.3">
      <c r="C704" s="18" t="s">
        <v>55</v>
      </c>
      <c r="D704" s="19">
        <f>分布式光伏电站IRR汇总!$B$6</f>
        <v>15</v>
      </c>
      <c r="F704" s="6" t="s">
        <v>15</v>
      </c>
      <c r="G704" s="33">
        <f>SUM(H705:AA705)</f>
        <v>12.385144234005573</v>
      </c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 spans="3:27" hidden="1" outlineLevel="1" x14ac:dyDescent="0.3">
      <c r="C705" s="18" t="s">
        <v>42</v>
      </c>
      <c r="D705" s="19">
        <f>分布式光伏电站IRR汇总!$B$7</f>
        <v>4.1019999999999994</v>
      </c>
      <c r="F705" s="7" t="s">
        <v>16</v>
      </c>
      <c r="G705" s="33"/>
      <c r="H705" s="33">
        <f>D724*(1-D722)/D718/((1+G699)^H701)</f>
        <v>1.0925887850467286</v>
      </c>
      <c r="I705" s="33">
        <f>D724*(1-D722)/D718/((1+G699)^I701)</f>
        <v>1.0211110140623632</v>
      </c>
      <c r="J705" s="33">
        <f>D724*(1-D722)/D718/((1+G699)^J701)</f>
        <v>0.95430935893678792</v>
      </c>
      <c r="K705" s="33">
        <f>D724*(1-D722)/D718/((1+G699)^K701)</f>
        <v>0.89187790554839996</v>
      </c>
      <c r="L705" s="33">
        <f>D724*(1-D722)/D718/((1+G699)^L701)</f>
        <v>0.83353075284897193</v>
      </c>
      <c r="M705" s="33">
        <f>D724*(1-D722)/D718/((1+G699)^M701)</f>
        <v>0.77900070359717</v>
      </c>
      <c r="N705" s="33">
        <f>D724*(1-D722)/D718/((1+G699)^N701)</f>
        <v>0.72803804074501866</v>
      </c>
      <c r="O705" s="33">
        <f>D724*(1-D722)/D718/((1+G699)^O701)</f>
        <v>0.6804093838738493</v>
      </c>
      <c r="P705" s="33">
        <f>D724*(1-D722)/D718/((1+G699)^P701)</f>
        <v>0.63589662044284967</v>
      </c>
      <c r="Q705" s="33">
        <f>D724*(1-D722)/D718/((1+G699)^Q701)</f>
        <v>0.59429590695593437</v>
      </c>
      <c r="R705" s="33">
        <f>D724*(1-D722)/D718/((1+G699)^R701)</f>
        <v>0.55541673547283577</v>
      </c>
      <c r="S705" s="33">
        <f>D724*(1-D722)/D718/((1+G699)^S701)</f>
        <v>0.51908106118956621</v>
      </c>
      <c r="T705" s="33">
        <f>D724*(1-D722)/D718/((1+G699)^T701)</f>
        <v>0.4851224870930525</v>
      </c>
      <c r="U705" s="33">
        <f>D724*(1-D722)/D718/((1+G699)^U701)</f>
        <v>0.45338550195612387</v>
      </c>
      <c r="V705" s="33">
        <f>D724*(1-D722)/D718/((1+G699)^V701)</f>
        <v>0.4237247681832933</v>
      </c>
      <c r="W705" s="33">
        <f>D724*(1-D722)/D718/((1+G699)^W701)</f>
        <v>0.39600445624606856</v>
      </c>
      <c r="X705" s="33">
        <f>D724*(1-D722)/D718/((1+G699)^X701)</f>
        <v>0.37009762265987711</v>
      </c>
      <c r="Y705" s="33">
        <f>D724*(1-D722)/D718/((1+G699)^Y701)</f>
        <v>0.34588562865409078</v>
      </c>
      <c r="Z705" s="33">
        <f>D724*(1-D722)/D718/((1+G699)^Z701)</f>
        <v>0.323257596872982</v>
      </c>
      <c r="AA705" s="33">
        <f>D724*(1-D722)/D718/((1+G699)^AA701)</f>
        <v>0.30210990361960938</v>
      </c>
    </row>
    <row r="706" spans="3:27" hidden="1" outlineLevel="1" x14ac:dyDescent="0.3">
      <c r="C706" s="21" t="s">
        <v>32</v>
      </c>
      <c r="D706" s="19">
        <f>分布式光伏电站IRR汇总!$B$8</f>
        <v>1.8870000000000002</v>
      </c>
      <c r="F706" s="6" t="s">
        <v>17</v>
      </c>
      <c r="G706" s="33">
        <f>SUM(H707:AA707)</f>
        <v>2.5425634189238777</v>
      </c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 spans="3:27" hidden="1" outlineLevel="1" x14ac:dyDescent="0.3">
      <c r="C707" s="21" t="s">
        <v>33</v>
      </c>
      <c r="D707" s="19">
        <f>分布式光伏电站IRR汇总!$B$9</f>
        <v>0.18500000000000003</v>
      </c>
      <c r="F707" s="7" t="s">
        <v>18</v>
      </c>
      <c r="G707" s="33"/>
      <c r="H707" s="33">
        <f>D721*D700/((1+G699)^H701)</f>
        <v>0.22429906542056072</v>
      </c>
      <c r="I707" s="33">
        <f>D721*D700/((1+G699)^I701)</f>
        <v>0.20962529478557079</v>
      </c>
      <c r="J707" s="33">
        <f>D721*D700/((1+G699)^J701)</f>
        <v>0.19591149045380446</v>
      </c>
      <c r="K707" s="33">
        <f>D721*D700/((1+G699)^K701)</f>
        <v>0.18309485089140604</v>
      </c>
      <c r="L707" s="33">
        <f>D721*D700/((1+G699)^L701)</f>
        <v>0.17111668307608041</v>
      </c>
      <c r="M707" s="33">
        <f>D721*D700/((1+G699)^M701)</f>
        <v>0.15992213371596301</v>
      </c>
      <c r="N707" s="33">
        <f>D721*D700/((1+G699)^N701)</f>
        <v>0.14945993805230187</v>
      </c>
      <c r="O707" s="33">
        <f>D721*D700/((1+G699)^O701)</f>
        <v>0.13968218509560923</v>
      </c>
      <c r="P707" s="33">
        <f>D721*D700/((1+G699)^P701)</f>
        <v>0.13054409822019553</v>
      </c>
      <c r="Q707" s="33">
        <f>D721*D700/((1+G699)^Q701)</f>
        <v>0.12200383011233226</v>
      </c>
      <c r="R707" s="33">
        <f>D721*D700/((1+G699)^R701)</f>
        <v>0.1140222711330208</v>
      </c>
      <c r="S707" s="33">
        <f>D721*D700/((1+G699)^S701)</f>
        <v>0.10656287021777647</v>
      </c>
      <c r="T707" s="33">
        <f>D721*D700/((1+G699)^T701)</f>
        <v>9.9591467493249028E-2</v>
      </c>
      <c r="U707" s="33">
        <f>D721*D700/((1+G699)^U701)</f>
        <v>9.3076137844157969E-2</v>
      </c>
      <c r="V707" s="33">
        <f>D721*D700/((1+G699)^V701)</f>
        <v>8.6987044714166323E-2</v>
      </c>
      <c r="W707" s="33">
        <f>D721*D700/((1+G699)^W701)</f>
        <v>8.1296303471183481E-2</v>
      </c>
      <c r="X707" s="33">
        <f>D721*D700/((1+G699)^X701)</f>
        <v>7.5977853711386434E-2</v>
      </c>
      <c r="Y707" s="33">
        <f>D721*D700/((1+G699)^Y701)</f>
        <v>7.1007339917183582E-2</v>
      </c>
      <c r="Z707" s="33">
        <f>D721*D700/((1+G699)^Z701)</f>
        <v>6.6361999922601472E-2</v>
      </c>
      <c r="AA707" s="33">
        <f>D721*D700/((1+G699)^AA701)</f>
        <v>6.2020560675328483E-2</v>
      </c>
    </row>
    <row r="708" spans="3:27" hidden="1" outlineLevel="1" x14ac:dyDescent="0.3">
      <c r="C708" s="21" t="s">
        <v>34</v>
      </c>
      <c r="D708" s="19">
        <f>分布式光伏电站IRR汇总!$B$10</f>
        <v>0.222</v>
      </c>
      <c r="F708" s="6" t="s">
        <v>19</v>
      </c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f>D721*D724/((1+G699)^AA701)</f>
        <v>0.2544083398901974</v>
      </c>
    </row>
    <row r="709" spans="3:27" hidden="1" outlineLevel="1" x14ac:dyDescent="0.3">
      <c r="C709" s="21" t="s">
        <v>35</v>
      </c>
      <c r="D709" s="19">
        <f>分布式光伏电站IRR汇总!$B$11</f>
        <v>0.44400000000000001</v>
      </c>
      <c r="F709" s="8" t="s">
        <v>64</v>
      </c>
      <c r="G709" s="33">
        <f>SUM(H710:AA710)</f>
        <v>77115.084323292671</v>
      </c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 spans="3:27" hidden="1" outlineLevel="1" x14ac:dyDescent="0.3">
      <c r="C710" s="21" t="s">
        <v>36</v>
      </c>
      <c r="D710" s="19">
        <f>分布式光伏电站IRR汇总!$B$12</f>
        <v>0.222</v>
      </c>
      <c r="F710" s="9" t="s">
        <v>65</v>
      </c>
      <c r="G710" s="33"/>
      <c r="H710" s="33">
        <f>D700*D717*(1-D719)*D723/((1+G699)^H701)</f>
        <v>7028.9739813084097</v>
      </c>
      <c r="I710" s="33">
        <f>D700*D717*(1-D719)*(1-D720)^(I701-1)*D723/((1+G699)^I701)</f>
        <v>6539.5734564416098</v>
      </c>
      <c r="J710" s="33">
        <f>D700*D717*(1-D719)*(1-D720)^(J701-1)*D723/((1+G699)^J701)</f>
        <v>6084.2480148482455</v>
      </c>
      <c r="K710" s="33">
        <f>D700*D717*(1-D719)*(1-D720)^(K701-1)*D723/((1+G699)^K701)</f>
        <v>5660.6251390480647</v>
      </c>
      <c r="L710" s="33">
        <f>D700*D717*(1-D719)*(1-D720)^(L701-1)*D723/((1+G699)^L701)</f>
        <v>5266.4975008620077</v>
      </c>
      <c r="M710" s="33">
        <f>D700*D717*(1-D719)*(1-D720)^(M701-1)*D723/((1+G699)^M701)</f>
        <v>4899.81145991414</v>
      </c>
      <c r="N710" s="33">
        <f>D700*D717*(1-D719)*(1-D720)^(N701-1)*D723/((1+G699)^N701)</f>
        <v>4558.6563629388093</v>
      </c>
      <c r="O710" s="33">
        <f>D700*D717*(1-D719)*(1-D720)^(O701-1)*D723/((1+G699)^O701)</f>
        <v>4241.2545881360602</v>
      </c>
      <c r="P710" s="33">
        <f>D700*D717*(1-D719)*(1-D720)^(P701-1)*D723/((1+G699)^P701)</f>
        <v>3945.9522827004189</v>
      </c>
      <c r="Q710" s="33">
        <f>D700*D717*(1-D719)*(1-D720)^(Q701-1)*D723/((1+G699)^Q701)</f>
        <v>3671.2107452600635</v>
      </c>
      <c r="R710" s="33">
        <f>D700*D717*(1-D719)*(1-D720)^(R701-1)*D723/((1+G699)^R701)</f>
        <v>3415.5984083237317</v>
      </c>
      <c r="S710" s="33">
        <f>D700*D717*(1-D719)*(1-D720)^(S701-1)*D723/((1+G699)^S701)</f>
        <v>3177.7833789591359</v>
      </c>
      <c r="T710" s="33">
        <f>D700*D717*(1-D719)*(1-D720)^(T701-1)*D723/((1+G699)^T701)</f>
        <v>2956.5264988353456</v>
      </c>
      <c r="U710" s="33">
        <f>D700*D717*(1-D719)*(1-D720)^(U701-1)*D723/((1+G699)^U701)</f>
        <v>2750.6748874678383</v>
      </c>
      <c r="V710" s="33">
        <f>D700*D717*(1-D719)*(1-D720)^(V701-1)*D723/((1+G699)^V701)</f>
        <v>2559.1559350226471</v>
      </c>
      <c r="W710" s="33">
        <f>D700*D717*(1-D719)*(1-D720)^(W701-1)*D723/((1+G699)^W701)</f>
        <v>2380.971713378548</v>
      </c>
      <c r="X710" s="33">
        <f>D700*D717*(1-D719)*(1-D720)^(X701-1)*D723/((1+G699)^X701)</f>
        <v>2215.1937763255555</v>
      </c>
      <c r="Y710" s="33">
        <f>D700*D717*(1-D719)*(1-D720)^(Y701-1)*D723/((1+G699)^Y701)</f>
        <v>2060.9583218056919</v>
      </c>
      <c r="Z710" s="33">
        <f>D700*D717*(1-D719)*(1-D720)^(Z701-1)*D723/((1+G699)^Z701)</f>
        <v>1917.46169098838</v>
      </c>
      <c r="AA710" s="33">
        <f>D700*D717*(1-D719)*(1-D720)^(AA701-1)*D723/((1+G699)^AA701)</f>
        <v>1783.9561807279745</v>
      </c>
    </row>
    <row r="711" spans="3:27" hidden="1" outlineLevel="1" x14ac:dyDescent="0.3">
      <c r="C711" s="21" t="s">
        <v>37</v>
      </c>
      <c r="D711" s="19">
        <f>分布式光伏电站IRR汇总!$B$13</f>
        <v>0.15</v>
      </c>
      <c r="F711" s="4" t="s">
        <v>66</v>
      </c>
      <c r="G711" s="33">
        <f>SUM(H712:AA712)</f>
        <v>58.339797628016299</v>
      </c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 spans="3:27" hidden="1" outlineLevel="1" x14ac:dyDescent="0.3">
      <c r="C712" s="21" t="s">
        <v>38</v>
      </c>
      <c r="D712" s="19">
        <f>分布式光伏电站IRR汇总!$B$14</f>
        <v>3.7000000000000005E-2</v>
      </c>
      <c r="F712" s="7" t="s">
        <v>67</v>
      </c>
      <c r="G712" s="33"/>
      <c r="H712" s="33">
        <f>H710*D728/1000</f>
        <v>5.3176226571052716</v>
      </c>
      <c r="I712" s="33">
        <f>I710*D728/1000</f>
        <v>4.9473769674283155</v>
      </c>
      <c r="J712" s="33">
        <f>J710*D728/1000</f>
        <v>4.602910066425129</v>
      </c>
      <c r="K712" s="33">
        <f>K710*D728/1000</f>
        <v>4.2824270758188945</v>
      </c>
      <c r="L712" s="33">
        <f>L710*D728/1000</f>
        <v>3.9842580878296343</v>
      </c>
      <c r="M712" s="33">
        <f>M710*D728/1000</f>
        <v>3.706849463957385</v>
      </c>
      <c r="N712" s="33">
        <f>N710*D728/1000</f>
        <v>3.4487557395977353</v>
      </c>
      <c r="O712" s="33">
        <f>O710*D728/1000</f>
        <v>3.2086320923079863</v>
      </c>
      <c r="P712" s="33">
        <f>P710*D728/1000</f>
        <v>2.9852273344790654</v>
      </c>
      <c r="Q712" s="33">
        <f>Q710*D728/1000</f>
        <v>2.777377393900851</v>
      </c>
      <c r="R712" s="33">
        <f>R710*D728/1000</f>
        <v>2.5839992482507452</v>
      </c>
      <c r="S712" s="33">
        <f>S710*D728/1000</f>
        <v>2.4040852819005765</v>
      </c>
      <c r="T712" s="33">
        <f>T710*D728/1000</f>
        <v>2.2366980356374055</v>
      </c>
      <c r="U712" s="33">
        <f>U710*D728/1000</f>
        <v>2.0809653219411568</v>
      </c>
      <c r="V712" s="33">
        <f>V710*D728/1000</f>
        <v>1.9360756803667485</v>
      </c>
      <c r="W712" s="33">
        <f>W710*D728/1000</f>
        <v>1.8012741493505597</v>
      </c>
      <c r="X712" s="33">
        <f>X710*D728/1000</f>
        <v>1.6758583324097964</v>
      </c>
      <c r="Y712" s="33">
        <f>Y710*D728/1000</f>
        <v>1.5591747382373384</v>
      </c>
      <c r="Z712" s="33">
        <f>Z710*D728/1000</f>
        <v>1.4506153756217484</v>
      </c>
      <c r="AA712" s="33">
        <f>AA710*D728/1000</f>
        <v>1.3496145854499542</v>
      </c>
    </row>
    <row r="713" spans="3:27" hidden="1" outlineLevel="1" x14ac:dyDescent="0.3">
      <c r="C713" s="21" t="s">
        <v>39</v>
      </c>
      <c r="D713" s="19">
        <f>分布式光伏电站IRR汇总!$B$15</f>
        <v>0.25900000000000006</v>
      </c>
      <c r="F713" s="4" t="s">
        <v>20</v>
      </c>
      <c r="G713" s="33">
        <f>SUM(H714:V714)</f>
        <v>9.417393014941938</v>
      </c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 spans="3:27" hidden="1" outlineLevel="1" x14ac:dyDescent="0.3">
      <c r="C714" s="21" t="s">
        <v>40</v>
      </c>
      <c r="D714" s="19">
        <f>分布式光伏电站IRR汇总!$B$16</f>
        <v>7.400000000000001E-2</v>
      </c>
      <c r="F714" s="7" t="s">
        <v>21</v>
      </c>
      <c r="G714" s="33"/>
      <c r="H714" s="33">
        <f>(H712-H705-H707)*G700</f>
        <v>1.0001837016594954</v>
      </c>
      <c r="I714" s="33">
        <f>(I712-I705-I707)*G700</f>
        <v>0.92916016464509532</v>
      </c>
      <c r="J714" s="33">
        <f>(J712-J705-J707)*G700</f>
        <v>0.86317230425863412</v>
      </c>
      <c r="K714" s="33">
        <f>(K712-K705-K707)*G700</f>
        <v>0.80186357984477219</v>
      </c>
      <c r="L714" s="33">
        <f>(L712-L705-L707)*G700</f>
        <v>0.74490266297614549</v>
      </c>
      <c r="M714" s="33">
        <f>(M712-M705-M707)*G700</f>
        <v>0.69198165666106293</v>
      </c>
      <c r="N714" s="33">
        <f>(N712-N705-N707)*G700</f>
        <v>0.6428144402001037</v>
      </c>
      <c r="O714" s="33">
        <f>(O712-O705-O707)*G700</f>
        <v>0.59713513083463199</v>
      </c>
      <c r="P714" s="33">
        <f>(P712-P705-P707)*G700</f>
        <v>0.55469665395400503</v>
      </c>
      <c r="Q714" s="33">
        <f>(Q712-Q705-Q707)*G700</f>
        <v>0.5152694142081462</v>
      </c>
      <c r="R714" s="33">
        <f>(R712-R705-R707)*G700</f>
        <v>0.4786400604112222</v>
      </c>
      <c r="S714" s="33">
        <f>(S712-S705-S707)*G700</f>
        <v>0.44461033762330843</v>
      </c>
      <c r="T714" s="33">
        <f>(T712-T705-T707)*G700</f>
        <v>0.41299602026277599</v>
      </c>
      <c r="U714" s="33">
        <f>(U712-U705-U707)*G700</f>
        <v>0.38362592053521871</v>
      </c>
      <c r="V714" s="33">
        <f>(V712-V705-V707)*G700</f>
        <v>0.3563409668673222</v>
      </c>
      <c r="W714" s="33">
        <f>(W712-W705-W707)*G700</f>
        <v>0.33099334740832692</v>
      </c>
      <c r="X714" s="33">
        <f>(X712-X705-X707)*G700</f>
        <v>0.30744571400963322</v>
      </c>
      <c r="Y714" s="33">
        <f>(Y712-Y705-Y707)*G700</f>
        <v>0.28557044241651602</v>
      </c>
      <c r="Z714" s="33">
        <f>(Z712-Z705-Z707)*G700</f>
        <v>0.2652489447065412</v>
      </c>
      <c r="AA714" s="33">
        <f>(AA712-AA705-AA707)*G700</f>
        <v>0.24637103028875409</v>
      </c>
    </row>
    <row r="715" spans="3:27" hidden="1" outlineLevel="1" x14ac:dyDescent="0.3">
      <c r="C715" s="21" t="s">
        <v>41</v>
      </c>
      <c r="D715" s="19">
        <f>分布式光伏电站IRR汇总!$B$17</f>
        <v>0.222</v>
      </c>
      <c r="F715" s="10" t="s">
        <v>22</v>
      </c>
      <c r="G715" s="33">
        <f>-G703</f>
        <v>-24.611999999999995</v>
      </c>
      <c r="H715" s="33">
        <f t="shared" ref="H715:AA715" si="210">H712-H714-H707</f>
        <v>4.0931398900252152</v>
      </c>
      <c r="I715" s="33">
        <f t="shared" si="210"/>
        <v>3.8085915079976491</v>
      </c>
      <c r="J715" s="33">
        <f t="shared" si="210"/>
        <v>3.5438262717126907</v>
      </c>
      <c r="K715" s="33">
        <f t="shared" si="210"/>
        <v>3.2974686450827164</v>
      </c>
      <c r="L715" s="33">
        <f t="shared" si="210"/>
        <v>3.0682387417774084</v>
      </c>
      <c r="M715" s="33">
        <f t="shared" si="210"/>
        <v>2.8549456735803589</v>
      </c>
      <c r="N715" s="33">
        <f t="shared" si="210"/>
        <v>2.65648136134533</v>
      </c>
      <c r="O715" s="33">
        <f t="shared" si="210"/>
        <v>2.4718147763777449</v>
      </c>
      <c r="P715" s="33">
        <f t="shared" si="210"/>
        <v>2.2999865823048649</v>
      </c>
      <c r="Q715" s="33">
        <f t="shared" si="210"/>
        <v>2.140104149580373</v>
      </c>
      <c r="R715" s="33">
        <f t="shared" si="210"/>
        <v>1.9913369167065023</v>
      </c>
      <c r="S715" s="33">
        <f t="shared" si="210"/>
        <v>1.8529120740594915</v>
      </c>
      <c r="T715" s="33">
        <f t="shared" si="210"/>
        <v>1.7241105478813805</v>
      </c>
      <c r="U715" s="33">
        <f t="shared" si="210"/>
        <v>1.6042632635617802</v>
      </c>
      <c r="V715" s="33">
        <f t="shared" si="210"/>
        <v>1.4927476687852601</v>
      </c>
      <c r="W715" s="33">
        <f t="shared" si="210"/>
        <v>1.3889844984710493</v>
      </c>
      <c r="X715" s="33">
        <f t="shared" si="210"/>
        <v>1.2924347646887768</v>
      </c>
      <c r="Y715" s="33">
        <f t="shared" si="210"/>
        <v>1.2025969559036389</v>
      </c>
      <c r="Z715" s="33">
        <f t="shared" si="210"/>
        <v>1.1190044309926057</v>
      </c>
      <c r="AA715" s="33">
        <f t="shared" si="210"/>
        <v>1.0412229944858715</v>
      </c>
    </row>
    <row r="716" spans="3:27" ht="13.5" hidden="1" outlineLevel="1" thickBot="1" x14ac:dyDescent="0.35">
      <c r="C716" s="21" t="s">
        <v>74</v>
      </c>
      <c r="D716" s="19">
        <f>分布式光伏电站IRR汇总!$B$18</f>
        <v>0.4</v>
      </c>
      <c r="F716" s="3" t="s">
        <v>61</v>
      </c>
      <c r="G716" s="35">
        <f>SUM(G715:AA715)/G703</f>
        <v>0.82610969101741905</v>
      </c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3:27" ht="13.5" hidden="1" outlineLevel="1" thickTop="1" x14ac:dyDescent="0.3">
      <c r="C717" s="18" t="s">
        <v>58</v>
      </c>
      <c r="D717" s="19">
        <f>分布式光伏电站IRR汇总!$B$19</f>
        <v>0.86599999999999999</v>
      </c>
    </row>
    <row r="718" spans="3:27" hidden="1" outlineLevel="1" x14ac:dyDescent="0.3">
      <c r="C718" s="18" t="s">
        <v>62</v>
      </c>
      <c r="D718" s="19">
        <f>分布式光伏电站IRR汇总!$B$20</f>
        <v>20</v>
      </c>
      <c r="F718" s="13" t="s">
        <v>25</v>
      </c>
      <c r="G718" s="14">
        <v>0</v>
      </c>
    </row>
    <row r="719" spans="3:27" hidden="1" outlineLevel="1" x14ac:dyDescent="0.3">
      <c r="C719" s="18" t="s">
        <v>59</v>
      </c>
      <c r="D719" s="52">
        <f>分布式光伏电站IRR汇总!$B$21</f>
        <v>0.02</v>
      </c>
      <c r="F719" s="13" t="s">
        <v>26</v>
      </c>
      <c r="G719" s="14">
        <v>0.25</v>
      </c>
      <c r="Q719" s="15"/>
    </row>
    <row r="720" spans="3:27" hidden="1" outlineLevel="1" x14ac:dyDescent="0.3">
      <c r="C720" s="18" t="s">
        <v>60</v>
      </c>
      <c r="D720" s="52">
        <f>分布式光伏电站IRR汇总!$B$22</f>
        <v>4.4999999999999997E-3</v>
      </c>
      <c r="F720" s="1" t="s">
        <v>44</v>
      </c>
      <c r="G720" s="4"/>
      <c r="H720" s="5">
        <v>1</v>
      </c>
      <c r="I720" s="5">
        <v>2</v>
      </c>
      <c r="J720" s="5">
        <v>3</v>
      </c>
      <c r="K720" s="5">
        <v>4</v>
      </c>
      <c r="L720" s="5">
        <v>5</v>
      </c>
      <c r="M720" s="5">
        <v>6</v>
      </c>
      <c r="N720" s="5">
        <v>7</v>
      </c>
      <c r="O720" s="5">
        <v>8</v>
      </c>
      <c r="P720" s="5">
        <v>9</v>
      </c>
      <c r="Q720" s="5">
        <v>10</v>
      </c>
      <c r="R720" s="5">
        <v>11</v>
      </c>
      <c r="S720" s="5">
        <v>12</v>
      </c>
      <c r="T720" s="5">
        <v>13</v>
      </c>
      <c r="U720" s="5">
        <v>14</v>
      </c>
      <c r="V720" s="5">
        <v>15</v>
      </c>
      <c r="W720" s="5">
        <v>16</v>
      </c>
      <c r="X720" s="5">
        <v>17</v>
      </c>
      <c r="Y720" s="5">
        <v>18</v>
      </c>
      <c r="Z720" s="5">
        <v>19</v>
      </c>
      <c r="AA720" s="5">
        <v>20</v>
      </c>
    </row>
    <row r="721" spans="3:27" hidden="1" outlineLevel="1" x14ac:dyDescent="0.3">
      <c r="C721" s="18" t="s">
        <v>28</v>
      </c>
      <c r="D721" s="29">
        <f>分布式光伏电站IRR汇总!$B$23</f>
        <v>0.04</v>
      </c>
      <c r="F721" s="16"/>
      <c r="G721" s="2" t="s">
        <v>0</v>
      </c>
      <c r="H721" s="2" t="s">
        <v>1</v>
      </c>
      <c r="I721" s="2" t="s">
        <v>2</v>
      </c>
      <c r="J721" s="2" t="s">
        <v>3</v>
      </c>
      <c r="K721" s="2" t="s">
        <v>4</v>
      </c>
      <c r="L721" s="2" t="s">
        <v>5</v>
      </c>
      <c r="M721" s="2" t="s">
        <v>6</v>
      </c>
      <c r="N721" s="2" t="s">
        <v>7</v>
      </c>
      <c r="O721" s="2" t="s">
        <v>8</v>
      </c>
      <c r="P721" s="2" t="s">
        <v>9</v>
      </c>
      <c r="Q721" s="2" t="s">
        <v>10</v>
      </c>
      <c r="R721" s="2" t="s">
        <v>11</v>
      </c>
      <c r="S721" s="2" t="s">
        <v>12</v>
      </c>
      <c r="T721" s="2" t="s">
        <v>13</v>
      </c>
      <c r="U721" s="2" t="s">
        <v>45</v>
      </c>
      <c r="V721" s="2" t="s">
        <v>46</v>
      </c>
      <c r="W721" s="2" t="s">
        <v>47</v>
      </c>
      <c r="X721" s="2" t="s">
        <v>48</v>
      </c>
      <c r="Y721" s="2" t="s">
        <v>49</v>
      </c>
      <c r="Z721" s="2" t="s">
        <v>50</v>
      </c>
      <c r="AA721" s="2" t="s">
        <v>51</v>
      </c>
    </row>
    <row r="722" spans="3:27" hidden="1" outlineLevel="1" x14ac:dyDescent="0.3">
      <c r="C722" s="18" t="s">
        <v>43</v>
      </c>
      <c r="D722" s="19">
        <f>分布式光伏电站IRR汇总!$B$24</f>
        <v>0.05</v>
      </c>
      <c r="F722" s="6" t="s">
        <v>14</v>
      </c>
      <c r="G722" s="33">
        <f>D724</f>
        <v>24.611999999999995</v>
      </c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 spans="3:27" hidden="1" outlineLevel="1" x14ac:dyDescent="0.3">
      <c r="C723" s="18" t="s">
        <v>126</v>
      </c>
      <c r="D723" s="28">
        <f>Backup分地区光伏小时数及电价!E16</f>
        <v>1477</v>
      </c>
      <c r="F723" s="6" t="s">
        <v>15</v>
      </c>
      <c r="G723" s="33">
        <f>SUM(H724:AA724)</f>
        <v>23.381399999999985</v>
      </c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 spans="3:27" hidden="1" outlineLevel="1" x14ac:dyDescent="0.3">
      <c r="C724" s="24" t="s">
        <v>14</v>
      </c>
      <c r="D724" s="30">
        <f>D700*D705</f>
        <v>24.611999999999995</v>
      </c>
      <c r="F724" s="7" t="s">
        <v>16</v>
      </c>
      <c r="G724" s="33"/>
      <c r="H724" s="33">
        <f>D724*(1-D722)/D718/((1+G718)^H720)</f>
        <v>1.1690699999999996</v>
      </c>
      <c r="I724" s="33">
        <f>D724*(1-D722)/D718/((1+G718)^I720)</f>
        <v>1.1690699999999996</v>
      </c>
      <c r="J724" s="33">
        <f>D724*(1-D722)/D718/((1+G718)^J720)</f>
        <v>1.1690699999999996</v>
      </c>
      <c r="K724" s="33">
        <f>D724*(1-D722)/D718/((1+G718)^K720)</f>
        <v>1.1690699999999996</v>
      </c>
      <c r="L724" s="33">
        <f>D724*(1-D722)/D718/((1+G718)^L720)</f>
        <v>1.1690699999999996</v>
      </c>
      <c r="M724" s="33">
        <f>D724*(1-D722)/D718/((1+G718)^M720)</f>
        <v>1.1690699999999996</v>
      </c>
      <c r="N724" s="33">
        <f>D724*(1-D722)/D718/((1+G718)^N720)</f>
        <v>1.1690699999999996</v>
      </c>
      <c r="O724" s="33">
        <f>D724*(1-D722)/D718/((1+G718)^O720)</f>
        <v>1.1690699999999996</v>
      </c>
      <c r="P724" s="33">
        <f>D724*(1-D722)/D718/((1+G718)^P720)</f>
        <v>1.1690699999999996</v>
      </c>
      <c r="Q724" s="33">
        <f>D724*(1-D722)/D718/((1+G718)^Q720)</f>
        <v>1.1690699999999996</v>
      </c>
      <c r="R724" s="33">
        <f>D724*(1-D722)/D718/((1+G718)^R720)</f>
        <v>1.1690699999999996</v>
      </c>
      <c r="S724" s="33">
        <f>D724*(1-D722)/D718/((1+G718)^S720)</f>
        <v>1.1690699999999996</v>
      </c>
      <c r="T724" s="33">
        <f>D724*(1-D722)/D718/((1+G718)^T720)</f>
        <v>1.1690699999999996</v>
      </c>
      <c r="U724" s="33">
        <f>D724*(1-D722)/D718/((1+G718)^U720)</f>
        <v>1.1690699999999996</v>
      </c>
      <c r="V724" s="33">
        <f>D724*(1-D722)/D718/((1+G718)^V720)</f>
        <v>1.1690699999999996</v>
      </c>
      <c r="W724" s="33">
        <f>D724*(1-D722)/D718/((1+G718)^W720)</f>
        <v>1.1690699999999996</v>
      </c>
      <c r="X724" s="33">
        <f>D724*(1-D722)/D718/((1+G718)^X720)</f>
        <v>1.1690699999999996</v>
      </c>
      <c r="Y724" s="33">
        <f>D724*(1-D722)/D718/((1+G718)^Y720)</f>
        <v>1.1690699999999996</v>
      </c>
      <c r="Z724" s="33">
        <f>D724*(1-D722)/D718/((1+G718)^Z720)</f>
        <v>1.1690699999999996</v>
      </c>
      <c r="AA724" s="33">
        <f>D724*(1-D722)/D718/((1+G718)^AA720)</f>
        <v>1.1690699999999996</v>
      </c>
    </row>
    <row r="725" spans="3:27" hidden="1" outlineLevel="1" x14ac:dyDescent="0.3">
      <c r="C725" s="18" t="s">
        <v>29</v>
      </c>
      <c r="D725" s="29">
        <v>0.35980000000000001</v>
      </c>
      <c r="F725" s="6" t="s">
        <v>17</v>
      </c>
      <c r="G725" s="33">
        <f>SUM(H726:AA726)</f>
        <v>4.8000000000000025</v>
      </c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 spans="3:27" hidden="1" outlineLevel="1" x14ac:dyDescent="0.3">
      <c r="C726" s="18" t="s">
        <v>30</v>
      </c>
      <c r="D726" s="31">
        <f>Backup分地区光伏小时数及电价!I16</f>
        <v>0.75652900000000012</v>
      </c>
      <c r="F726" s="7" t="s">
        <v>18</v>
      </c>
      <c r="G726" s="33"/>
      <c r="H726" s="33">
        <f>D721*D700/((1+G718)^H720)</f>
        <v>0.24</v>
      </c>
      <c r="I726" s="33">
        <f>D721*D700/((1+G718)^I720)</f>
        <v>0.24</v>
      </c>
      <c r="J726" s="33">
        <f>D721*D700/((1+G718)^J720)</f>
        <v>0.24</v>
      </c>
      <c r="K726" s="33">
        <f>D721*D700/((1+G718)^K720)</f>
        <v>0.24</v>
      </c>
      <c r="L726" s="33">
        <f>D721*D700/((1+G718)^L720)</f>
        <v>0.24</v>
      </c>
      <c r="M726" s="33">
        <f>D721*D700/((1+G718)^M720)</f>
        <v>0.24</v>
      </c>
      <c r="N726" s="33">
        <f>D721*D700/((1+G718)^N720)</f>
        <v>0.24</v>
      </c>
      <c r="O726" s="33">
        <f>D721*D700/((1+G718)^O720)</f>
        <v>0.24</v>
      </c>
      <c r="P726" s="33">
        <f>D721*D700/((1+G718)^P720)</f>
        <v>0.24</v>
      </c>
      <c r="Q726" s="33">
        <f>D721*D700/((1+G718)^Q720)</f>
        <v>0.24</v>
      </c>
      <c r="R726" s="33">
        <f>D721*D700/((1+G718)^R720)</f>
        <v>0.24</v>
      </c>
      <c r="S726" s="33">
        <f>D721*D700/((1+G718)^S720)</f>
        <v>0.24</v>
      </c>
      <c r="T726" s="33">
        <f>D721*D700/((1+G718)^T720)</f>
        <v>0.24</v>
      </c>
      <c r="U726" s="33">
        <f>D721*D700/((1+G718)^U720)</f>
        <v>0.24</v>
      </c>
      <c r="V726" s="33">
        <f>D721*D700/((1+G718)^V720)</f>
        <v>0.24</v>
      </c>
      <c r="W726" s="33">
        <f>D721*D700/((1+G718)^W720)</f>
        <v>0.24</v>
      </c>
      <c r="X726" s="33">
        <f>D721*D700/((1+G718)^X720)</f>
        <v>0.24</v>
      </c>
      <c r="Y726" s="33">
        <f>D721*D700/((1+G718)^Y720)</f>
        <v>0.24</v>
      </c>
      <c r="Z726" s="33">
        <f>D721*D700/((1+G718)^Z720)</f>
        <v>0.24</v>
      </c>
      <c r="AA726" s="33">
        <f>D721*D700/((1+G718)^AA720)</f>
        <v>0.24</v>
      </c>
    </row>
    <row r="727" spans="3:27" hidden="1" outlineLevel="1" x14ac:dyDescent="0.3">
      <c r="C727" s="18" t="s">
        <v>70</v>
      </c>
      <c r="D727" s="32">
        <f>分布式光伏电站IRR汇总!$B$27</f>
        <v>1</v>
      </c>
      <c r="F727" s="6" t="s">
        <v>19</v>
      </c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>
        <f>D721*D724/((1+G718)^AA720)</f>
        <v>0.9844799999999998</v>
      </c>
    </row>
    <row r="728" spans="3:27" hidden="1" outlineLevel="1" x14ac:dyDescent="0.3">
      <c r="C728" s="18" t="s">
        <v>69</v>
      </c>
      <c r="D728" s="31">
        <f>D727*D726</f>
        <v>0.75652900000000012</v>
      </c>
      <c r="F728" s="8" t="s">
        <v>64</v>
      </c>
      <c r="G728" s="33">
        <f>SUM(H729:AA729)</f>
        <v>144159.93544338117</v>
      </c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 spans="3:27" hidden="1" outlineLevel="1" x14ac:dyDescent="0.3">
      <c r="C729" s="18" t="s">
        <v>31</v>
      </c>
      <c r="D729" s="27">
        <v>0</v>
      </c>
      <c r="F729" s="9" t="s">
        <v>65</v>
      </c>
      <c r="G729" s="33"/>
      <c r="H729" s="33">
        <f>D700*D717*(1-D719)*D723/((1+G718)^H720)</f>
        <v>7521.0021599999991</v>
      </c>
      <c r="I729" s="33">
        <f>D700*D717*(1-D719)*(1-D720)^(I720-1)*D723/((1+G718)^I720)</f>
        <v>7487.157650279999</v>
      </c>
      <c r="J729" s="33">
        <f>D700*D717*(1-D719)*(1-D720)^(J720-1)*D723/((1+G718)^J720)</f>
        <v>7453.4654408537399</v>
      </c>
      <c r="K729" s="33">
        <f>D700*D717*(1-D719)*(1-D720)^(K720-1)*D723/((1+G718)^K720)</f>
        <v>7419.9248463698987</v>
      </c>
      <c r="L729" s="33">
        <f>D700*D717*(1-D719)*(1-D720)^(L720-1)*D723/((1+G718)^L720)</f>
        <v>7386.5351845612349</v>
      </c>
      <c r="M729" s="33">
        <f>D700*D717*(1-D719)*(1-D720)^(M720-1)*D723/((1+G718)^M720)</f>
        <v>7353.2957762307096</v>
      </c>
      <c r="N729" s="33">
        <f>D700*D717*(1-D719)*(1-D720)^(N720-1)*D723/((1+G718)^N720)</f>
        <v>7320.2059452376716</v>
      </c>
      <c r="O729" s="33">
        <f>D700*D717*(1-D719)*(1-D720)^(O720-1)*D723/((1+G718)^O720)</f>
        <v>7287.2650184841023</v>
      </c>
      <c r="P729" s="33">
        <f>D700*D717*(1-D719)*(1-D720)^(P720-1)*D723/((1+G718)^P720)</f>
        <v>7254.4723259009243</v>
      </c>
      <c r="Q729" s="33">
        <f>D700*D717*(1-D719)*(1-D720)^(Q720-1)*D723/((1+G718)^Q720)</f>
        <v>7221.8272004343717</v>
      </c>
      <c r="R729" s="33">
        <f>D700*D717*(1-D719)*(1-D720)^(R720-1)*D723/((1+G718)^R720)</f>
        <v>7189.3289780324176</v>
      </c>
      <c r="S729" s="33">
        <f>D700*D717*(1-D719)*(1-D720)^(S720-1)*D723/((1+G718)^S720)</f>
        <v>7156.9769976312709</v>
      </c>
      <c r="T729" s="33">
        <f>D700*D717*(1-D719)*(1-D720)^(T720-1)*D723/((1+G718)^T720)</f>
        <v>7124.7706011419314</v>
      </c>
      <c r="U729" s="33">
        <f>D700*D717*(1-D719)*(1-D720)^(U720-1)*D723/((1+G718)^U720)</f>
        <v>7092.7091334367924</v>
      </c>
      <c r="V729" s="33">
        <f>D700*D717*(1-D719)*(1-D720)^(V720-1)*D723/((1+G718)^V720)</f>
        <v>7060.7919423363264</v>
      </c>
      <c r="W729" s="33">
        <f>D700*D717*(1-D719)*(1-D720)^(W720-1)*D723/((1+G718)^W720)</f>
        <v>7029.0183785958152</v>
      </c>
      <c r="X729" s="33">
        <f>D700*D717*(1-D719)*(1-D720)^(X720-1)*D723/((1+G718)^X720)</f>
        <v>6997.3877958921339</v>
      </c>
      <c r="Y729" s="33">
        <f>D700*D717*(1-D719)*(1-D720)^(Y720-1)*D723/((1+G718)^Y720)</f>
        <v>6965.8995508106191</v>
      </c>
      <c r="Z729" s="33">
        <f>D700*D717*(1-D719)*(1-D720)^(Z720-1)*D723/((1+G718)^Z720)</f>
        <v>6934.5530028319727</v>
      </c>
      <c r="AA729" s="33">
        <f>D700*D717*(1-D719)*(1-D720)^(AA720-1)*D723/((1+G718)^AA720)</f>
        <v>6903.34751431923</v>
      </c>
    </row>
    <row r="730" spans="3:27" hidden="1" outlineLevel="1" x14ac:dyDescent="0.3">
      <c r="F730" s="4" t="s">
        <v>66</v>
      </c>
      <c r="G730" s="33">
        <f>SUM(H731:AA731)</f>
        <v>109.06117180104572</v>
      </c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 spans="3:27" hidden="1" outlineLevel="1" x14ac:dyDescent="0.3">
      <c r="F731" s="7" t="s">
        <v>67</v>
      </c>
      <c r="G731" s="33"/>
      <c r="H731" s="33">
        <f>H729*D728/1000</f>
        <v>5.68985624310264</v>
      </c>
      <c r="I731" s="33">
        <f>I729*D728/1000</f>
        <v>5.6642518900086776</v>
      </c>
      <c r="J731" s="33">
        <f>J729*D728/1000</f>
        <v>5.63876275650364</v>
      </c>
      <c r="K731" s="33">
        <f>K729*D728/1000</f>
        <v>5.6133883240993736</v>
      </c>
      <c r="L731" s="33">
        <f>L729*D728/1000</f>
        <v>5.5881280766409276</v>
      </c>
      <c r="M731" s="33">
        <f>M729*D728/1000</f>
        <v>5.5629815002960434</v>
      </c>
      <c r="N731" s="33">
        <f>N729*D728/1000</f>
        <v>5.5379480835447108</v>
      </c>
      <c r="O731" s="33">
        <f>O729*D728/1000</f>
        <v>5.5130273171687607</v>
      </c>
      <c r="P731" s="33">
        <f>P729*D728/1000</f>
        <v>5.4882186942415014</v>
      </c>
      <c r="Q731" s="33">
        <f>Q729*D728/1000</f>
        <v>5.4635217101174156</v>
      </c>
      <c r="R731" s="33">
        <f>R729*D728/1000</f>
        <v>5.4389358624218875</v>
      </c>
      <c r="S731" s="33">
        <f>S729*D728/1000</f>
        <v>5.4144606510409883</v>
      </c>
      <c r="T731" s="33">
        <f>T729*D728/1000</f>
        <v>5.3900955781113051</v>
      </c>
      <c r="U731" s="33">
        <f>U729*D728/1000</f>
        <v>5.3658401480098039</v>
      </c>
      <c r="V731" s="33">
        <f>V729*D728/1000</f>
        <v>5.3416938673437597</v>
      </c>
      <c r="W731" s="33">
        <f>W729*D728/1000</f>
        <v>5.3176562449407143</v>
      </c>
      <c r="X731" s="33">
        <f>X729*D728/1000</f>
        <v>5.2937267918384814</v>
      </c>
      <c r="Y731" s="33">
        <f>Y729*D728/1000</f>
        <v>5.269905021275207</v>
      </c>
      <c r="Z731" s="33">
        <f>Z729*D728/1000</f>
        <v>5.2461904486794699</v>
      </c>
      <c r="AA731" s="33">
        <f>AA729*D728/1000</f>
        <v>5.2225825916604132</v>
      </c>
    </row>
    <row r="732" spans="3:27" hidden="1" outlineLevel="1" x14ac:dyDescent="0.3">
      <c r="F732" s="4" t="s">
        <v>20</v>
      </c>
      <c r="G732" s="33">
        <f>SUM(H733:AA733)</f>
        <v>20.21994295026143</v>
      </c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 spans="3:27" hidden="1" outlineLevel="1" x14ac:dyDescent="0.3">
      <c r="F733" s="7" t="s">
        <v>21</v>
      </c>
      <c r="G733" s="33"/>
      <c r="H733" s="33">
        <f>(H731-H724-H726)*G719</f>
        <v>1.0701965607756601</v>
      </c>
      <c r="I733" s="33">
        <f>(I731-I724-I726)*G719</f>
        <v>1.0637954725021694</v>
      </c>
      <c r="J733" s="33">
        <f>(J731-J724-J726)*G719</f>
        <v>1.05742318912591</v>
      </c>
      <c r="K733" s="33">
        <f>(K731-K724-K726)*G719</f>
        <v>1.0510795810248434</v>
      </c>
      <c r="L733" s="33">
        <f>(L731-L724-L726)*G719</f>
        <v>1.0447645191602319</v>
      </c>
      <c r="M733" s="33">
        <f>(M731-M724-M726)*G719</f>
        <v>1.0384778750740109</v>
      </c>
      <c r="N733" s="33">
        <f>(N731-N724-N726)*G719</f>
        <v>1.0322195208861777</v>
      </c>
      <c r="O733" s="33">
        <f>(O731-O724-O726)*G719</f>
        <v>1.0259893292921902</v>
      </c>
      <c r="P733" s="33">
        <f>(P731-P724-P726)*G719</f>
        <v>1.0197871735603754</v>
      </c>
      <c r="Q733" s="33">
        <f>(Q731-Q724-Q726)*G719</f>
        <v>1.0136129275293539</v>
      </c>
      <c r="R733" s="33">
        <f>(R731-R724-R726)*G719</f>
        <v>1.0074664656054719</v>
      </c>
      <c r="S733" s="33">
        <f>(S731-S724-S726)*G719</f>
        <v>1.0013476627602471</v>
      </c>
      <c r="T733" s="33">
        <f>(T731-T724-T726)*G719</f>
        <v>0.99525639452782633</v>
      </c>
      <c r="U733" s="33">
        <f>(U731-U724-U726)*G719</f>
        <v>0.98919253700245102</v>
      </c>
      <c r="V733" s="33">
        <f>(V731-V724-V726)*G719</f>
        <v>0.98315596683593998</v>
      </c>
      <c r="W733" s="33">
        <f>(W731-W724-W726)*G719</f>
        <v>0.97714656123517862</v>
      </c>
      <c r="X733" s="33">
        <f>(X731-X724-X726)*G719</f>
        <v>0.97116419795962039</v>
      </c>
      <c r="Y733" s="33">
        <f>(Y731-Y724-Y726)*G719</f>
        <v>0.96520875531880179</v>
      </c>
      <c r="Z733" s="33">
        <f>(Z731-Z724-Z726)*G719</f>
        <v>0.95928011216986753</v>
      </c>
      <c r="AA733" s="33">
        <f>(AA731-AA724-AA726)*G719</f>
        <v>0.95337814791510334</v>
      </c>
    </row>
    <row r="734" spans="3:27" hidden="1" outlineLevel="1" x14ac:dyDescent="0.3">
      <c r="F734" s="10" t="s">
        <v>22</v>
      </c>
      <c r="G734" s="33">
        <f>-G722</f>
        <v>-24.611999999999995</v>
      </c>
      <c r="H734" s="33">
        <f>H731-H733-H726</f>
        <v>4.37965968232698</v>
      </c>
      <c r="I734" s="33">
        <f t="shared" ref="I734" si="211">I731-I733-I726</f>
        <v>4.3604564175065077</v>
      </c>
      <c r="J734" s="33">
        <f t="shared" ref="J734" si="212">J731-J733-J726</f>
        <v>4.3413395673777302</v>
      </c>
      <c r="K734" s="33">
        <f t="shared" ref="K734" si="213">K731-K733-K726</f>
        <v>4.3223087430745295</v>
      </c>
      <c r="L734" s="33">
        <f t="shared" ref="L734" si="214">L731-L733-L726</f>
        <v>4.3033635574806954</v>
      </c>
      <c r="M734" s="33">
        <f t="shared" ref="M734" si="215">M731-M733-M726</f>
        <v>4.2845036252220323</v>
      </c>
      <c r="N734" s="33">
        <f t="shared" ref="N734" si="216">N731-N733-N726</f>
        <v>4.2657285626585324</v>
      </c>
      <c r="O734" s="33">
        <f t="shared" ref="O734" si="217">O731-O733-O726</f>
        <v>4.2470379878765705</v>
      </c>
      <c r="P734" s="33">
        <f t="shared" ref="P734" si="218">P731-P733-P726</f>
        <v>4.2284315206811254</v>
      </c>
      <c r="Q734" s="33">
        <f t="shared" ref="Q734" si="219">Q731-Q733-Q726</f>
        <v>4.2099087825880614</v>
      </c>
      <c r="R734" s="33">
        <f t="shared" ref="R734" si="220">R731-R733-R726</f>
        <v>4.1914693968164158</v>
      </c>
      <c r="S734" s="33">
        <f t="shared" ref="S734" si="221">S731-S733-S726</f>
        <v>4.1731129882807405</v>
      </c>
      <c r="T734" s="33">
        <f t="shared" ref="T734" si="222">T731-T733-T726</f>
        <v>4.1548391835834781</v>
      </c>
      <c r="U734" s="33">
        <f t="shared" ref="U734" si="223">U731-U733-U726</f>
        <v>4.1366476110073531</v>
      </c>
      <c r="V734" s="33">
        <f t="shared" ref="V734" si="224">V731-V733-V726</f>
        <v>4.1185379005078193</v>
      </c>
      <c r="W734" s="33">
        <f t="shared" ref="W734" si="225">W731-W733-W726</f>
        <v>4.1005096837055355</v>
      </c>
      <c r="X734" s="33">
        <f t="shared" ref="X734" si="226">X731-X733-X726</f>
        <v>4.082562593878861</v>
      </c>
      <c r="Y734" s="33">
        <f t="shared" ref="Y734" si="227">Y731-Y733-Y726</f>
        <v>4.064696265956405</v>
      </c>
      <c r="Z734" s="33">
        <f t="shared" ref="Z734" si="228">Z731-Z733-Z726</f>
        <v>4.046910336509602</v>
      </c>
      <c r="AA734" s="33">
        <f t="shared" ref="AA734" si="229">AA731-AA733-AA726</f>
        <v>4.0292044437453098</v>
      </c>
    </row>
    <row r="735" spans="3:27" ht="13.5" hidden="1" outlineLevel="1" thickBot="1" x14ac:dyDescent="0.35">
      <c r="F735" s="3" t="s">
        <v>68</v>
      </c>
      <c r="G735" s="40">
        <f>IRR(G734:AA734)</f>
        <v>0.16601344580739985</v>
      </c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3:27" ht="13.5" collapsed="1" thickTop="1" x14ac:dyDescent="0.3"/>
    <row r="737" spans="2:27" x14ac:dyDescent="0.3">
      <c r="B737" s="11" t="s">
        <v>157</v>
      </c>
      <c r="C737" s="11" t="s">
        <v>52</v>
      </c>
    </row>
    <row r="738" spans="2:27" x14ac:dyDescent="0.3">
      <c r="C738" s="11" t="s">
        <v>141</v>
      </c>
      <c r="D738" s="54">
        <f>D769</f>
        <v>1388</v>
      </c>
    </row>
    <row r="739" spans="2:27" x14ac:dyDescent="0.3">
      <c r="C739" s="16" t="s">
        <v>78</v>
      </c>
      <c r="D739" s="37">
        <f>(G768+G771+G778)/G774*1000</f>
        <v>0.33662487112166523</v>
      </c>
    </row>
    <row r="740" spans="2:27" x14ac:dyDescent="0.3">
      <c r="C740" s="13" t="s">
        <v>77</v>
      </c>
      <c r="D740" s="39">
        <f>(G749+G752+G759)/G755*1000</f>
        <v>0.47892046489028373</v>
      </c>
    </row>
    <row r="741" spans="2:27" x14ac:dyDescent="0.3">
      <c r="C741" s="13" t="s">
        <v>61</v>
      </c>
      <c r="D741" s="36">
        <f>G762</f>
        <v>0.563452982351763</v>
      </c>
    </row>
    <row r="742" spans="2:27" x14ac:dyDescent="0.3">
      <c r="C742" s="13" t="s">
        <v>73</v>
      </c>
      <c r="D742" s="25">
        <f>SUM(G761:AA761)</f>
        <v>13.867704801641587</v>
      </c>
    </row>
    <row r="743" spans="2:27" ht="13.5" thickBot="1" x14ac:dyDescent="0.35">
      <c r="C743" s="23" t="s">
        <v>68</v>
      </c>
      <c r="D743" s="26">
        <f>G781</f>
        <v>0.13732419388027028</v>
      </c>
    </row>
    <row r="744" spans="2:27" ht="13.5" hidden="1" outlineLevel="1" thickTop="1" x14ac:dyDescent="0.3">
      <c r="E744" s="20"/>
      <c r="F744" s="38" t="s">
        <v>75</v>
      </c>
    </row>
    <row r="745" spans="2:27" hidden="1" outlineLevel="1" x14ac:dyDescent="0.3">
      <c r="C745" s="11" t="s">
        <v>71</v>
      </c>
      <c r="F745" s="13" t="s">
        <v>25</v>
      </c>
      <c r="G745" s="14">
        <v>7.0000000000000007E-2</v>
      </c>
    </row>
    <row r="746" spans="2:27" hidden="1" outlineLevel="1" x14ac:dyDescent="0.3">
      <c r="C746" s="18" t="s">
        <v>53</v>
      </c>
      <c r="D746" s="19">
        <f>分布式光伏电站IRR汇总!$B$2</f>
        <v>6</v>
      </c>
      <c r="F746" s="13" t="s">
        <v>26</v>
      </c>
      <c r="G746" s="14">
        <v>0.25</v>
      </c>
    </row>
    <row r="747" spans="2:27" hidden="1" outlineLevel="1" x14ac:dyDescent="0.3">
      <c r="C747" s="18" t="s">
        <v>56</v>
      </c>
      <c r="D747" s="19">
        <f>分布式光伏电站IRR汇总!$B$3</f>
        <v>120</v>
      </c>
      <c r="F747" s="1" t="s">
        <v>44</v>
      </c>
      <c r="G747" s="4"/>
      <c r="H747" s="5">
        <v>1</v>
      </c>
      <c r="I747" s="5">
        <v>2</v>
      </c>
      <c r="J747" s="5">
        <v>3</v>
      </c>
      <c r="K747" s="5">
        <v>4</v>
      </c>
      <c r="L747" s="5">
        <v>5</v>
      </c>
      <c r="M747" s="5">
        <v>6</v>
      </c>
      <c r="N747" s="5">
        <v>7</v>
      </c>
      <c r="O747" s="5">
        <v>8</v>
      </c>
      <c r="P747" s="5">
        <v>9</v>
      </c>
      <c r="Q747" s="5">
        <v>10</v>
      </c>
      <c r="R747" s="5">
        <v>11</v>
      </c>
      <c r="S747" s="5">
        <v>12</v>
      </c>
      <c r="T747" s="5">
        <v>13</v>
      </c>
      <c r="U747" s="5">
        <v>14</v>
      </c>
      <c r="V747" s="5">
        <v>15</v>
      </c>
      <c r="W747" s="5">
        <v>16</v>
      </c>
      <c r="X747" s="5">
        <v>17</v>
      </c>
      <c r="Y747" s="5">
        <v>18</v>
      </c>
      <c r="Z747" s="5">
        <v>19</v>
      </c>
      <c r="AA747" s="5">
        <v>20</v>
      </c>
    </row>
    <row r="748" spans="2:27" hidden="1" outlineLevel="1" x14ac:dyDescent="0.3">
      <c r="C748" s="18" t="s">
        <v>57</v>
      </c>
      <c r="D748" s="19">
        <f>分布式光伏电站IRR汇总!$B$4</f>
        <v>3</v>
      </c>
      <c r="F748" s="16"/>
      <c r="G748" s="2" t="s">
        <v>0</v>
      </c>
      <c r="H748" s="2" t="s">
        <v>1</v>
      </c>
      <c r="I748" s="2" t="s">
        <v>2</v>
      </c>
      <c r="J748" s="2" t="s">
        <v>3</v>
      </c>
      <c r="K748" s="2" t="s">
        <v>4</v>
      </c>
      <c r="L748" s="2" t="s">
        <v>5</v>
      </c>
      <c r="M748" s="2" t="s">
        <v>6</v>
      </c>
      <c r="N748" s="2" t="s">
        <v>7</v>
      </c>
      <c r="O748" s="2" t="s">
        <v>8</v>
      </c>
      <c r="P748" s="2" t="s">
        <v>9</v>
      </c>
      <c r="Q748" s="2" t="s">
        <v>10</v>
      </c>
      <c r="R748" s="2" t="s">
        <v>11</v>
      </c>
      <c r="S748" s="2" t="s">
        <v>12</v>
      </c>
      <c r="T748" s="2" t="s">
        <v>13</v>
      </c>
      <c r="U748" s="2" t="s">
        <v>45</v>
      </c>
      <c r="V748" s="2" t="s">
        <v>46</v>
      </c>
      <c r="W748" s="2" t="s">
        <v>47</v>
      </c>
      <c r="X748" s="2" t="s">
        <v>48</v>
      </c>
      <c r="Y748" s="2" t="s">
        <v>49</v>
      </c>
      <c r="Z748" s="2" t="s">
        <v>50</v>
      </c>
      <c r="AA748" s="2" t="s">
        <v>127</v>
      </c>
    </row>
    <row r="749" spans="2:27" hidden="1" outlineLevel="1" x14ac:dyDescent="0.3">
      <c r="C749" s="18" t="s">
        <v>54</v>
      </c>
      <c r="D749" s="19">
        <f>分布式光伏电站IRR汇总!$B$5</f>
        <v>5</v>
      </c>
      <c r="F749" s="6" t="s">
        <v>14</v>
      </c>
      <c r="G749" s="33">
        <f>D770</f>
        <v>24.611999999999995</v>
      </c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 spans="2:27" hidden="1" outlineLevel="1" x14ac:dyDescent="0.3">
      <c r="C750" s="18" t="s">
        <v>55</v>
      </c>
      <c r="D750" s="19">
        <f>分布式光伏电站IRR汇总!$B$6</f>
        <v>15</v>
      </c>
      <c r="F750" s="6" t="s">
        <v>15</v>
      </c>
      <c r="G750" s="33">
        <f>SUM(H751:AA751)</f>
        <v>12.385144234005573</v>
      </c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 spans="2:27" hidden="1" outlineLevel="1" x14ac:dyDescent="0.3">
      <c r="C751" s="18" t="s">
        <v>42</v>
      </c>
      <c r="D751" s="19">
        <f>分布式光伏电站IRR汇总!$B$7</f>
        <v>4.1019999999999994</v>
      </c>
      <c r="F751" s="7" t="s">
        <v>16</v>
      </c>
      <c r="G751" s="33"/>
      <c r="H751" s="33">
        <f>D770*(1-D768)/D764/((1+G745)^H747)</f>
        <v>1.0925887850467286</v>
      </c>
      <c r="I751" s="33">
        <f>D770*(1-D768)/D764/((1+G745)^I747)</f>
        <v>1.0211110140623632</v>
      </c>
      <c r="J751" s="33">
        <f>D770*(1-D768)/D764/((1+G745)^J747)</f>
        <v>0.95430935893678792</v>
      </c>
      <c r="K751" s="33">
        <f>D770*(1-D768)/D764/((1+G745)^K747)</f>
        <v>0.89187790554839996</v>
      </c>
      <c r="L751" s="33">
        <f>D770*(1-D768)/D764/((1+G745)^L747)</f>
        <v>0.83353075284897193</v>
      </c>
      <c r="M751" s="33">
        <f>D770*(1-D768)/D764/((1+G745)^M747)</f>
        <v>0.77900070359717</v>
      </c>
      <c r="N751" s="33">
        <f>D770*(1-D768)/D764/((1+G745)^N747)</f>
        <v>0.72803804074501866</v>
      </c>
      <c r="O751" s="33">
        <f>D770*(1-D768)/D764/((1+G745)^O747)</f>
        <v>0.6804093838738493</v>
      </c>
      <c r="P751" s="33">
        <f>D770*(1-D768)/D764/((1+G745)^P747)</f>
        <v>0.63589662044284967</v>
      </c>
      <c r="Q751" s="33">
        <f>D770*(1-D768)/D764/((1+G745)^Q747)</f>
        <v>0.59429590695593437</v>
      </c>
      <c r="R751" s="33">
        <f>D770*(1-D768)/D764/((1+G745)^R747)</f>
        <v>0.55541673547283577</v>
      </c>
      <c r="S751" s="33">
        <f>D770*(1-D768)/D764/((1+G745)^S747)</f>
        <v>0.51908106118956621</v>
      </c>
      <c r="T751" s="33">
        <f>D770*(1-D768)/D764/((1+G745)^T747)</f>
        <v>0.4851224870930525</v>
      </c>
      <c r="U751" s="33">
        <f>D770*(1-D768)/D764/((1+G745)^U747)</f>
        <v>0.45338550195612387</v>
      </c>
      <c r="V751" s="33">
        <f>D770*(1-D768)/D764/((1+G745)^V747)</f>
        <v>0.4237247681832933</v>
      </c>
      <c r="W751" s="33">
        <f>D770*(1-D768)/D764/((1+G745)^W747)</f>
        <v>0.39600445624606856</v>
      </c>
      <c r="X751" s="33">
        <f>D770*(1-D768)/D764/((1+G745)^X747)</f>
        <v>0.37009762265987711</v>
      </c>
      <c r="Y751" s="33">
        <f>D770*(1-D768)/D764/((1+G745)^Y747)</f>
        <v>0.34588562865409078</v>
      </c>
      <c r="Z751" s="33">
        <f>D770*(1-D768)/D764/((1+G745)^Z747)</f>
        <v>0.323257596872982</v>
      </c>
      <c r="AA751" s="33">
        <f>D770*(1-D768)/D764/((1+G745)^AA747)</f>
        <v>0.30210990361960938</v>
      </c>
    </row>
    <row r="752" spans="2:27" hidden="1" outlineLevel="1" x14ac:dyDescent="0.3">
      <c r="C752" s="21" t="s">
        <v>32</v>
      </c>
      <c r="D752" s="19">
        <f>分布式光伏电站IRR汇总!$B$8</f>
        <v>1.8870000000000002</v>
      </c>
      <c r="F752" s="6" t="s">
        <v>17</v>
      </c>
      <c r="G752" s="33">
        <f>SUM(H753:AA753)</f>
        <v>2.5425634189238777</v>
      </c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 spans="3:27" hidden="1" outlineLevel="1" x14ac:dyDescent="0.3">
      <c r="C753" s="21" t="s">
        <v>33</v>
      </c>
      <c r="D753" s="19">
        <f>分布式光伏电站IRR汇总!$B$9</f>
        <v>0.18500000000000003</v>
      </c>
      <c r="F753" s="7" t="s">
        <v>18</v>
      </c>
      <c r="G753" s="33"/>
      <c r="H753" s="33">
        <f>D767*D746/((1+G745)^H747)</f>
        <v>0.22429906542056072</v>
      </c>
      <c r="I753" s="33">
        <f>D767*D746/((1+G745)^I747)</f>
        <v>0.20962529478557079</v>
      </c>
      <c r="J753" s="33">
        <f>D767*D746/((1+G745)^J747)</f>
        <v>0.19591149045380446</v>
      </c>
      <c r="K753" s="33">
        <f>D767*D746/((1+G745)^K747)</f>
        <v>0.18309485089140604</v>
      </c>
      <c r="L753" s="33">
        <f>D767*D746/((1+G745)^L747)</f>
        <v>0.17111668307608041</v>
      </c>
      <c r="M753" s="33">
        <f>D767*D746/((1+G745)^M747)</f>
        <v>0.15992213371596301</v>
      </c>
      <c r="N753" s="33">
        <f>D767*D746/((1+G745)^N747)</f>
        <v>0.14945993805230187</v>
      </c>
      <c r="O753" s="33">
        <f>D767*D746/((1+G745)^O747)</f>
        <v>0.13968218509560923</v>
      </c>
      <c r="P753" s="33">
        <f>D767*D746/((1+G745)^P747)</f>
        <v>0.13054409822019553</v>
      </c>
      <c r="Q753" s="33">
        <f>D767*D746/((1+G745)^Q747)</f>
        <v>0.12200383011233226</v>
      </c>
      <c r="R753" s="33">
        <f>D767*D746/((1+G745)^R747)</f>
        <v>0.1140222711330208</v>
      </c>
      <c r="S753" s="33">
        <f>D767*D746/((1+G745)^S747)</f>
        <v>0.10656287021777647</v>
      </c>
      <c r="T753" s="33">
        <f>D767*D746/((1+G745)^T747)</f>
        <v>9.9591467493249028E-2</v>
      </c>
      <c r="U753" s="33">
        <f>D767*D746/((1+G745)^U747)</f>
        <v>9.3076137844157969E-2</v>
      </c>
      <c r="V753" s="33">
        <f>D767*D746/((1+G745)^V747)</f>
        <v>8.6987044714166323E-2</v>
      </c>
      <c r="W753" s="33">
        <f>D767*D746/((1+G745)^W747)</f>
        <v>8.1296303471183481E-2</v>
      </c>
      <c r="X753" s="33">
        <f>D767*D746/((1+G745)^X747)</f>
        <v>7.5977853711386434E-2</v>
      </c>
      <c r="Y753" s="33">
        <f>D767*D746/((1+G745)^Y747)</f>
        <v>7.1007339917183582E-2</v>
      </c>
      <c r="Z753" s="33">
        <f>D767*D746/((1+G745)^Z747)</f>
        <v>6.6361999922601472E-2</v>
      </c>
      <c r="AA753" s="33">
        <f>D767*D746/((1+G745)^AA747)</f>
        <v>6.2020560675328483E-2</v>
      </c>
    </row>
    <row r="754" spans="3:27" hidden="1" outlineLevel="1" x14ac:dyDescent="0.3">
      <c r="C754" s="21" t="s">
        <v>34</v>
      </c>
      <c r="D754" s="19">
        <f>分布式光伏电站IRR汇总!$B$10</f>
        <v>0.222</v>
      </c>
      <c r="F754" s="6" t="s">
        <v>19</v>
      </c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>
        <f>D767*D770/((1+G745)^AA747)</f>
        <v>0.2544083398901974</v>
      </c>
    </row>
    <row r="755" spans="3:27" hidden="1" outlineLevel="1" x14ac:dyDescent="0.3">
      <c r="C755" s="21" t="s">
        <v>35</v>
      </c>
      <c r="D755" s="19">
        <f>分布式光伏电站IRR汇总!$B$11</f>
        <v>0.44400000000000001</v>
      </c>
      <c r="F755" s="8" t="s">
        <v>64</v>
      </c>
      <c r="G755" s="33">
        <f>SUM(H756:AA756)</f>
        <v>72468.339228659621</v>
      </c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 spans="3:27" hidden="1" outlineLevel="1" x14ac:dyDescent="0.3">
      <c r="C756" s="21" t="s">
        <v>36</v>
      </c>
      <c r="D756" s="19">
        <f>分布式光伏电站IRR汇总!$B$12</f>
        <v>0.222</v>
      </c>
      <c r="F756" s="9" t="s">
        <v>65</v>
      </c>
      <c r="G756" s="33"/>
      <c r="H756" s="33">
        <f>D746*D763*(1-D765)*D769/((1+G745)^H747)</f>
        <v>6605.4271401869146</v>
      </c>
      <c r="I756" s="33">
        <f>D746*D763*(1-D765)*(1-D766)^(I747-1)*D769/((1+G745)^I747)</f>
        <v>6145.5165589309108</v>
      </c>
      <c r="J756" s="33">
        <f>D746*D763*(1-D765)*(1-D766)^(J747-1)*D769/((1+G745)^J747)</f>
        <v>5717.6277891735708</v>
      </c>
      <c r="K756" s="33">
        <f>D746*D763*(1-D765)*(1-D766)^(K747-1)*D769/((1+G745)^K747)</f>
        <v>5319.5312748806464</v>
      </c>
      <c r="L756" s="33">
        <f>D746*D763*(1-D765)*(1-D766)^(L747-1)*D769/((1+G745)^L747)</f>
        <v>4949.1526954613855</v>
      </c>
      <c r="M756" s="33">
        <f>D746*D763*(1-D765)*(1-D766)^(M747-1)*D769/((1+G745)^M747)</f>
        <v>4604.5621573194494</v>
      </c>
      <c r="N756" s="33">
        <f>D746*D763*(1-D765)*(1-D766)^(N747-1)*D769/((1+G745)^N747)</f>
        <v>4283.9641379546829</v>
      </c>
      <c r="O756" s="33">
        <f>D746*D763*(1-D765)*(1-D766)^(O747-1)*D769/((1+G745)^O747)</f>
        <v>3985.6881302185866</v>
      </c>
      <c r="P756" s="33">
        <f>D746*D763*(1-D765)*(1-D766)^(P747-1)*D769/((1+G745)^P747)</f>
        <v>3708.1799379743952</v>
      </c>
      <c r="Q756" s="33">
        <f>D746*D763*(1-D765)*(1-D766)^(Q747-1)*D769/((1+G745)^Q747)</f>
        <v>3449.9935778070194</v>
      </c>
      <c r="R756" s="33">
        <f>D746*D763*(1-D765)*(1-D766)^(R747-1)*D769/((1+G745)^R747)</f>
        <v>3209.7837445858768</v>
      </c>
      <c r="S756" s="33">
        <f>D746*D763*(1-D765)*(1-D766)^(S747-1)*D769/((1+G745)^S747)</f>
        <v>2986.29880162172</v>
      </c>
      <c r="T756" s="33">
        <f>D746*D763*(1-D765)*(1-D766)^(T747-1)*D769/((1+G745)^T747)</f>
        <v>2778.374258891984</v>
      </c>
      <c r="U756" s="33">
        <f>D746*D763*(1-D765)*(1-D766)^(U747-1)*D769/((1+G745)^U747)</f>
        <v>2584.9267053523081</v>
      </c>
      <c r="V756" s="33">
        <f>D746*D763*(1-D765)*(1-D766)^(V747-1)*D769/((1+G745)^V747)</f>
        <v>2404.9481637179651</v>
      </c>
      <c r="W756" s="33">
        <f>D746*D763*(1-D765)*(1-D766)^(W747-1)*D769/((1+G745)^W747)</f>
        <v>2237.5008383002196</v>
      </c>
      <c r="X756" s="33">
        <f>D746*D763*(1-D765)*(1-D766)^(X747-1)*D769/((1+G745)^X747)</f>
        <v>2081.7122285307182</v>
      </c>
      <c r="Y756" s="33">
        <f>D746*D763*(1-D765)*(1-D766)^(Y747-1)*D769/((1+G745)^Y747)</f>
        <v>1936.7705827124582</v>
      </c>
      <c r="Z756" s="33">
        <f>D746*D763*(1-D765)*(1-D766)^(Z747-1)*D769/((1+G745)^Z747)</f>
        <v>1801.920668308647</v>
      </c>
      <c r="AA756" s="33">
        <f>D746*D763*(1-D765)*(1-D766)^(AA747-1)*D769/((1+G745)^AA747)</f>
        <v>1676.459836730148</v>
      </c>
    </row>
    <row r="757" spans="3:27" hidden="1" outlineLevel="1" x14ac:dyDescent="0.3">
      <c r="C757" s="21" t="s">
        <v>37</v>
      </c>
      <c r="D757" s="19">
        <f>分布式光伏电站IRR汇总!$B$13</f>
        <v>0.15</v>
      </c>
      <c r="F757" s="4" t="s">
        <v>66</v>
      </c>
      <c r="G757" s="33">
        <f>SUM(H758:AA758)</f>
        <v>49.720455076444139</v>
      </c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 spans="3:27" hidden="1" outlineLevel="1" x14ac:dyDescent="0.3">
      <c r="C758" s="21" t="s">
        <v>38</v>
      </c>
      <c r="D758" s="19">
        <f>分布式光伏电站IRR汇总!$B$14</f>
        <v>3.7000000000000005E-2</v>
      </c>
      <c r="F758" s="7" t="s">
        <v>67</v>
      </c>
      <c r="G758" s="33"/>
      <c r="H758" s="33">
        <f>H756*D774/1000</f>
        <v>4.5319769554551019</v>
      </c>
      <c r="I758" s="33">
        <f>I756*D774/1000</f>
        <v>4.2164327655659388</v>
      </c>
      <c r="J758" s="33">
        <f>J756*D774/1000</f>
        <v>3.9228587085241982</v>
      </c>
      <c r="K758" s="33">
        <f>K756*D774/1000</f>
        <v>3.6497250881643368</v>
      </c>
      <c r="L758" s="33">
        <f>L756*D774/1000</f>
        <v>3.3956087152033612</v>
      </c>
      <c r="M758" s="33">
        <f>M756*D774/1000</f>
        <v>3.1591854915747173</v>
      </c>
      <c r="N758" s="33">
        <f>N756*D774/1000</f>
        <v>2.9392235110865701</v>
      </c>
      <c r="O758" s="33">
        <f>O756*D774/1000</f>
        <v>2.7345766404548422</v>
      </c>
      <c r="P758" s="33">
        <f>P756*D774/1000</f>
        <v>2.5441785472642944</v>
      </c>
      <c r="Q758" s="33">
        <f>Q756*D774/1000</f>
        <v>2.3670371437398181</v>
      </c>
      <c r="R758" s="33">
        <f>R756*D774/1000</f>
        <v>2.2022294173766253</v>
      </c>
      <c r="S758" s="33">
        <f>S756*D774/1000</f>
        <v>2.0488966214938604</v>
      </c>
      <c r="T758" s="33">
        <f>T756*D774/1000</f>
        <v>1.9062398006515313</v>
      </c>
      <c r="U758" s="33">
        <f>U756*D774/1000</f>
        <v>1.7735156276155133</v>
      </c>
      <c r="V758" s="33">
        <f>V756*D774/1000</f>
        <v>1.6500325301787322</v>
      </c>
      <c r="W758" s="33">
        <f>W756*D774/1000</f>
        <v>1.5351470876569424</v>
      </c>
      <c r="X758" s="33">
        <f>X756*D774/1000</f>
        <v>1.4282606782826972</v>
      </c>
      <c r="Y758" s="33">
        <f>Y756*D774/1000</f>
        <v>1.3288163600284348</v>
      </c>
      <c r="Z758" s="33">
        <f>Z756*D774/1000</f>
        <v>1.2362959686058943</v>
      </c>
      <c r="AA758" s="33">
        <f>AA756*D774/1000</f>
        <v>1.1502174175207178</v>
      </c>
    </row>
    <row r="759" spans="3:27" hidden="1" outlineLevel="1" x14ac:dyDescent="0.3">
      <c r="C759" s="21" t="s">
        <v>39</v>
      </c>
      <c r="D759" s="19">
        <f>分布式光伏电站IRR汇总!$B$15</f>
        <v>0.25900000000000006</v>
      </c>
      <c r="F759" s="4" t="s">
        <v>20</v>
      </c>
      <c r="G759" s="33">
        <f>SUM(H760:V760)</f>
        <v>7.5520072942925767</v>
      </c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 spans="3:27" hidden="1" outlineLevel="1" x14ac:dyDescent="0.3">
      <c r="C760" s="21" t="s">
        <v>40</v>
      </c>
      <c r="D760" s="19">
        <f>分布式光伏电站IRR汇总!$B$16</f>
        <v>7.400000000000001E-2</v>
      </c>
      <c r="F760" s="7" t="s">
        <v>21</v>
      </c>
      <c r="G760" s="33"/>
      <c r="H760" s="33">
        <f>(H758-H751-H753)*G746</f>
        <v>0.80377227624695313</v>
      </c>
      <c r="I760" s="33">
        <f>(I758-I751-I753)*G746</f>
        <v>0.74642411417950116</v>
      </c>
      <c r="J760" s="33">
        <f>(J758-J751-J753)*G746</f>
        <v>0.6931594647834014</v>
      </c>
      <c r="K760" s="33">
        <f>(K758-K751-K753)*G746</f>
        <v>0.64368808293113278</v>
      </c>
      <c r="L760" s="33">
        <f>(L758-L751-L753)*G746</f>
        <v>0.5977403198195772</v>
      </c>
      <c r="M760" s="33">
        <f>(M758-M751-M753)*G746</f>
        <v>0.55506566356539599</v>
      </c>
      <c r="N760" s="33">
        <f>(N758-N751-N753)*G746</f>
        <v>0.5154313830723124</v>
      </c>
      <c r="O760" s="33">
        <f>(O758-O751-O753)*G746</f>
        <v>0.47862126787134596</v>
      </c>
      <c r="P760" s="33">
        <f>(P758-P751-P753)*G746</f>
        <v>0.44443445715031227</v>
      </c>
      <c r="Q760" s="33">
        <f>(Q758-Q751-Q753)*G746</f>
        <v>0.41268435166788786</v>
      </c>
      <c r="R760" s="33">
        <f>(R758-R751-R753)*G746</f>
        <v>0.38319760269269221</v>
      </c>
      <c r="S760" s="33">
        <f>(S758-S751-S753)*G746</f>
        <v>0.35581317252162942</v>
      </c>
      <c r="T760" s="33">
        <f>(T758-T751-T753)*G746</f>
        <v>0.33038146151630748</v>
      </c>
      <c r="U760" s="33">
        <f>(U758-U751-U753)*G746</f>
        <v>0.30676349695380783</v>
      </c>
      <c r="V760" s="33">
        <f>(V758-V751-V753)*G746</f>
        <v>0.28483017932031818</v>
      </c>
      <c r="W760" s="33">
        <f>(W758-W751-W753)*G746</f>
        <v>0.26446158198492259</v>
      </c>
      <c r="X760" s="33">
        <f>(X758-X751-X753)*G746</f>
        <v>0.24554630047785841</v>
      </c>
      <c r="Y760" s="33">
        <f>(Y758-Y751-Y753)*G746</f>
        <v>0.22798084786429013</v>
      </c>
      <c r="Z760" s="33">
        <f>(Z758-Z751-Z753)*G746</f>
        <v>0.21166909295257769</v>
      </c>
      <c r="AA760" s="33">
        <f>(AA758-AA751-AA753)*G746</f>
        <v>0.19652173830644501</v>
      </c>
    </row>
    <row r="761" spans="3:27" hidden="1" outlineLevel="1" x14ac:dyDescent="0.3">
      <c r="C761" s="21" t="s">
        <v>41</v>
      </c>
      <c r="D761" s="19">
        <f>分布式光伏电站IRR汇总!$B$17</f>
        <v>0.222</v>
      </c>
      <c r="F761" s="10" t="s">
        <v>22</v>
      </c>
      <c r="G761" s="33">
        <f>-G749</f>
        <v>-24.611999999999995</v>
      </c>
      <c r="H761" s="33">
        <f t="shared" ref="H761:AA761" si="230">H758-H760-H753</f>
        <v>3.5039056137875879</v>
      </c>
      <c r="I761" s="33">
        <f t="shared" si="230"/>
        <v>3.2603833566008671</v>
      </c>
      <c r="J761" s="33">
        <f t="shared" si="230"/>
        <v>3.0337877532869921</v>
      </c>
      <c r="K761" s="33">
        <f t="shared" si="230"/>
        <v>2.8229421543417983</v>
      </c>
      <c r="L761" s="33">
        <f t="shared" si="230"/>
        <v>2.6267517123077031</v>
      </c>
      <c r="M761" s="33">
        <f t="shared" si="230"/>
        <v>2.4441976942933583</v>
      </c>
      <c r="N761" s="33">
        <f t="shared" si="230"/>
        <v>2.2743321899619557</v>
      </c>
      <c r="O761" s="33">
        <f t="shared" si="230"/>
        <v>2.1162731874878871</v>
      </c>
      <c r="P761" s="33">
        <f t="shared" si="230"/>
        <v>1.9691999918937868</v>
      </c>
      <c r="Q761" s="33">
        <f t="shared" si="230"/>
        <v>1.8323489619595981</v>
      </c>
      <c r="R761" s="33">
        <f t="shared" si="230"/>
        <v>1.7050095435509123</v>
      </c>
      <c r="S761" s="33">
        <f t="shared" si="230"/>
        <v>1.5865205787544545</v>
      </c>
      <c r="T761" s="33">
        <f t="shared" si="230"/>
        <v>1.4762668716419749</v>
      </c>
      <c r="U761" s="33">
        <f t="shared" si="230"/>
        <v>1.3736759928175475</v>
      </c>
      <c r="V761" s="33">
        <f t="shared" si="230"/>
        <v>1.2782153061442476</v>
      </c>
      <c r="W761" s="33">
        <f t="shared" si="230"/>
        <v>1.1893892022008363</v>
      </c>
      <c r="X761" s="33">
        <f t="shared" si="230"/>
        <v>1.1067365240934524</v>
      </c>
      <c r="Y761" s="33">
        <f t="shared" si="230"/>
        <v>1.0298281722469611</v>
      </c>
      <c r="Z761" s="33">
        <f t="shared" si="230"/>
        <v>0.95826487573071506</v>
      </c>
      <c r="AA761" s="33">
        <f t="shared" si="230"/>
        <v>0.89167511853894432</v>
      </c>
    </row>
    <row r="762" spans="3:27" ht="13.5" hidden="1" outlineLevel="1" thickBot="1" x14ac:dyDescent="0.35">
      <c r="C762" s="21" t="s">
        <v>74</v>
      </c>
      <c r="D762" s="19">
        <f>分布式光伏电站IRR汇总!$B$18</f>
        <v>0.4</v>
      </c>
      <c r="F762" s="3" t="s">
        <v>61</v>
      </c>
      <c r="G762" s="35">
        <f>SUM(G761:AA761)/G749</f>
        <v>0.563452982351763</v>
      </c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3:27" ht="13.5" hidden="1" outlineLevel="1" thickTop="1" x14ac:dyDescent="0.3">
      <c r="C763" s="18" t="s">
        <v>58</v>
      </c>
      <c r="D763" s="19">
        <f>分布式光伏电站IRR汇总!$B$19</f>
        <v>0.86599999999999999</v>
      </c>
    </row>
    <row r="764" spans="3:27" hidden="1" outlineLevel="1" x14ac:dyDescent="0.3">
      <c r="C764" s="18" t="s">
        <v>62</v>
      </c>
      <c r="D764" s="19">
        <f>分布式光伏电站IRR汇总!$B$20</f>
        <v>20</v>
      </c>
      <c r="F764" s="13" t="s">
        <v>25</v>
      </c>
      <c r="G764" s="14">
        <v>0</v>
      </c>
    </row>
    <row r="765" spans="3:27" hidden="1" outlineLevel="1" x14ac:dyDescent="0.3">
      <c r="C765" s="18" t="s">
        <v>59</v>
      </c>
      <c r="D765" s="52">
        <f>分布式光伏电站IRR汇总!$B$21</f>
        <v>0.02</v>
      </c>
      <c r="F765" s="13" t="s">
        <v>26</v>
      </c>
      <c r="G765" s="14">
        <v>0.25</v>
      </c>
      <c r="Q765" s="15"/>
    </row>
    <row r="766" spans="3:27" hidden="1" outlineLevel="1" x14ac:dyDescent="0.3">
      <c r="C766" s="18" t="s">
        <v>60</v>
      </c>
      <c r="D766" s="52">
        <f>分布式光伏电站IRR汇总!$B$22</f>
        <v>4.4999999999999997E-3</v>
      </c>
      <c r="F766" s="1" t="s">
        <v>44</v>
      </c>
      <c r="G766" s="4"/>
      <c r="H766" s="5">
        <v>1</v>
      </c>
      <c r="I766" s="5">
        <v>2</v>
      </c>
      <c r="J766" s="5">
        <v>3</v>
      </c>
      <c r="K766" s="5">
        <v>4</v>
      </c>
      <c r="L766" s="5">
        <v>5</v>
      </c>
      <c r="M766" s="5">
        <v>6</v>
      </c>
      <c r="N766" s="5">
        <v>7</v>
      </c>
      <c r="O766" s="5">
        <v>8</v>
      </c>
      <c r="P766" s="5">
        <v>9</v>
      </c>
      <c r="Q766" s="5">
        <v>10</v>
      </c>
      <c r="R766" s="5">
        <v>11</v>
      </c>
      <c r="S766" s="5">
        <v>12</v>
      </c>
      <c r="T766" s="5">
        <v>13</v>
      </c>
      <c r="U766" s="5">
        <v>14</v>
      </c>
      <c r="V766" s="5">
        <v>15</v>
      </c>
      <c r="W766" s="5">
        <v>16</v>
      </c>
      <c r="X766" s="5">
        <v>17</v>
      </c>
      <c r="Y766" s="5">
        <v>18</v>
      </c>
      <c r="Z766" s="5">
        <v>19</v>
      </c>
      <c r="AA766" s="5">
        <v>20</v>
      </c>
    </row>
    <row r="767" spans="3:27" hidden="1" outlineLevel="1" x14ac:dyDescent="0.3">
      <c r="C767" s="18" t="s">
        <v>28</v>
      </c>
      <c r="D767" s="29">
        <f>分布式光伏电站IRR汇总!$B$23</f>
        <v>0.04</v>
      </c>
      <c r="F767" s="16"/>
      <c r="G767" s="2" t="s">
        <v>0</v>
      </c>
      <c r="H767" s="2" t="s">
        <v>1</v>
      </c>
      <c r="I767" s="2" t="s">
        <v>2</v>
      </c>
      <c r="J767" s="2" t="s">
        <v>3</v>
      </c>
      <c r="K767" s="2" t="s">
        <v>4</v>
      </c>
      <c r="L767" s="2" t="s">
        <v>5</v>
      </c>
      <c r="M767" s="2" t="s">
        <v>6</v>
      </c>
      <c r="N767" s="2" t="s">
        <v>7</v>
      </c>
      <c r="O767" s="2" t="s">
        <v>8</v>
      </c>
      <c r="P767" s="2" t="s">
        <v>9</v>
      </c>
      <c r="Q767" s="2" t="s">
        <v>10</v>
      </c>
      <c r="R767" s="2" t="s">
        <v>11</v>
      </c>
      <c r="S767" s="2" t="s">
        <v>12</v>
      </c>
      <c r="T767" s="2" t="s">
        <v>13</v>
      </c>
      <c r="U767" s="2" t="s">
        <v>45</v>
      </c>
      <c r="V767" s="2" t="s">
        <v>46</v>
      </c>
      <c r="W767" s="2" t="s">
        <v>47</v>
      </c>
      <c r="X767" s="2" t="s">
        <v>48</v>
      </c>
      <c r="Y767" s="2" t="s">
        <v>49</v>
      </c>
      <c r="Z767" s="2" t="s">
        <v>50</v>
      </c>
      <c r="AA767" s="2" t="s">
        <v>51</v>
      </c>
    </row>
    <row r="768" spans="3:27" hidden="1" outlineLevel="1" x14ac:dyDescent="0.3">
      <c r="C768" s="18" t="s">
        <v>43</v>
      </c>
      <c r="D768" s="19">
        <f>分布式光伏电站IRR汇总!$B$24</f>
        <v>0.05</v>
      </c>
      <c r="F768" s="6" t="s">
        <v>14</v>
      </c>
      <c r="G768" s="33">
        <f>D770</f>
        <v>24.611999999999995</v>
      </c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 spans="2:27" hidden="1" outlineLevel="1" x14ac:dyDescent="0.3">
      <c r="C769" s="18" t="s">
        <v>126</v>
      </c>
      <c r="D769" s="28">
        <f>Backup分地区光伏小时数及电价!E17</f>
        <v>1388</v>
      </c>
      <c r="F769" s="6" t="s">
        <v>15</v>
      </c>
      <c r="G769" s="33">
        <f>SUM(H770:AA770)</f>
        <v>23.381399999999985</v>
      </c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 spans="2:27" hidden="1" outlineLevel="1" x14ac:dyDescent="0.3">
      <c r="C770" s="24" t="s">
        <v>14</v>
      </c>
      <c r="D770" s="30">
        <f>D746*D751</f>
        <v>24.611999999999995</v>
      </c>
      <c r="F770" s="7" t="s">
        <v>16</v>
      </c>
      <c r="G770" s="33"/>
      <c r="H770" s="33">
        <f>D770*(1-D768)/D764/((1+G764)^H766)</f>
        <v>1.1690699999999996</v>
      </c>
      <c r="I770" s="33">
        <f>D770*(1-D768)/D764/((1+G764)^I766)</f>
        <v>1.1690699999999996</v>
      </c>
      <c r="J770" s="33">
        <f>D770*(1-D768)/D764/((1+G764)^J766)</f>
        <v>1.1690699999999996</v>
      </c>
      <c r="K770" s="33">
        <f>D770*(1-D768)/D764/((1+G764)^K766)</f>
        <v>1.1690699999999996</v>
      </c>
      <c r="L770" s="33">
        <f>D770*(1-D768)/D764/((1+G764)^L766)</f>
        <v>1.1690699999999996</v>
      </c>
      <c r="M770" s="33">
        <f>D770*(1-D768)/D764/((1+G764)^M766)</f>
        <v>1.1690699999999996</v>
      </c>
      <c r="N770" s="33">
        <f>D770*(1-D768)/D764/((1+G764)^N766)</f>
        <v>1.1690699999999996</v>
      </c>
      <c r="O770" s="33">
        <f>D770*(1-D768)/D764/((1+G764)^O766)</f>
        <v>1.1690699999999996</v>
      </c>
      <c r="P770" s="33">
        <f>D770*(1-D768)/D764/((1+G764)^P766)</f>
        <v>1.1690699999999996</v>
      </c>
      <c r="Q770" s="33">
        <f>D770*(1-D768)/D764/((1+G764)^Q766)</f>
        <v>1.1690699999999996</v>
      </c>
      <c r="R770" s="33">
        <f>D770*(1-D768)/D764/((1+G764)^R766)</f>
        <v>1.1690699999999996</v>
      </c>
      <c r="S770" s="33">
        <f>D770*(1-D768)/D764/((1+G764)^S766)</f>
        <v>1.1690699999999996</v>
      </c>
      <c r="T770" s="33">
        <f>D770*(1-D768)/D764/((1+G764)^T766)</f>
        <v>1.1690699999999996</v>
      </c>
      <c r="U770" s="33">
        <f>D770*(1-D768)/D764/((1+G764)^U766)</f>
        <v>1.1690699999999996</v>
      </c>
      <c r="V770" s="33">
        <f>D770*(1-D768)/D764/((1+G764)^V766)</f>
        <v>1.1690699999999996</v>
      </c>
      <c r="W770" s="33">
        <f>D770*(1-D768)/D764/((1+G764)^W766)</f>
        <v>1.1690699999999996</v>
      </c>
      <c r="X770" s="33">
        <f>D770*(1-D768)/D764/((1+G764)^X766)</f>
        <v>1.1690699999999996</v>
      </c>
      <c r="Y770" s="33">
        <f>D770*(1-D768)/D764/((1+G764)^Y766)</f>
        <v>1.1690699999999996</v>
      </c>
      <c r="Z770" s="33">
        <f>D770*(1-D768)/D764/((1+G764)^Z766)</f>
        <v>1.1690699999999996</v>
      </c>
      <c r="AA770" s="33">
        <f>D770*(1-D768)/D764/((1+G764)^AA766)</f>
        <v>1.1690699999999996</v>
      </c>
    </row>
    <row r="771" spans="2:27" hidden="1" outlineLevel="1" x14ac:dyDescent="0.3">
      <c r="C771" s="18" t="s">
        <v>29</v>
      </c>
      <c r="D771" s="29">
        <v>0.35980000000000001</v>
      </c>
      <c r="F771" s="6" t="s">
        <v>17</v>
      </c>
      <c r="G771" s="33">
        <f>SUM(H772:AA772)</f>
        <v>4.8000000000000025</v>
      </c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 spans="2:27" hidden="1" outlineLevel="1" x14ac:dyDescent="0.3">
      <c r="C772" s="18" t="s">
        <v>30</v>
      </c>
      <c r="D772" s="31">
        <f>Backup分地区光伏小时数及电价!I17</f>
        <v>0.68609900000000001</v>
      </c>
      <c r="F772" s="7" t="s">
        <v>18</v>
      </c>
      <c r="G772" s="33"/>
      <c r="H772" s="33">
        <f>D767*D746/((1+G764)^H766)</f>
        <v>0.24</v>
      </c>
      <c r="I772" s="33">
        <f>D767*D746/((1+G764)^I766)</f>
        <v>0.24</v>
      </c>
      <c r="J772" s="33">
        <f>D767*D746/((1+G764)^J766)</f>
        <v>0.24</v>
      </c>
      <c r="K772" s="33">
        <f>D767*D746/((1+G764)^K766)</f>
        <v>0.24</v>
      </c>
      <c r="L772" s="33">
        <f>D767*D746/((1+G764)^L766)</f>
        <v>0.24</v>
      </c>
      <c r="M772" s="33">
        <f>D767*D746/((1+G764)^M766)</f>
        <v>0.24</v>
      </c>
      <c r="N772" s="33">
        <f>D767*D746/((1+G764)^N766)</f>
        <v>0.24</v>
      </c>
      <c r="O772" s="33">
        <f>D767*D746/((1+G764)^O766)</f>
        <v>0.24</v>
      </c>
      <c r="P772" s="33">
        <f>D767*D746/((1+G764)^P766)</f>
        <v>0.24</v>
      </c>
      <c r="Q772" s="33">
        <f>D767*D746/((1+G764)^Q766)</f>
        <v>0.24</v>
      </c>
      <c r="R772" s="33">
        <f>D767*D746/((1+G764)^R766)</f>
        <v>0.24</v>
      </c>
      <c r="S772" s="33">
        <f>D767*D746/((1+G764)^S766)</f>
        <v>0.24</v>
      </c>
      <c r="T772" s="33">
        <f>D767*D746/((1+G764)^T766)</f>
        <v>0.24</v>
      </c>
      <c r="U772" s="33">
        <f>D767*D746/((1+G764)^U766)</f>
        <v>0.24</v>
      </c>
      <c r="V772" s="33">
        <f>D767*D746/((1+G764)^V766)</f>
        <v>0.24</v>
      </c>
      <c r="W772" s="33">
        <f>D767*D746/((1+G764)^W766)</f>
        <v>0.24</v>
      </c>
      <c r="X772" s="33">
        <f>D767*D746/((1+G764)^X766)</f>
        <v>0.24</v>
      </c>
      <c r="Y772" s="33">
        <f>D767*D746/((1+G764)^Y766)</f>
        <v>0.24</v>
      </c>
      <c r="Z772" s="33">
        <f>D767*D746/((1+G764)^Z766)</f>
        <v>0.24</v>
      </c>
      <c r="AA772" s="33">
        <f>D767*D746/((1+G764)^AA766)</f>
        <v>0.24</v>
      </c>
    </row>
    <row r="773" spans="2:27" hidden="1" outlineLevel="1" x14ac:dyDescent="0.3">
      <c r="C773" s="18" t="s">
        <v>70</v>
      </c>
      <c r="D773" s="32">
        <f>分布式光伏电站IRR汇总!$B$27</f>
        <v>1</v>
      </c>
      <c r="F773" s="6" t="s">
        <v>19</v>
      </c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>
        <f>D767*D770/((1+G764)^AA766)</f>
        <v>0.9844799999999998</v>
      </c>
    </row>
    <row r="774" spans="2:27" hidden="1" outlineLevel="1" x14ac:dyDescent="0.3">
      <c r="C774" s="18" t="s">
        <v>69</v>
      </c>
      <c r="D774" s="31">
        <f>D773*D772</f>
        <v>0.68609900000000001</v>
      </c>
      <c r="F774" s="8" t="s">
        <v>64</v>
      </c>
      <c r="G774" s="33">
        <f>SUM(H775:AA775)</f>
        <v>135473.25009845162</v>
      </c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 spans="2:27" hidden="1" outlineLevel="1" x14ac:dyDescent="0.3">
      <c r="C775" s="18" t="s">
        <v>31</v>
      </c>
      <c r="D775" s="27">
        <v>0</v>
      </c>
      <c r="F775" s="9" t="s">
        <v>65</v>
      </c>
      <c r="G775" s="33"/>
      <c r="H775" s="33">
        <f>D746*D763*(1-D765)*D769/((1+G764)^H766)</f>
        <v>7067.8070399999988</v>
      </c>
      <c r="I775" s="33">
        <f>D746*D763*(1-D765)*(1-D766)^(I766-1)*D769/((1+G764)^I766)</f>
        <v>7036.0019083199995</v>
      </c>
      <c r="J775" s="33">
        <f>D746*D763*(1-D765)*(1-D766)^(J766-1)*D769/((1+G764)^J766)</f>
        <v>7004.3398997325594</v>
      </c>
      <c r="K775" s="33">
        <f>D746*D763*(1-D765)*(1-D766)^(K766-1)*D769/((1+G764)^K766)</f>
        <v>6972.8203701837647</v>
      </c>
      <c r="L775" s="33">
        <f>D746*D763*(1-D765)*(1-D766)^(L766-1)*D769/((1+G764)^L766)</f>
        <v>6941.4426785179376</v>
      </c>
      <c r="M775" s="33">
        <f>D746*D763*(1-D765)*(1-D766)^(M766-1)*D769/((1+G764)^M766)</f>
        <v>6910.2061864646075</v>
      </c>
      <c r="N775" s="33">
        <f>D746*D763*(1-D765)*(1-D766)^(N766-1)*D769/((1+G764)^N766)</f>
        <v>6879.1102586255165</v>
      </c>
      <c r="O775" s="33">
        <f>D746*D763*(1-D765)*(1-D766)^(O766-1)*D769/((1+G764)^O766)</f>
        <v>6848.1542624617023</v>
      </c>
      <c r="P775" s="33">
        <f>D746*D763*(1-D765)*(1-D766)^(P766-1)*D769/((1+G764)^P766)</f>
        <v>6817.3375682806254</v>
      </c>
      <c r="Q775" s="33">
        <f>D746*D763*(1-D765)*(1-D766)^(Q766-1)*D769/((1+G764)^Q766)</f>
        <v>6786.6595492233628</v>
      </c>
      <c r="R775" s="33">
        <f>D746*D763*(1-D765)*(1-D766)^(R766-1)*D769/((1+G764)^R766)</f>
        <v>6756.119581251859</v>
      </c>
      <c r="S775" s="33">
        <f>D746*D763*(1-D765)*(1-D766)^(S766-1)*D769/((1+G764)^S766)</f>
        <v>6725.7170431362247</v>
      </c>
      <c r="T775" s="33">
        <f>D746*D763*(1-D765)*(1-D766)^(T766-1)*D769/((1+G764)^T766)</f>
        <v>6695.4513164421132</v>
      </c>
      <c r="U775" s="33">
        <f>D746*D763*(1-D765)*(1-D766)^(U766-1)*D769/((1+G764)^U766)</f>
        <v>6665.3217855181229</v>
      </c>
      <c r="V775" s="33">
        <f>D746*D763*(1-D765)*(1-D766)^(V766-1)*D769/((1+G764)^V766)</f>
        <v>6635.3278374832917</v>
      </c>
      <c r="W775" s="33">
        <f>D746*D763*(1-D765)*(1-D766)^(W766-1)*D769/((1+G764)^W766)</f>
        <v>6605.4688622146177</v>
      </c>
      <c r="X775" s="33">
        <f>D746*D763*(1-D765)*(1-D766)^(X766-1)*D769/((1+G764)^X766)</f>
        <v>6575.7442523346526</v>
      </c>
      <c r="Y775" s="33">
        <f>D746*D763*(1-D765)*(1-D766)^(Y766-1)*D769/((1+G764)^Y766)</f>
        <v>6546.1534031991469</v>
      </c>
      <c r="Z775" s="33">
        <f>D746*D763*(1-D765)*(1-D766)^(Z766-1)*D769/((1+G764)^Z766)</f>
        <v>6516.6957128847516</v>
      </c>
      <c r="AA775" s="33">
        <f>D746*D763*(1-D765)*(1-D766)^(AA766-1)*D769/((1+G764)^AA766)</f>
        <v>6487.3705821767708</v>
      </c>
    </row>
    <row r="776" spans="2:27" hidden="1" outlineLevel="1" x14ac:dyDescent="0.3">
      <c r="F776" s="4" t="s">
        <v>66</v>
      </c>
      <c r="G776" s="33">
        <f>SUM(H777:AA777)</f>
        <v>92.948061419297559</v>
      </c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 spans="2:27" hidden="1" outlineLevel="1" x14ac:dyDescent="0.3">
      <c r="F777" s="7" t="s">
        <v>67</v>
      </c>
      <c r="G777" s="33"/>
      <c r="H777" s="33">
        <f>H775*D774/1000</f>
        <v>4.8492153423369588</v>
      </c>
      <c r="I777" s="33">
        <f>I775*D774/1000</f>
        <v>4.827393873296443</v>
      </c>
      <c r="J777" s="33">
        <f>J775*D774/1000</f>
        <v>4.8056706008666099</v>
      </c>
      <c r="K777" s="33">
        <f>K775*D774/1000</f>
        <v>4.7840450831627113</v>
      </c>
      <c r="L777" s="33">
        <f>L775*D774/1000</f>
        <v>4.7625168802884783</v>
      </c>
      <c r="M777" s="33">
        <f>M775*D774/1000</f>
        <v>4.7410855543271806</v>
      </c>
      <c r="N777" s="33">
        <f>N775*D774/1000</f>
        <v>4.7197506693327087</v>
      </c>
      <c r="O777" s="33">
        <f>O775*D774/1000</f>
        <v>4.6985117913207111</v>
      </c>
      <c r="P777" s="33">
        <f>P775*D774/1000</f>
        <v>4.677368488259769</v>
      </c>
      <c r="Q777" s="33">
        <f>Q775*D774/1000</f>
        <v>4.6563203300626004</v>
      </c>
      <c r="R777" s="33">
        <f>R775*D774/1000</f>
        <v>4.6353668885773196</v>
      </c>
      <c r="S777" s="33">
        <f>S775*D774/1000</f>
        <v>4.6145077375787205</v>
      </c>
      <c r="T777" s="33">
        <f>T775*D774/1000</f>
        <v>4.593742452759618</v>
      </c>
      <c r="U777" s="33">
        <f>U775*D774/1000</f>
        <v>4.5730706117221986</v>
      </c>
      <c r="V777" s="33">
        <f>V775*D774/1000</f>
        <v>4.5524917939694491</v>
      </c>
      <c r="W777" s="33">
        <f>W775*D774/1000</f>
        <v>4.5320055808965876</v>
      </c>
      <c r="X777" s="33">
        <f>X775*D774/1000</f>
        <v>4.5116115557825536</v>
      </c>
      <c r="Y777" s="33">
        <f>Y775*D774/1000</f>
        <v>4.4913093037815317</v>
      </c>
      <c r="Z777" s="33">
        <f>Z775*D774/1000</f>
        <v>4.4710984119145154</v>
      </c>
      <c r="AA777" s="33">
        <f>AA775*D774/1000</f>
        <v>4.4509784690609004</v>
      </c>
    </row>
    <row r="778" spans="2:27" hidden="1" outlineLevel="1" x14ac:dyDescent="0.3">
      <c r="F778" s="4" t="s">
        <v>20</v>
      </c>
      <c r="G778" s="33">
        <f>SUM(H779:AA779)</f>
        <v>16.191665354824398</v>
      </c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 spans="2:27" hidden="1" outlineLevel="1" x14ac:dyDescent="0.3">
      <c r="F779" s="7" t="s">
        <v>21</v>
      </c>
      <c r="G779" s="33"/>
      <c r="H779" s="33">
        <f>(H777-H770-H772)*G765</f>
        <v>0.86003633558423975</v>
      </c>
      <c r="I779" s="33">
        <f>(I777-I770-I772)*G765</f>
        <v>0.85458096832411079</v>
      </c>
      <c r="J779" s="33">
        <f>(J777-J770-J772)*G765</f>
        <v>0.84915015021665252</v>
      </c>
      <c r="K779" s="33">
        <f>(K777-K770-K772)*G765</f>
        <v>0.84374377079067786</v>
      </c>
      <c r="L779" s="33">
        <f>(L777-L770-L772)*G765</f>
        <v>0.83836172007211962</v>
      </c>
      <c r="M779" s="33">
        <f>(M777-M770-M772)*G765</f>
        <v>0.83300388858179519</v>
      </c>
      <c r="N779" s="33">
        <f>(N777-N770-N772)*G765</f>
        <v>0.82767016733317722</v>
      </c>
      <c r="O779" s="33">
        <f>(O777-O770-O772)*G765</f>
        <v>0.82236044783017781</v>
      </c>
      <c r="P779" s="33">
        <f>(P777-P770-P772)*G765</f>
        <v>0.8170746220649423</v>
      </c>
      <c r="Q779" s="33">
        <f>(Q777-Q770-Q772)*G765</f>
        <v>0.81181258251565014</v>
      </c>
      <c r="R779" s="33">
        <f>(R777-R770-R772)*G765</f>
        <v>0.80657422214432994</v>
      </c>
      <c r="S779" s="33">
        <f>(S777-S770-S772)*G765</f>
        <v>0.80135943439468016</v>
      </c>
      <c r="T779" s="33">
        <f>(T777-T770-T772)*G765</f>
        <v>0.79616811318990455</v>
      </c>
      <c r="U779" s="33">
        <f>(U777-U770-U772)*G765</f>
        <v>0.7910001529305497</v>
      </c>
      <c r="V779" s="33">
        <f>(V777-V770-V772)*G765</f>
        <v>0.78585544849236233</v>
      </c>
      <c r="W779" s="33">
        <f>(W777-W770-W772)*G765</f>
        <v>0.78073389522414693</v>
      </c>
      <c r="X779" s="33">
        <f>(X777-X770-X772)*G765</f>
        <v>0.77563538894563844</v>
      </c>
      <c r="Y779" s="33">
        <f>(Y777-Y770-Y772)*G765</f>
        <v>0.77055982594538297</v>
      </c>
      <c r="Z779" s="33">
        <f>(Z777-Z770-Z772)*G765</f>
        <v>0.76550710297862889</v>
      </c>
      <c r="AA779" s="33">
        <f>(AA777-AA770-AA772)*G765</f>
        <v>0.76047711726522516</v>
      </c>
    </row>
    <row r="780" spans="2:27" hidden="1" outlineLevel="1" x14ac:dyDescent="0.3">
      <c r="F780" s="10" t="s">
        <v>22</v>
      </c>
      <c r="G780" s="33">
        <f>-G768</f>
        <v>-24.611999999999995</v>
      </c>
      <c r="H780" s="33">
        <f>H777-H779-H772</f>
        <v>3.7491790067527191</v>
      </c>
      <c r="I780" s="33">
        <f t="shared" ref="I780" si="231">I777-I779-I772</f>
        <v>3.7328129049723318</v>
      </c>
      <c r="J780" s="33">
        <f t="shared" ref="J780" si="232">J777-J779-J772</f>
        <v>3.7165204506499574</v>
      </c>
      <c r="K780" s="33">
        <f t="shared" ref="K780" si="233">K777-K779-K772</f>
        <v>3.7003013123720336</v>
      </c>
      <c r="L780" s="33">
        <f t="shared" ref="L780" si="234">L777-L779-L772</f>
        <v>3.6841551602163589</v>
      </c>
      <c r="M780" s="33">
        <f t="shared" ref="M780" si="235">M777-M779-M772</f>
        <v>3.668081665745385</v>
      </c>
      <c r="N780" s="33">
        <f t="shared" ref="N780" si="236">N777-N779-N772</f>
        <v>3.6520805019995315</v>
      </c>
      <c r="O780" s="33">
        <f t="shared" ref="O780" si="237">O777-O779-O772</f>
        <v>3.6361513434905328</v>
      </c>
      <c r="P780" s="33">
        <f t="shared" ref="P780" si="238">P777-P779-P772</f>
        <v>3.6202938661948263</v>
      </c>
      <c r="Q780" s="33">
        <f t="shared" ref="Q780" si="239">Q777-Q779-Q772</f>
        <v>3.6045077475469505</v>
      </c>
      <c r="R780" s="33">
        <f t="shared" ref="R780" si="240">R777-R779-R772</f>
        <v>3.5887926664329894</v>
      </c>
      <c r="S780" s="33">
        <f t="shared" ref="S780" si="241">S777-S779-S772</f>
        <v>3.5731483031840403</v>
      </c>
      <c r="T780" s="33">
        <f t="shared" ref="T780" si="242">T777-T779-T772</f>
        <v>3.5575743395697135</v>
      </c>
      <c r="U780" s="33">
        <f t="shared" ref="U780" si="243">U777-U779-U772</f>
        <v>3.5420704587916489</v>
      </c>
      <c r="V780" s="33">
        <f t="shared" ref="V780" si="244">V777-V779-V772</f>
        <v>3.5266363454770868</v>
      </c>
      <c r="W780" s="33">
        <f t="shared" ref="W780" si="245">W777-W779-W772</f>
        <v>3.5112716856724404</v>
      </c>
      <c r="X780" s="33">
        <f t="shared" ref="X780" si="246">X777-X779-X772</f>
        <v>3.4959761668369147</v>
      </c>
      <c r="Y780" s="33">
        <f t="shared" ref="Y780" si="247">Y777-Y779-Y772</f>
        <v>3.4807494778361487</v>
      </c>
      <c r="Z780" s="33">
        <f t="shared" ref="Z780" si="248">Z777-Z779-Z772</f>
        <v>3.4655913089358865</v>
      </c>
      <c r="AA780" s="33">
        <f t="shared" ref="AA780" si="249">AA777-AA779-AA772</f>
        <v>3.4505013517956753</v>
      </c>
    </row>
    <row r="781" spans="2:27" ht="13.5" hidden="1" outlineLevel="1" thickBot="1" x14ac:dyDescent="0.35">
      <c r="F781" s="3" t="s">
        <v>68</v>
      </c>
      <c r="G781" s="40">
        <f>IRR(G780:AA780)</f>
        <v>0.13732419388027028</v>
      </c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2:27" ht="13.5" collapsed="1" thickTop="1" x14ac:dyDescent="0.3"/>
    <row r="783" spans="2:27" x14ac:dyDescent="0.3">
      <c r="B783" s="11" t="s">
        <v>159</v>
      </c>
      <c r="C783" s="11" t="s">
        <v>52</v>
      </c>
    </row>
    <row r="784" spans="2:27" x14ac:dyDescent="0.3">
      <c r="C784" s="11" t="s">
        <v>141</v>
      </c>
      <c r="D784" s="54">
        <f>D815</f>
        <v>1485</v>
      </c>
    </row>
    <row r="785" spans="3:27" x14ac:dyDescent="0.3">
      <c r="C785" s="16" t="s">
        <v>78</v>
      </c>
      <c r="D785" s="37">
        <f>(G814+G817+G824)/G820*1000</f>
        <v>0.30622780344570449</v>
      </c>
    </row>
    <row r="786" spans="3:27" x14ac:dyDescent="0.3">
      <c r="C786" s="13" t="s">
        <v>77</v>
      </c>
      <c r="D786" s="39">
        <f>(G795+G798+G805)/G801*1000</f>
        <v>0.4403581834102514</v>
      </c>
    </row>
    <row r="787" spans="3:27" x14ac:dyDescent="0.3">
      <c r="C787" s="13" t="s">
        <v>61</v>
      </c>
      <c r="D787" s="36">
        <f>G808</f>
        <v>0.48398495176751599</v>
      </c>
    </row>
    <row r="788" spans="3:27" x14ac:dyDescent="0.3">
      <c r="C788" s="13" t="s">
        <v>73</v>
      </c>
      <c r="D788" s="25">
        <f>SUM(G807:AA807)</f>
        <v>11.911837632902101</v>
      </c>
    </row>
    <row r="789" spans="3:27" ht="13.5" thickBot="1" x14ac:dyDescent="0.35">
      <c r="C789" s="23" t="s">
        <v>68</v>
      </c>
      <c r="D789" s="26">
        <f>G827</f>
        <v>0.12839615993389963</v>
      </c>
    </row>
    <row r="790" spans="3:27" ht="13.5" hidden="1" outlineLevel="1" thickTop="1" x14ac:dyDescent="0.3">
      <c r="E790" s="20"/>
      <c r="F790" s="38" t="s">
        <v>75</v>
      </c>
    </row>
    <row r="791" spans="3:27" hidden="1" outlineLevel="1" x14ac:dyDescent="0.3">
      <c r="C791" s="11" t="s">
        <v>71</v>
      </c>
      <c r="F791" s="13" t="s">
        <v>25</v>
      </c>
      <c r="G791" s="14">
        <v>7.0000000000000007E-2</v>
      </c>
    </row>
    <row r="792" spans="3:27" hidden="1" outlineLevel="1" x14ac:dyDescent="0.3">
      <c r="C792" s="18" t="s">
        <v>53</v>
      </c>
      <c r="D792" s="19">
        <f>分布式光伏电站IRR汇总!$B$2</f>
        <v>6</v>
      </c>
      <c r="F792" s="13" t="s">
        <v>26</v>
      </c>
      <c r="G792" s="14">
        <v>0.25</v>
      </c>
    </row>
    <row r="793" spans="3:27" hidden="1" outlineLevel="1" x14ac:dyDescent="0.3">
      <c r="C793" s="18" t="s">
        <v>56</v>
      </c>
      <c r="D793" s="19">
        <f>分布式光伏电站IRR汇总!$B$3</f>
        <v>120</v>
      </c>
      <c r="F793" s="1" t="s">
        <v>44</v>
      </c>
      <c r="G793" s="4"/>
      <c r="H793" s="5">
        <v>1</v>
      </c>
      <c r="I793" s="5">
        <v>2</v>
      </c>
      <c r="J793" s="5">
        <v>3</v>
      </c>
      <c r="K793" s="5">
        <v>4</v>
      </c>
      <c r="L793" s="5">
        <v>5</v>
      </c>
      <c r="M793" s="5">
        <v>6</v>
      </c>
      <c r="N793" s="5">
        <v>7</v>
      </c>
      <c r="O793" s="5">
        <v>8</v>
      </c>
      <c r="P793" s="5">
        <v>9</v>
      </c>
      <c r="Q793" s="5">
        <v>10</v>
      </c>
      <c r="R793" s="5">
        <v>11</v>
      </c>
      <c r="S793" s="5">
        <v>12</v>
      </c>
      <c r="T793" s="5">
        <v>13</v>
      </c>
      <c r="U793" s="5">
        <v>14</v>
      </c>
      <c r="V793" s="5">
        <v>15</v>
      </c>
      <c r="W793" s="5">
        <v>16</v>
      </c>
      <c r="X793" s="5">
        <v>17</v>
      </c>
      <c r="Y793" s="5">
        <v>18</v>
      </c>
      <c r="Z793" s="5">
        <v>19</v>
      </c>
      <c r="AA793" s="5">
        <v>20</v>
      </c>
    </row>
    <row r="794" spans="3:27" hidden="1" outlineLevel="1" x14ac:dyDescent="0.3">
      <c r="C794" s="18" t="s">
        <v>57</v>
      </c>
      <c r="D794" s="19">
        <f>分布式光伏电站IRR汇总!$B$4</f>
        <v>3</v>
      </c>
      <c r="F794" s="16"/>
      <c r="G794" s="2" t="s">
        <v>0</v>
      </c>
      <c r="H794" s="2" t="s">
        <v>1</v>
      </c>
      <c r="I794" s="2" t="s">
        <v>2</v>
      </c>
      <c r="J794" s="2" t="s">
        <v>3</v>
      </c>
      <c r="K794" s="2" t="s">
        <v>4</v>
      </c>
      <c r="L794" s="2" t="s">
        <v>5</v>
      </c>
      <c r="M794" s="2" t="s">
        <v>6</v>
      </c>
      <c r="N794" s="2" t="s">
        <v>7</v>
      </c>
      <c r="O794" s="2" t="s">
        <v>8</v>
      </c>
      <c r="P794" s="2" t="s">
        <v>9</v>
      </c>
      <c r="Q794" s="2" t="s">
        <v>10</v>
      </c>
      <c r="R794" s="2" t="s">
        <v>11</v>
      </c>
      <c r="S794" s="2" t="s">
        <v>12</v>
      </c>
      <c r="T794" s="2" t="s">
        <v>13</v>
      </c>
      <c r="U794" s="2" t="s">
        <v>45</v>
      </c>
      <c r="V794" s="2" t="s">
        <v>46</v>
      </c>
      <c r="W794" s="2" t="s">
        <v>47</v>
      </c>
      <c r="X794" s="2" t="s">
        <v>48</v>
      </c>
      <c r="Y794" s="2" t="s">
        <v>49</v>
      </c>
      <c r="Z794" s="2" t="s">
        <v>50</v>
      </c>
      <c r="AA794" s="2" t="s">
        <v>127</v>
      </c>
    </row>
    <row r="795" spans="3:27" hidden="1" outlineLevel="1" x14ac:dyDescent="0.3">
      <c r="C795" s="18" t="s">
        <v>54</v>
      </c>
      <c r="D795" s="19">
        <f>分布式光伏电站IRR汇总!$B$5</f>
        <v>5</v>
      </c>
      <c r="F795" s="6" t="s">
        <v>14</v>
      </c>
      <c r="G795" s="33">
        <f>D816</f>
        <v>24.611999999999995</v>
      </c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 spans="3:27" hidden="1" outlineLevel="1" x14ac:dyDescent="0.3">
      <c r="C796" s="18" t="s">
        <v>55</v>
      </c>
      <c r="D796" s="19">
        <f>分布式光伏电站IRR汇总!$B$6</f>
        <v>15</v>
      </c>
      <c r="F796" s="6" t="s">
        <v>15</v>
      </c>
      <c r="G796" s="33">
        <f>SUM(H797:AA797)</f>
        <v>12.385144234005573</v>
      </c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 spans="3:27" hidden="1" outlineLevel="1" x14ac:dyDescent="0.3">
      <c r="C797" s="18" t="s">
        <v>42</v>
      </c>
      <c r="D797" s="19">
        <f>分布式光伏电站IRR汇总!$B$7</f>
        <v>4.1019999999999994</v>
      </c>
      <c r="F797" s="7" t="s">
        <v>16</v>
      </c>
      <c r="G797" s="33"/>
      <c r="H797" s="33">
        <f>D816*(1-D814)/D810/((1+G791)^H793)</f>
        <v>1.0925887850467286</v>
      </c>
      <c r="I797" s="33">
        <f>D816*(1-D814)/D810/((1+G791)^I793)</f>
        <v>1.0211110140623632</v>
      </c>
      <c r="J797" s="33">
        <f>D816*(1-D814)/D810/((1+G791)^J793)</f>
        <v>0.95430935893678792</v>
      </c>
      <c r="K797" s="33">
        <f>D816*(1-D814)/D810/((1+G791)^K793)</f>
        <v>0.89187790554839996</v>
      </c>
      <c r="L797" s="33">
        <f>D816*(1-D814)/D810/((1+G791)^L793)</f>
        <v>0.83353075284897193</v>
      </c>
      <c r="M797" s="33">
        <f>D816*(1-D814)/D810/((1+G791)^M793)</f>
        <v>0.77900070359717</v>
      </c>
      <c r="N797" s="33">
        <f>D816*(1-D814)/D810/((1+G791)^N793)</f>
        <v>0.72803804074501866</v>
      </c>
      <c r="O797" s="33">
        <f>D816*(1-D814)/D810/((1+G791)^O793)</f>
        <v>0.6804093838738493</v>
      </c>
      <c r="P797" s="33">
        <f>D816*(1-D814)/D810/((1+G791)^P793)</f>
        <v>0.63589662044284967</v>
      </c>
      <c r="Q797" s="33">
        <f>D816*(1-D814)/D810/((1+G791)^Q793)</f>
        <v>0.59429590695593437</v>
      </c>
      <c r="R797" s="33">
        <f>D816*(1-D814)/D810/((1+G791)^R793)</f>
        <v>0.55541673547283577</v>
      </c>
      <c r="S797" s="33">
        <f>D816*(1-D814)/D810/((1+G791)^S793)</f>
        <v>0.51908106118956621</v>
      </c>
      <c r="T797" s="33">
        <f>D816*(1-D814)/D810/((1+G791)^T793)</f>
        <v>0.4851224870930525</v>
      </c>
      <c r="U797" s="33">
        <f>D816*(1-D814)/D810/((1+G791)^U793)</f>
        <v>0.45338550195612387</v>
      </c>
      <c r="V797" s="33">
        <f>D816*(1-D814)/D810/((1+G791)^V793)</f>
        <v>0.4237247681832933</v>
      </c>
      <c r="W797" s="33">
        <f>D816*(1-D814)/D810/((1+G791)^W793)</f>
        <v>0.39600445624606856</v>
      </c>
      <c r="X797" s="33">
        <f>D816*(1-D814)/D810/((1+G791)^X793)</f>
        <v>0.37009762265987711</v>
      </c>
      <c r="Y797" s="33">
        <f>D816*(1-D814)/D810/((1+G791)^Y793)</f>
        <v>0.34588562865409078</v>
      </c>
      <c r="Z797" s="33">
        <f>D816*(1-D814)/D810/((1+G791)^Z793)</f>
        <v>0.323257596872982</v>
      </c>
      <c r="AA797" s="33">
        <f>D816*(1-D814)/D810/((1+G791)^AA793)</f>
        <v>0.30210990361960938</v>
      </c>
    </row>
    <row r="798" spans="3:27" hidden="1" outlineLevel="1" x14ac:dyDescent="0.3">
      <c r="C798" s="21" t="s">
        <v>32</v>
      </c>
      <c r="D798" s="19">
        <f>分布式光伏电站IRR汇总!$B$8</f>
        <v>1.8870000000000002</v>
      </c>
      <c r="F798" s="6" t="s">
        <v>17</v>
      </c>
      <c r="G798" s="33">
        <f>SUM(H799:AA799)</f>
        <v>2.5425634189238777</v>
      </c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 spans="3:27" hidden="1" outlineLevel="1" x14ac:dyDescent="0.3">
      <c r="C799" s="21" t="s">
        <v>33</v>
      </c>
      <c r="D799" s="19">
        <f>分布式光伏电站IRR汇总!$B$9</f>
        <v>0.18500000000000003</v>
      </c>
      <c r="F799" s="7" t="s">
        <v>18</v>
      </c>
      <c r="G799" s="33"/>
      <c r="H799" s="33">
        <f>D813*D792/((1+G791)^H793)</f>
        <v>0.22429906542056072</v>
      </c>
      <c r="I799" s="33">
        <f>D813*D792/((1+G791)^I793)</f>
        <v>0.20962529478557079</v>
      </c>
      <c r="J799" s="33">
        <f>D813*D792/((1+G791)^J793)</f>
        <v>0.19591149045380446</v>
      </c>
      <c r="K799" s="33">
        <f>D813*D792/((1+G791)^K793)</f>
        <v>0.18309485089140604</v>
      </c>
      <c r="L799" s="33">
        <f>D813*D792/((1+G791)^L793)</f>
        <v>0.17111668307608041</v>
      </c>
      <c r="M799" s="33">
        <f>D813*D792/((1+G791)^M793)</f>
        <v>0.15992213371596301</v>
      </c>
      <c r="N799" s="33">
        <f>D813*D792/((1+G791)^N793)</f>
        <v>0.14945993805230187</v>
      </c>
      <c r="O799" s="33">
        <f>D813*D792/((1+G791)^O793)</f>
        <v>0.13968218509560923</v>
      </c>
      <c r="P799" s="33">
        <f>D813*D792/((1+G791)^P793)</f>
        <v>0.13054409822019553</v>
      </c>
      <c r="Q799" s="33">
        <f>D813*D792/((1+G791)^Q793)</f>
        <v>0.12200383011233226</v>
      </c>
      <c r="R799" s="33">
        <f>D813*D792/((1+G791)^R793)</f>
        <v>0.1140222711330208</v>
      </c>
      <c r="S799" s="33">
        <f>D813*D792/((1+G791)^S793)</f>
        <v>0.10656287021777647</v>
      </c>
      <c r="T799" s="33">
        <f>D813*D792/((1+G791)^T793)</f>
        <v>9.9591467493249028E-2</v>
      </c>
      <c r="U799" s="33">
        <f>D813*D792/((1+G791)^U793)</f>
        <v>9.3076137844157969E-2</v>
      </c>
      <c r="V799" s="33">
        <f>D813*D792/((1+G791)^V793)</f>
        <v>8.6987044714166323E-2</v>
      </c>
      <c r="W799" s="33">
        <f>D813*D792/((1+G791)^W793)</f>
        <v>8.1296303471183481E-2</v>
      </c>
      <c r="X799" s="33">
        <f>D813*D792/((1+G791)^X793)</f>
        <v>7.5977853711386434E-2</v>
      </c>
      <c r="Y799" s="33">
        <f>D813*D792/((1+G791)^Y793)</f>
        <v>7.1007339917183582E-2</v>
      </c>
      <c r="Z799" s="33">
        <f>D813*D792/((1+G791)^Z793)</f>
        <v>6.6361999922601472E-2</v>
      </c>
      <c r="AA799" s="33">
        <f>D813*D792/((1+G791)^AA793)</f>
        <v>6.2020560675328483E-2</v>
      </c>
    </row>
    <row r="800" spans="3:27" hidden="1" outlineLevel="1" x14ac:dyDescent="0.3">
      <c r="C800" s="21" t="s">
        <v>34</v>
      </c>
      <c r="D800" s="19">
        <f>分布式光伏电站IRR汇总!$B$10</f>
        <v>0.222</v>
      </c>
      <c r="F800" s="6" t="s">
        <v>19</v>
      </c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>
        <f>D813*D816/((1+G791)^AA793)</f>
        <v>0.2544083398901974</v>
      </c>
    </row>
    <row r="801" spans="3:27" hidden="1" outlineLevel="1" x14ac:dyDescent="0.3">
      <c r="C801" s="21" t="s">
        <v>35</v>
      </c>
      <c r="D801" s="19">
        <f>分布式光伏电站IRR汇总!$B$11</f>
        <v>0.44400000000000001</v>
      </c>
      <c r="F801" s="8" t="s">
        <v>64</v>
      </c>
      <c r="G801" s="33">
        <f>SUM(H802:AA802)</f>
        <v>77532.769275619241</v>
      </c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 spans="3:27" hidden="1" outlineLevel="1" x14ac:dyDescent="0.3">
      <c r="C802" s="21" t="s">
        <v>36</v>
      </c>
      <c r="D802" s="19">
        <f>分布式光伏电站IRR汇总!$B$12</f>
        <v>0.222</v>
      </c>
      <c r="F802" s="9" t="s">
        <v>65</v>
      </c>
      <c r="G802" s="33"/>
      <c r="H802" s="33">
        <f>D792*D809*(1-D811)*D815/((1+G791)^H793)</f>
        <v>7067.0456074766344</v>
      </c>
      <c r="I802" s="33">
        <f>D792*D809*(1-D811)*(1-D812)^(I793-1)*D815/((1+G791)^I793)</f>
        <v>6574.9943011616724</v>
      </c>
      <c r="J802" s="33">
        <f>D792*D809*(1-D811)*(1-D812)^(J793-1)*D815/((1+G791)^J793)</f>
        <v>6117.2026418751821</v>
      </c>
      <c r="K802" s="33">
        <f>D792*D809*(1-D811)*(1-D812)^(K793-1)*D815/((1+G791)^K793)</f>
        <v>5691.2852616698556</v>
      </c>
      <c r="L802" s="33">
        <f>D792*D809*(1-D811)*(1-D812)^(L793-1)*D815/((1+G791)^L793)</f>
        <v>5295.0228766283562</v>
      </c>
      <c r="M802" s="33">
        <f>D792*D809*(1-D811)*(1-D812)^(M793-1)*D815/((1+G791)^M793)</f>
        <v>4926.3507230687192</v>
      </c>
      <c r="N802" s="33">
        <f>D792*D809*(1-D811)*(1-D812)^(N793-1)*D815/((1+G791)^N793)</f>
        <v>4583.3477988924387</v>
      </c>
      <c r="O802" s="33">
        <f>D792*D809*(1-D811)*(1-D812)^(O793-1)*D815/((1+G791)^O793)</f>
        <v>4264.2268540162831</v>
      </c>
      <c r="P802" s="33">
        <f>D792*D809*(1-D811)*(1-D812)^(P793-1)*D815/((1+G791)^P793)</f>
        <v>3967.3250777319718</v>
      </c>
      <c r="Q802" s="33">
        <f>D792*D809*(1-D811)*(1-D812)^(Q793-1)*D815/((1+G791)^Q793)</f>
        <v>3691.0954344693255</v>
      </c>
      <c r="R802" s="33">
        <f>D792*D809*(1-D811)*(1-D812)^(R793-1)*D815/((1+G791)^R793)</f>
        <v>3434.0986028170223</v>
      </c>
      <c r="S802" s="33">
        <f>D792*D809*(1-D811)*(1-D812)^(S793-1)*D815/((1+G791)^S793)</f>
        <v>3194.9954757984542</v>
      </c>
      <c r="T802" s="33">
        <f>D792*D809*(1-D811)*(1-D812)^(T793-1)*D815/((1+G791)^T793)</f>
        <v>2972.5401833246369</v>
      </c>
      <c r="U802" s="33">
        <f>D792*D809*(1-D811)*(1-D812)^(U793-1)*D815/((1+G791)^U793)</f>
        <v>2765.573600466987</v>
      </c>
      <c r="V802" s="33">
        <f>D792*D809*(1-D811)*(1-D812)^(V793-1)*D815/((1+G791)^V793)</f>
        <v>2573.0173077241916</v>
      </c>
      <c r="W802" s="33">
        <f>D792*D809*(1-D811)*(1-D812)^(W793-1)*D815/((1+G791)^W793)</f>
        <v>2393.8679718125545</v>
      </c>
      <c r="X802" s="33">
        <f>D792*D809*(1-D811)*(1-D812)^(X793-1)*D815/((1+G791)^X793)</f>
        <v>2227.1921177003724</v>
      </c>
      <c r="Y802" s="33">
        <f>D792*D809*(1-D811)*(1-D812)^(Y793-1)*D815/((1+G791)^Y793)</f>
        <v>2072.1212646455333</v>
      </c>
      <c r="Z802" s="33">
        <f>D792*D809*(1-D811)*(1-D812)^(Z793-1)*D815/((1+G791)^Z793)</f>
        <v>1927.8474008921764</v>
      </c>
      <c r="AA802" s="33">
        <f>D792*D809*(1-D811)*(1-D812)^(AA793-1)*D815/((1+G791)^AA793)</f>
        <v>1793.6187734468801</v>
      </c>
    </row>
    <row r="803" spans="3:27" hidden="1" outlineLevel="1" x14ac:dyDescent="0.3">
      <c r="C803" s="21" t="s">
        <v>37</v>
      </c>
      <c r="D803" s="19">
        <f>分布式光伏电站IRR汇总!$B$13</f>
        <v>0.15</v>
      </c>
      <c r="F803" s="4" t="s">
        <v>66</v>
      </c>
      <c r="G803" s="33">
        <f>SUM(H804:AA804)</f>
        <v>47.112632184791472</v>
      </c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 spans="3:27" hidden="1" outlineLevel="1" x14ac:dyDescent="0.3">
      <c r="C804" s="21" t="s">
        <v>38</v>
      </c>
      <c r="D804" s="19">
        <f>分布式光伏电站IRR汇总!$B$14</f>
        <v>3.7000000000000005E-2</v>
      </c>
      <c r="F804" s="7" t="s">
        <v>67</v>
      </c>
      <c r="G804" s="33"/>
      <c r="H804" s="33">
        <f>H802*D820/1000</f>
        <v>4.2942761292919611</v>
      </c>
      <c r="I804" s="33">
        <f>I802*D820/1000</f>
        <v>3.9952821371122877</v>
      </c>
      <c r="J804" s="33">
        <f>J802*D820/1000</f>
        <v>3.7171059509301703</v>
      </c>
      <c r="K804" s="33">
        <f>K802*D820/1000</f>
        <v>3.4582981066831646</v>
      </c>
      <c r="L804" s="33">
        <f>L802*D820/1000</f>
        <v>3.2175100609374674</v>
      </c>
      <c r="M804" s="33">
        <f>M802*D820/1000</f>
        <v>2.9934871641712606</v>
      </c>
      <c r="N804" s="33">
        <f>N802*D820/1000</f>
        <v>2.7850621233013926</v>
      </c>
      <c r="O804" s="33">
        <f>O802*D820/1000</f>
        <v>2.591148919389286</v>
      </c>
      <c r="P804" s="33">
        <f>P802*D820/1000</f>
        <v>2.4107371488336771</v>
      </c>
      <c r="Q804" s="33">
        <f>Q802*D820/1000</f>
        <v>2.2428867585644165</v>
      </c>
      <c r="R804" s="33">
        <f>R802*D820/1000</f>
        <v>2.086723147804558</v>
      </c>
      <c r="S804" s="33">
        <f>S802*D820/1000</f>
        <v>1.9414326108779789</v>
      </c>
      <c r="T804" s="33">
        <f>T802*D820/1000</f>
        <v>1.8062580973168489</v>
      </c>
      <c r="U804" s="33">
        <f>U802*D820/1000</f>
        <v>1.6804952671765636</v>
      </c>
      <c r="V804" s="33">
        <f>V802*D820/1000</f>
        <v>1.5634888210039894</v>
      </c>
      <c r="W804" s="33">
        <f>W802*D820/1000</f>
        <v>1.4546290853359551</v>
      </c>
      <c r="X804" s="33">
        <f>X802*D820/1000</f>
        <v>1.3533488359363957</v>
      </c>
      <c r="Y804" s="33">
        <f>Y802*D820/1000</f>
        <v>1.2591203422193289</v>
      </c>
      <c r="Z804" s="33">
        <f>Z802*D820/1000</f>
        <v>1.1714526174573292</v>
      </c>
      <c r="AA804" s="33">
        <f>AA802*D820/1000</f>
        <v>1.0898888604474499</v>
      </c>
    </row>
    <row r="805" spans="3:27" hidden="1" outlineLevel="1" x14ac:dyDescent="0.3">
      <c r="C805" s="21" t="s">
        <v>39</v>
      </c>
      <c r="D805" s="19">
        <f>分布式光伏电站IRR汇总!$B$15</f>
        <v>0.25900000000000006</v>
      </c>
      <c r="F805" s="4" t="s">
        <v>20</v>
      </c>
      <c r="G805" s="33">
        <f>SUM(H806:V806)</f>
        <v>6.987626014053971</v>
      </c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 spans="3:27" hidden="1" outlineLevel="1" x14ac:dyDescent="0.3">
      <c r="C806" s="21" t="s">
        <v>40</v>
      </c>
      <c r="D806" s="19">
        <f>分布式光伏电站IRR汇总!$B$16</f>
        <v>7.400000000000001E-2</v>
      </c>
      <c r="F806" s="7" t="s">
        <v>21</v>
      </c>
      <c r="G806" s="33"/>
      <c r="H806" s="33">
        <f>(H804-H797-H799)*G792</f>
        <v>0.74434706970616793</v>
      </c>
      <c r="I806" s="33">
        <f>(I804-I797-I799)*G792</f>
        <v>0.69113645706608851</v>
      </c>
      <c r="J806" s="33">
        <f>(J804-J797-J799)*G792</f>
        <v>0.64172127538489443</v>
      </c>
      <c r="K806" s="33">
        <f>(K804-K797-K799)*G792</f>
        <v>0.59583133756083972</v>
      </c>
      <c r="L806" s="33">
        <f>(L804-L797-L799)*G792</f>
        <v>0.55321565625310365</v>
      </c>
      <c r="M806" s="33">
        <f>(M804-M797-M799)*G792</f>
        <v>0.51364108171453193</v>
      </c>
      <c r="N806" s="33">
        <f>(N804-N797-N799)*G792</f>
        <v>0.47689103612601802</v>
      </c>
      <c r="O806" s="33">
        <f>(O804-O797-O799)*G792</f>
        <v>0.44276433760495693</v>
      </c>
      <c r="P806" s="33">
        <f>(P804-P797-P799)*G792</f>
        <v>0.41107410754265794</v>
      </c>
      <c r="Q806" s="33">
        <f>(Q804-Q797-Q799)*G792</f>
        <v>0.38164675537403747</v>
      </c>
      <c r="R806" s="33">
        <f>(R804-R797-R799)*G792</f>
        <v>0.3543210352996754</v>
      </c>
      <c r="S806" s="33">
        <f>(S804-S797-S799)*G792</f>
        <v>0.32894716986765904</v>
      </c>
      <c r="T806" s="33">
        <f>(T804-T797-T799)*G792</f>
        <v>0.30538603568263684</v>
      </c>
      <c r="U806" s="33">
        <f>(U804-U797-U799)*G792</f>
        <v>0.28350840684407042</v>
      </c>
      <c r="V806" s="33">
        <f>(V804-V797-V799)*G792</f>
        <v>0.26319425202663249</v>
      </c>
      <c r="W806" s="33">
        <f>(W804-W797-W799)*G792</f>
        <v>0.2443320814046758</v>
      </c>
      <c r="X806" s="33">
        <f>(X804-X797-X799)*G792</f>
        <v>0.22681833989128303</v>
      </c>
      <c r="Y806" s="33">
        <f>(Y804-Y797-Y799)*G792</f>
        <v>0.21055684341201364</v>
      </c>
      <c r="Z806" s="33">
        <f>(Z804-Z797-Z799)*G792</f>
        <v>0.19545825516543641</v>
      </c>
      <c r="AA806" s="33">
        <f>(AA804-AA797-AA799)*G792</f>
        <v>0.18143959903812804</v>
      </c>
    </row>
    <row r="807" spans="3:27" hidden="1" outlineLevel="1" x14ac:dyDescent="0.3">
      <c r="C807" s="21" t="s">
        <v>41</v>
      </c>
      <c r="D807" s="19">
        <f>分布式光伏电站IRR汇总!$B$17</f>
        <v>0.222</v>
      </c>
      <c r="F807" s="10" t="s">
        <v>22</v>
      </c>
      <c r="G807" s="33">
        <f>-G795</f>
        <v>-24.611999999999995</v>
      </c>
      <c r="H807" s="33">
        <f t="shared" ref="H807:AA807" si="250">H804-H806-H799</f>
        <v>3.3256299941652325</v>
      </c>
      <c r="I807" s="33">
        <f t="shared" si="250"/>
        <v>3.094520385260628</v>
      </c>
      <c r="J807" s="33">
        <f t="shared" si="250"/>
        <v>2.8794731850914714</v>
      </c>
      <c r="K807" s="33">
        <f t="shared" si="250"/>
        <v>2.679371918230919</v>
      </c>
      <c r="L807" s="33">
        <f t="shared" si="250"/>
        <v>2.4931777216082835</v>
      </c>
      <c r="M807" s="33">
        <f t="shared" si="250"/>
        <v>2.3199239487407657</v>
      </c>
      <c r="N807" s="33">
        <f t="shared" si="250"/>
        <v>2.1587111491230728</v>
      </c>
      <c r="O807" s="33">
        <f t="shared" si="250"/>
        <v>2.0087023966887201</v>
      </c>
      <c r="P807" s="33">
        <f t="shared" si="250"/>
        <v>1.8691189430708235</v>
      </c>
      <c r="Q807" s="33">
        <f t="shared" si="250"/>
        <v>1.7392361730780468</v>
      </c>
      <c r="R807" s="33">
        <f t="shared" si="250"/>
        <v>1.618379841371862</v>
      </c>
      <c r="S807" s="33">
        <f t="shared" si="250"/>
        <v>1.5059225707925432</v>
      </c>
      <c r="T807" s="33">
        <f t="shared" si="250"/>
        <v>1.4012805941409632</v>
      </c>
      <c r="U807" s="33">
        <f t="shared" si="250"/>
        <v>1.3039107224883353</v>
      </c>
      <c r="V807" s="33">
        <f t="shared" si="250"/>
        <v>1.2133075242631906</v>
      </c>
      <c r="W807" s="33">
        <f t="shared" si="250"/>
        <v>1.1290007004600957</v>
      </c>
      <c r="X807" s="33">
        <f t="shared" si="250"/>
        <v>1.0505526423337261</v>
      </c>
      <c r="Y807" s="33">
        <f t="shared" si="250"/>
        <v>0.97755615889013159</v>
      </c>
      <c r="Z807" s="33">
        <f t="shared" si="250"/>
        <v>0.90963236236929124</v>
      </c>
      <c r="AA807" s="33">
        <f t="shared" si="250"/>
        <v>0.84642870073399346</v>
      </c>
    </row>
    <row r="808" spans="3:27" ht="13.5" hidden="1" outlineLevel="1" thickBot="1" x14ac:dyDescent="0.35">
      <c r="C808" s="21" t="s">
        <v>74</v>
      </c>
      <c r="D808" s="19">
        <f>分布式光伏电站IRR汇总!$B$18</f>
        <v>0.4</v>
      </c>
      <c r="F808" s="3" t="s">
        <v>61</v>
      </c>
      <c r="G808" s="35">
        <f>SUM(G807:AA807)/G795</f>
        <v>0.48398495176751599</v>
      </c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3:27" ht="13.5" hidden="1" outlineLevel="1" thickTop="1" x14ac:dyDescent="0.3">
      <c r="C809" s="18" t="s">
        <v>58</v>
      </c>
      <c r="D809" s="19">
        <f>分布式光伏电站IRR汇总!$B$19</f>
        <v>0.86599999999999999</v>
      </c>
    </row>
    <row r="810" spans="3:27" hidden="1" outlineLevel="1" x14ac:dyDescent="0.3">
      <c r="C810" s="18" t="s">
        <v>62</v>
      </c>
      <c r="D810" s="19">
        <f>分布式光伏电站IRR汇总!$B$20</f>
        <v>20</v>
      </c>
      <c r="F810" s="13" t="s">
        <v>25</v>
      </c>
      <c r="G810" s="14">
        <v>0</v>
      </c>
    </row>
    <row r="811" spans="3:27" hidden="1" outlineLevel="1" x14ac:dyDescent="0.3">
      <c r="C811" s="18" t="s">
        <v>59</v>
      </c>
      <c r="D811" s="52">
        <f>分布式光伏电站IRR汇总!$B$21</f>
        <v>0.02</v>
      </c>
      <c r="F811" s="13" t="s">
        <v>26</v>
      </c>
      <c r="G811" s="14">
        <v>0.25</v>
      </c>
      <c r="Q811" s="15"/>
    </row>
    <row r="812" spans="3:27" hidden="1" outlineLevel="1" x14ac:dyDescent="0.3">
      <c r="C812" s="18" t="s">
        <v>60</v>
      </c>
      <c r="D812" s="52">
        <f>分布式光伏电站IRR汇总!$B$22</f>
        <v>4.4999999999999997E-3</v>
      </c>
      <c r="F812" s="1" t="s">
        <v>44</v>
      </c>
      <c r="G812" s="4"/>
      <c r="H812" s="5">
        <v>1</v>
      </c>
      <c r="I812" s="5">
        <v>2</v>
      </c>
      <c r="J812" s="5">
        <v>3</v>
      </c>
      <c r="K812" s="5">
        <v>4</v>
      </c>
      <c r="L812" s="5">
        <v>5</v>
      </c>
      <c r="M812" s="5">
        <v>6</v>
      </c>
      <c r="N812" s="5">
        <v>7</v>
      </c>
      <c r="O812" s="5">
        <v>8</v>
      </c>
      <c r="P812" s="5">
        <v>9</v>
      </c>
      <c r="Q812" s="5">
        <v>10</v>
      </c>
      <c r="R812" s="5">
        <v>11</v>
      </c>
      <c r="S812" s="5">
        <v>12</v>
      </c>
      <c r="T812" s="5">
        <v>13</v>
      </c>
      <c r="U812" s="5">
        <v>14</v>
      </c>
      <c r="V812" s="5">
        <v>15</v>
      </c>
      <c r="W812" s="5">
        <v>16</v>
      </c>
      <c r="X812" s="5">
        <v>17</v>
      </c>
      <c r="Y812" s="5">
        <v>18</v>
      </c>
      <c r="Z812" s="5">
        <v>19</v>
      </c>
      <c r="AA812" s="5">
        <v>20</v>
      </c>
    </row>
    <row r="813" spans="3:27" hidden="1" outlineLevel="1" x14ac:dyDescent="0.3">
      <c r="C813" s="18" t="s">
        <v>28</v>
      </c>
      <c r="D813" s="29">
        <f>分布式光伏电站IRR汇总!$B$23</f>
        <v>0.04</v>
      </c>
      <c r="F813" s="16"/>
      <c r="G813" s="2" t="s">
        <v>0</v>
      </c>
      <c r="H813" s="2" t="s">
        <v>1</v>
      </c>
      <c r="I813" s="2" t="s">
        <v>2</v>
      </c>
      <c r="J813" s="2" t="s">
        <v>3</v>
      </c>
      <c r="K813" s="2" t="s">
        <v>4</v>
      </c>
      <c r="L813" s="2" t="s">
        <v>5</v>
      </c>
      <c r="M813" s="2" t="s">
        <v>6</v>
      </c>
      <c r="N813" s="2" t="s">
        <v>7</v>
      </c>
      <c r="O813" s="2" t="s">
        <v>8</v>
      </c>
      <c r="P813" s="2" t="s">
        <v>9</v>
      </c>
      <c r="Q813" s="2" t="s">
        <v>10</v>
      </c>
      <c r="R813" s="2" t="s">
        <v>11</v>
      </c>
      <c r="S813" s="2" t="s">
        <v>12</v>
      </c>
      <c r="T813" s="2" t="s">
        <v>13</v>
      </c>
      <c r="U813" s="2" t="s">
        <v>45</v>
      </c>
      <c r="V813" s="2" t="s">
        <v>46</v>
      </c>
      <c r="W813" s="2" t="s">
        <v>47</v>
      </c>
      <c r="X813" s="2" t="s">
        <v>48</v>
      </c>
      <c r="Y813" s="2" t="s">
        <v>49</v>
      </c>
      <c r="Z813" s="2" t="s">
        <v>50</v>
      </c>
      <c r="AA813" s="2" t="s">
        <v>51</v>
      </c>
    </row>
    <row r="814" spans="3:27" hidden="1" outlineLevel="1" x14ac:dyDescent="0.3">
      <c r="C814" s="18" t="s">
        <v>43</v>
      </c>
      <c r="D814" s="19">
        <f>分布式光伏电站IRR汇总!$B$24</f>
        <v>0.05</v>
      </c>
      <c r="F814" s="6" t="s">
        <v>14</v>
      </c>
      <c r="G814" s="33">
        <f>D816</f>
        <v>24.611999999999995</v>
      </c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 spans="3:27" hidden="1" outlineLevel="1" x14ac:dyDescent="0.3">
      <c r="C815" s="18" t="s">
        <v>126</v>
      </c>
      <c r="D815" s="28">
        <f>Backup分地区光伏小时数及电价!E18</f>
        <v>1485</v>
      </c>
      <c r="F815" s="6" t="s">
        <v>15</v>
      </c>
      <c r="G815" s="33">
        <f>SUM(H816:AA816)</f>
        <v>23.381399999999985</v>
      </c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 spans="3:27" hidden="1" outlineLevel="1" x14ac:dyDescent="0.3">
      <c r="C816" s="24" t="s">
        <v>14</v>
      </c>
      <c r="D816" s="30">
        <f>D792*D797</f>
        <v>24.611999999999995</v>
      </c>
      <c r="F816" s="7" t="s">
        <v>16</v>
      </c>
      <c r="G816" s="33"/>
      <c r="H816" s="33">
        <f>D816*(1-D814)/D810/((1+G810)^H812)</f>
        <v>1.1690699999999996</v>
      </c>
      <c r="I816" s="33">
        <f>D816*(1-D814)/D810/((1+G810)^I812)</f>
        <v>1.1690699999999996</v>
      </c>
      <c r="J816" s="33">
        <f>D816*(1-D814)/D810/((1+G810)^J812)</f>
        <v>1.1690699999999996</v>
      </c>
      <c r="K816" s="33">
        <f>D816*(1-D814)/D810/((1+G810)^K812)</f>
        <v>1.1690699999999996</v>
      </c>
      <c r="L816" s="33">
        <f>D816*(1-D814)/D810/((1+G810)^L812)</f>
        <v>1.1690699999999996</v>
      </c>
      <c r="M816" s="33">
        <f>D816*(1-D814)/D810/((1+G810)^M812)</f>
        <v>1.1690699999999996</v>
      </c>
      <c r="N816" s="33">
        <f>D816*(1-D814)/D810/((1+G810)^N812)</f>
        <v>1.1690699999999996</v>
      </c>
      <c r="O816" s="33">
        <f>D816*(1-D814)/D810/((1+G810)^O812)</f>
        <v>1.1690699999999996</v>
      </c>
      <c r="P816" s="33">
        <f>D816*(1-D814)/D810/((1+G810)^P812)</f>
        <v>1.1690699999999996</v>
      </c>
      <c r="Q816" s="33">
        <f>D816*(1-D814)/D810/((1+G810)^Q812)</f>
        <v>1.1690699999999996</v>
      </c>
      <c r="R816" s="33">
        <f>D816*(1-D814)/D810/((1+G810)^R812)</f>
        <v>1.1690699999999996</v>
      </c>
      <c r="S816" s="33">
        <f>D816*(1-D814)/D810/((1+G810)^S812)</f>
        <v>1.1690699999999996</v>
      </c>
      <c r="T816" s="33">
        <f>D816*(1-D814)/D810/((1+G810)^T812)</f>
        <v>1.1690699999999996</v>
      </c>
      <c r="U816" s="33">
        <f>D816*(1-D814)/D810/((1+G810)^U812)</f>
        <v>1.1690699999999996</v>
      </c>
      <c r="V816" s="33">
        <f>D816*(1-D814)/D810/((1+G810)^V812)</f>
        <v>1.1690699999999996</v>
      </c>
      <c r="W816" s="33">
        <f>D816*(1-D814)/D810/((1+G810)^W812)</f>
        <v>1.1690699999999996</v>
      </c>
      <c r="X816" s="33">
        <f>D816*(1-D814)/D810/((1+G810)^X812)</f>
        <v>1.1690699999999996</v>
      </c>
      <c r="Y816" s="33">
        <f>D816*(1-D814)/D810/((1+G810)^Y812)</f>
        <v>1.1690699999999996</v>
      </c>
      <c r="Z816" s="33">
        <f>D816*(1-D814)/D810/((1+G810)^Z812)</f>
        <v>1.1690699999999996</v>
      </c>
      <c r="AA816" s="33">
        <f>D816*(1-D814)/D810/((1+G810)^AA812)</f>
        <v>1.1690699999999996</v>
      </c>
    </row>
    <row r="817" spans="2:27" hidden="1" outlineLevel="1" x14ac:dyDescent="0.3">
      <c r="C817" s="18" t="s">
        <v>29</v>
      </c>
      <c r="D817" s="29">
        <v>0.35980000000000001</v>
      </c>
      <c r="F817" s="6" t="s">
        <v>17</v>
      </c>
      <c r="G817" s="33">
        <f>SUM(H818:AA818)</f>
        <v>4.8000000000000025</v>
      </c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 spans="2:27" hidden="1" outlineLevel="1" x14ac:dyDescent="0.3">
      <c r="C818" s="18" t="s">
        <v>30</v>
      </c>
      <c r="D818" s="31">
        <f>Backup分地区光伏小时数及电价!I18</f>
        <v>0.60764799999999997</v>
      </c>
      <c r="F818" s="7" t="s">
        <v>18</v>
      </c>
      <c r="G818" s="33"/>
      <c r="H818" s="33">
        <f>D813*D792/((1+G810)^H812)</f>
        <v>0.24</v>
      </c>
      <c r="I818" s="33">
        <f>D813*D792/((1+G810)^I812)</f>
        <v>0.24</v>
      </c>
      <c r="J818" s="33">
        <f>D813*D792/((1+G810)^J812)</f>
        <v>0.24</v>
      </c>
      <c r="K818" s="33">
        <f>D813*D792/((1+G810)^K812)</f>
        <v>0.24</v>
      </c>
      <c r="L818" s="33">
        <f>D813*D792/((1+G810)^L812)</f>
        <v>0.24</v>
      </c>
      <c r="M818" s="33">
        <f>D813*D792/((1+G810)^M812)</f>
        <v>0.24</v>
      </c>
      <c r="N818" s="33">
        <f>D813*D792/((1+G810)^N812)</f>
        <v>0.24</v>
      </c>
      <c r="O818" s="33">
        <f>D813*D792/((1+G810)^O812)</f>
        <v>0.24</v>
      </c>
      <c r="P818" s="33">
        <f>D813*D792/((1+G810)^P812)</f>
        <v>0.24</v>
      </c>
      <c r="Q818" s="33">
        <f>D813*D792/((1+G810)^Q812)</f>
        <v>0.24</v>
      </c>
      <c r="R818" s="33">
        <f>D813*D792/((1+G810)^R812)</f>
        <v>0.24</v>
      </c>
      <c r="S818" s="33">
        <f>D813*D792/((1+G810)^S812)</f>
        <v>0.24</v>
      </c>
      <c r="T818" s="33">
        <f>D813*D792/((1+G810)^T812)</f>
        <v>0.24</v>
      </c>
      <c r="U818" s="33">
        <f>D813*D792/((1+G810)^U812)</f>
        <v>0.24</v>
      </c>
      <c r="V818" s="33">
        <f>D813*D792/((1+G810)^V812)</f>
        <v>0.24</v>
      </c>
      <c r="W818" s="33">
        <f>D813*D792/((1+G810)^W812)</f>
        <v>0.24</v>
      </c>
      <c r="X818" s="33">
        <f>D813*D792/((1+G810)^X812)</f>
        <v>0.24</v>
      </c>
      <c r="Y818" s="33">
        <f>D813*D792/((1+G810)^Y812)</f>
        <v>0.24</v>
      </c>
      <c r="Z818" s="33">
        <f>D813*D792/((1+G810)^Z812)</f>
        <v>0.24</v>
      </c>
      <c r="AA818" s="33">
        <f>D813*D792/((1+G810)^AA812)</f>
        <v>0.24</v>
      </c>
    </row>
    <row r="819" spans="2:27" hidden="1" outlineLevel="1" x14ac:dyDescent="0.3">
      <c r="C819" s="18" t="s">
        <v>70</v>
      </c>
      <c r="D819" s="32">
        <f>分布式光伏电站IRR汇总!$B$27</f>
        <v>1</v>
      </c>
      <c r="F819" s="6" t="s">
        <v>19</v>
      </c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>
        <f>D813*D816/((1+G810)^AA812)</f>
        <v>0.9844799999999998</v>
      </c>
    </row>
    <row r="820" spans="2:27" hidden="1" outlineLevel="1" x14ac:dyDescent="0.3">
      <c r="C820" s="18" t="s">
        <v>69</v>
      </c>
      <c r="D820" s="31">
        <f>D819*D818</f>
        <v>0.60764799999999997</v>
      </c>
      <c r="F820" s="8" t="s">
        <v>64</v>
      </c>
      <c r="G820" s="33">
        <f>SUM(H821:AA821)</f>
        <v>144940.76109236359</v>
      </c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 spans="2:27" hidden="1" outlineLevel="1" x14ac:dyDescent="0.3">
      <c r="C821" s="18" t="s">
        <v>31</v>
      </c>
      <c r="D821" s="27">
        <v>0</v>
      </c>
      <c r="F821" s="9" t="s">
        <v>65</v>
      </c>
      <c r="G821" s="33"/>
      <c r="H821" s="33">
        <f>D792*D809*(1-D811)*D815/((1+G810)^H812)</f>
        <v>7561.7387999999992</v>
      </c>
      <c r="I821" s="33">
        <f>D792*D809*(1-D811)*(1-D812)^(I812-1)*D815/((1+G810)^I812)</f>
        <v>7527.7109753999994</v>
      </c>
      <c r="J821" s="33">
        <f>D792*D809*(1-D811)*(1-D812)^(J812-1)*D815/((1+G810)^J812)</f>
        <v>7493.8362760106993</v>
      </c>
      <c r="K821" s="33">
        <f>D792*D809*(1-D811)*(1-D812)^(K812-1)*D815/((1+G810)^K812)</f>
        <v>7460.1140127686531</v>
      </c>
      <c r="L821" s="33">
        <f>D792*D809*(1-D811)*(1-D812)^(L812-1)*D815/((1+G810)^L812)</f>
        <v>7426.5434997111943</v>
      </c>
      <c r="M821" s="33">
        <f>D792*D809*(1-D811)*(1-D812)^(M812-1)*D815/((1+G810)^M812)</f>
        <v>7393.1240539624941</v>
      </c>
      <c r="N821" s="33">
        <f>D792*D809*(1-D811)*(1-D812)^(N812-1)*D815/((1+G810)^N812)</f>
        <v>7359.8549957196628</v>
      </c>
      <c r="O821" s="33">
        <f>D792*D809*(1-D811)*(1-D812)^(O812-1)*D815/((1+G810)^O812)</f>
        <v>7326.735648238925</v>
      </c>
      <c r="P821" s="33">
        <f>D792*D809*(1-D811)*(1-D812)^(P812-1)*D815/((1+G810)^P812)</f>
        <v>7293.7653378218502</v>
      </c>
      <c r="Q821" s="33">
        <f>D792*D809*(1-D811)*(1-D812)^(Q812-1)*D815/((1+G810)^Q812)</f>
        <v>7260.9433938016527</v>
      </c>
      <c r="R821" s="33">
        <f>D792*D809*(1-D811)*(1-D812)^(R812-1)*D815/((1+G810)^R812)</f>
        <v>7228.2691485295463</v>
      </c>
      <c r="S821" s="33">
        <f>D792*D809*(1-D811)*(1-D812)^(S812-1)*D815/((1+G810)^S812)</f>
        <v>7195.7419373611629</v>
      </c>
      <c r="T821" s="33">
        <f>D792*D809*(1-D811)*(1-D812)^(T812-1)*D815/((1+G810)^T812)</f>
        <v>7163.3610986430385</v>
      </c>
      <c r="U821" s="33">
        <f>D792*D809*(1-D811)*(1-D812)^(U812-1)*D815/((1+G810)^U812)</f>
        <v>7131.1259736991451</v>
      </c>
      <c r="V821" s="33">
        <f>D792*D809*(1-D811)*(1-D812)^(V812-1)*D815/((1+G810)^V812)</f>
        <v>7099.0359068174985</v>
      </c>
      <c r="W821" s="33">
        <f>D792*D809*(1-D811)*(1-D812)^(W812-1)*D815/((1+G810)^W812)</f>
        <v>7067.0902452368209</v>
      </c>
      <c r="X821" s="33">
        <f>D792*D809*(1-D811)*(1-D812)^(X812-1)*D815/((1+G810)^X812)</f>
        <v>7035.2883391332552</v>
      </c>
      <c r="Y821" s="33">
        <f>D792*D809*(1-D811)*(1-D812)^(Y812-1)*D815/((1+G810)^Y812)</f>
        <v>7003.6295416071562</v>
      </c>
      <c r="Z821" s="33">
        <f>D792*D809*(1-D811)*(1-D812)^(Z812-1)*D815/((1+G810)^Z812)</f>
        <v>6972.1132086699254</v>
      </c>
      <c r="AA821" s="33">
        <f>D792*D809*(1-D811)*(1-D812)^(AA812-1)*D815/((1+G810)^AA812)</f>
        <v>6940.7386992309112</v>
      </c>
    </row>
    <row r="822" spans="2:27" hidden="1" outlineLevel="1" x14ac:dyDescent="0.3">
      <c r="F822" s="4" t="s">
        <v>66</v>
      </c>
      <c r="G822" s="33">
        <f>SUM(H823:AA823)</f>
        <v>88.072963596252521</v>
      </c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 spans="2:27" hidden="1" outlineLevel="1" x14ac:dyDescent="0.3">
      <c r="F823" s="7" t="s">
        <v>67</v>
      </c>
      <c r="G823" s="33"/>
      <c r="H823" s="33">
        <f>H821*D820/1000</f>
        <v>4.5948754583423987</v>
      </c>
      <c r="I823" s="33">
        <f>I821*D820/1000</f>
        <v>4.5741985187798582</v>
      </c>
      <c r="J823" s="33">
        <f>J821*D820/1000</f>
        <v>4.5536146254453485</v>
      </c>
      <c r="K823" s="33">
        <f>K821*D820/1000</f>
        <v>4.5331233596308467</v>
      </c>
      <c r="L823" s="33">
        <f>L821*D820/1000</f>
        <v>4.5127243045125081</v>
      </c>
      <c r="M823" s="33">
        <f>M821*D820/1000</f>
        <v>4.4924170451422016</v>
      </c>
      <c r="N823" s="33">
        <f>N821*D820/1000</f>
        <v>4.4722011684390619</v>
      </c>
      <c r="O823" s="33">
        <f>O821*D820/1000</f>
        <v>4.4520762631810857</v>
      </c>
      <c r="P823" s="33">
        <f>P821*D820/1000</f>
        <v>4.4320419199967711</v>
      </c>
      <c r="Q823" s="33">
        <f>Q821*D820/1000</f>
        <v>4.4120977313567868</v>
      </c>
      <c r="R823" s="33">
        <f>R821*D820/1000</f>
        <v>4.3922432915656815</v>
      </c>
      <c r="S823" s="33">
        <f>S821*D820/1000</f>
        <v>4.3724781967536357</v>
      </c>
      <c r="T823" s="33">
        <f>T821*D820/1000</f>
        <v>4.3528020448682447</v>
      </c>
      <c r="U823" s="33">
        <f>U821*D820/1000</f>
        <v>4.3332144356663376</v>
      </c>
      <c r="V823" s="33">
        <f>V821*D820/1000</f>
        <v>4.3137149707058384</v>
      </c>
      <c r="W823" s="33">
        <f>W821*D820/1000</f>
        <v>4.2943032533376639</v>
      </c>
      <c r="X823" s="33">
        <f>X821*D820/1000</f>
        <v>4.2749788886976443</v>
      </c>
      <c r="Y823" s="33">
        <f>Y821*D820/1000</f>
        <v>4.2557414836985057</v>
      </c>
      <c r="Z823" s="33">
        <f>Z821*D820/1000</f>
        <v>4.2365906470218624</v>
      </c>
      <c r="AA823" s="33">
        <f>AA821*D820/1000</f>
        <v>4.2175259891102641</v>
      </c>
    </row>
    <row r="824" spans="2:27" hidden="1" outlineLevel="1" x14ac:dyDescent="0.3">
      <c r="F824" s="4" t="s">
        <v>20</v>
      </c>
      <c r="G824" s="33">
        <f>SUM(H825:AA825)</f>
        <v>14.972890899063136</v>
      </c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 spans="2:27" hidden="1" outlineLevel="1" x14ac:dyDescent="0.3">
      <c r="F825" s="7" t="s">
        <v>21</v>
      </c>
      <c r="G825" s="33"/>
      <c r="H825" s="33">
        <f>(H823-H816-H818)*G811</f>
        <v>0.79645136458559973</v>
      </c>
      <c r="I825" s="33">
        <f>(I823-I816-I818)*G811</f>
        <v>0.79128212969496459</v>
      </c>
      <c r="J825" s="33">
        <f>(J823-J816-J818)*G811</f>
        <v>0.78613615636133716</v>
      </c>
      <c r="K825" s="33">
        <f>(K823-K816-K818)*G811</f>
        <v>0.78101333990771171</v>
      </c>
      <c r="L825" s="33">
        <f>(L823-L816-L818)*G811</f>
        <v>0.77591357612812706</v>
      </c>
      <c r="M825" s="33">
        <f>(M823-M816-M818)*G811</f>
        <v>0.77083676128555045</v>
      </c>
      <c r="N825" s="33">
        <f>(N823-N816-N818)*G811</f>
        <v>0.76578279210976552</v>
      </c>
      <c r="O825" s="33">
        <f>(O823-O816-O818)*G811</f>
        <v>0.76075156579527148</v>
      </c>
      <c r="P825" s="33">
        <f>(P823-P816-P818)*G811</f>
        <v>0.75574297999919282</v>
      </c>
      <c r="Q825" s="33">
        <f>(Q823-Q816-Q818)*G811</f>
        <v>0.75075693283919676</v>
      </c>
      <c r="R825" s="33">
        <f>(R823-R816-R818)*G811</f>
        <v>0.74579332289142042</v>
      </c>
      <c r="S825" s="33">
        <f>(S823-S816-S818)*G811</f>
        <v>0.74085204918840897</v>
      </c>
      <c r="T825" s="33">
        <f>(T823-T816-T818)*G811</f>
        <v>0.73593301121706123</v>
      </c>
      <c r="U825" s="33">
        <f>(U823-U816-U818)*G811</f>
        <v>0.73103610891658444</v>
      </c>
      <c r="V825" s="33">
        <f>(V823-V816-V818)*G811</f>
        <v>0.72616124267645965</v>
      </c>
      <c r="W825" s="33">
        <f>(W823-W816-W818)*G811</f>
        <v>0.72130831333441603</v>
      </c>
      <c r="X825" s="33">
        <f>(X823-X816-X818)*G811</f>
        <v>0.71647722217441112</v>
      </c>
      <c r="Y825" s="33">
        <f>(Y823-Y816-Y818)*G811</f>
        <v>0.71166787092462647</v>
      </c>
      <c r="Z825" s="33">
        <f>(Z823-Z816-Z818)*G811</f>
        <v>0.70688016175546564</v>
      </c>
      <c r="AA825" s="33">
        <f>(AA823-AA816-AA818)*G811</f>
        <v>0.70211399727756607</v>
      </c>
    </row>
    <row r="826" spans="2:27" hidden="1" outlineLevel="1" x14ac:dyDescent="0.3">
      <c r="F826" s="10" t="s">
        <v>22</v>
      </c>
      <c r="G826" s="33">
        <f>-G814</f>
        <v>-24.611999999999995</v>
      </c>
      <c r="H826" s="33">
        <f>H823-H825-H818</f>
        <v>3.5584240937567992</v>
      </c>
      <c r="I826" s="33">
        <f t="shared" ref="I826" si="251">I823-I825-I818</f>
        <v>3.5429163890848931</v>
      </c>
      <c r="J826" s="33">
        <f t="shared" ref="J826" si="252">J823-J825-J818</f>
        <v>3.5274784690840111</v>
      </c>
      <c r="K826" s="33">
        <f t="shared" ref="K826" si="253">K823-K825-K818</f>
        <v>3.512110019723135</v>
      </c>
      <c r="L826" s="33">
        <f t="shared" ref="L826" si="254">L823-L825-L818</f>
        <v>3.4968107283843812</v>
      </c>
      <c r="M826" s="33">
        <f t="shared" ref="M826" si="255">M823-M825-M818</f>
        <v>3.4815802838566512</v>
      </c>
      <c r="N826" s="33">
        <f t="shared" ref="N826" si="256">N823-N825-N818</f>
        <v>3.4664183763292966</v>
      </c>
      <c r="O826" s="33">
        <f t="shared" ref="O826" si="257">O823-O825-O818</f>
        <v>3.4513246973858145</v>
      </c>
      <c r="P826" s="33">
        <f t="shared" ref="P826" si="258">P823-P825-P818</f>
        <v>3.4362989399975783</v>
      </c>
      <c r="Q826" s="33">
        <f t="shared" ref="Q826" si="259">Q823-Q825-Q818</f>
        <v>3.4213407985175897</v>
      </c>
      <c r="R826" s="33">
        <f t="shared" ref="R826" si="260">R823-R825-R818</f>
        <v>3.4064499686742611</v>
      </c>
      <c r="S826" s="33">
        <f t="shared" ref="S826" si="261">S823-S825-S818</f>
        <v>3.3916261475652263</v>
      </c>
      <c r="T826" s="33">
        <f t="shared" ref="T826" si="262">T823-T825-T818</f>
        <v>3.3768690336511833</v>
      </c>
      <c r="U826" s="33">
        <f t="shared" ref="U826" si="263">U823-U825-U818</f>
        <v>3.3621783267497527</v>
      </c>
      <c r="V826" s="33">
        <f t="shared" ref="V826" si="264">V823-V825-V818</f>
        <v>3.3475537280293786</v>
      </c>
      <c r="W826" s="33">
        <f t="shared" ref="W826" si="265">W823-W825-W818</f>
        <v>3.3329949400032479</v>
      </c>
      <c r="X826" s="33">
        <f t="shared" ref="X826" si="266">X823-X825-X818</f>
        <v>3.3185016665232334</v>
      </c>
      <c r="Y826" s="33">
        <f t="shared" ref="Y826" si="267">Y823-Y825-Y818</f>
        <v>3.3040736127738795</v>
      </c>
      <c r="Z826" s="33">
        <f t="shared" ref="Z826" si="268">Z823-Z825-Z818</f>
        <v>3.2897104852663963</v>
      </c>
      <c r="AA826" s="33">
        <f t="shared" ref="AA826" si="269">AA823-AA825-AA818</f>
        <v>3.2754119918326978</v>
      </c>
    </row>
    <row r="827" spans="2:27" ht="13.5" hidden="1" outlineLevel="1" thickBot="1" x14ac:dyDescent="0.35">
      <c r="F827" s="3" t="s">
        <v>68</v>
      </c>
      <c r="G827" s="40">
        <f>IRR(G826:AA826)</f>
        <v>0.12839615993389963</v>
      </c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2:27" ht="13.5" collapsed="1" thickTop="1" x14ac:dyDescent="0.3"/>
    <row r="829" spans="2:27" x14ac:dyDescent="0.3">
      <c r="B829" s="11" t="s">
        <v>160</v>
      </c>
      <c r="C829" s="11" t="s">
        <v>52</v>
      </c>
    </row>
    <row r="830" spans="2:27" x14ac:dyDescent="0.3">
      <c r="C830" s="11" t="s">
        <v>141</v>
      </c>
      <c r="D830" s="54">
        <f>D861</f>
        <v>1470</v>
      </c>
    </row>
    <row r="831" spans="2:27" x14ac:dyDescent="0.3">
      <c r="C831" s="16" t="s">
        <v>78</v>
      </c>
      <c r="D831" s="37">
        <f>(G860+G863+G870)/G866*1000</f>
        <v>0.29108593783460629</v>
      </c>
    </row>
    <row r="832" spans="2:27" x14ac:dyDescent="0.3">
      <c r="C832" s="13" t="s">
        <v>77</v>
      </c>
      <c r="D832" s="39">
        <f>(G841+G844+G851)/G847*1000</f>
        <v>0.4290386751793096</v>
      </c>
    </row>
    <row r="833" spans="3:27" x14ac:dyDescent="0.3">
      <c r="C833" s="13" t="s">
        <v>61</v>
      </c>
      <c r="D833" s="36">
        <f>G854</f>
        <v>0.31309789326507137</v>
      </c>
    </row>
    <row r="834" spans="3:27" x14ac:dyDescent="0.3">
      <c r="C834" s="13" t="s">
        <v>73</v>
      </c>
      <c r="D834" s="25">
        <f>SUM(G853:AA853)</f>
        <v>7.7059653490399356</v>
      </c>
    </row>
    <row r="835" spans="3:27" ht="13.5" thickBot="1" x14ac:dyDescent="0.35">
      <c r="C835" s="23" t="s">
        <v>68</v>
      </c>
      <c r="D835" s="26">
        <f>G873</f>
        <v>0.10868389739837614</v>
      </c>
    </row>
    <row r="836" spans="3:27" ht="13.5" hidden="1" outlineLevel="1" thickTop="1" x14ac:dyDescent="0.3">
      <c r="E836" s="20"/>
      <c r="F836" s="38" t="s">
        <v>75</v>
      </c>
    </row>
    <row r="837" spans="3:27" hidden="1" outlineLevel="1" x14ac:dyDescent="0.3">
      <c r="C837" s="11" t="s">
        <v>71</v>
      </c>
      <c r="F837" s="13" t="s">
        <v>25</v>
      </c>
      <c r="G837" s="14">
        <v>7.0000000000000007E-2</v>
      </c>
    </row>
    <row r="838" spans="3:27" hidden="1" outlineLevel="1" x14ac:dyDescent="0.3">
      <c r="C838" s="18" t="s">
        <v>53</v>
      </c>
      <c r="D838" s="19">
        <f>分布式光伏电站IRR汇总!$B$2</f>
        <v>6</v>
      </c>
      <c r="F838" s="13" t="s">
        <v>26</v>
      </c>
      <c r="G838" s="14">
        <v>0.25</v>
      </c>
    </row>
    <row r="839" spans="3:27" hidden="1" outlineLevel="1" x14ac:dyDescent="0.3">
      <c r="C839" s="18" t="s">
        <v>56</v>
      </c>
      <c r="D839" s="19">
        <f>分布式光伏电站IRR汇总!$B$3</f>
        <v>120</v>
      </c>
      <c r="F839" s="1" t="s">
        <v>44</v>
      </c>
      <c r="G839" s="4"/>
      <c r="H839" s="5">
        <v>1</v>
      </c>
      <c r="I839" s="5">
        <v>2</v>
      </c>
      <c r="J839" s="5">
        <v>3</v>
      </c>
      <c r="K839" s="5">
        <v>4</v>
      </c>
      <c r="L839" s="5">
        <v>5</v>
      </c>
      <c r="M839" s="5">
        <v>6</v>
      </c>
      <c r="N839" s="5">
        <v>7</v>
      </c>
      <c r="O839" s="5">
        <v>8</v>
      </c>
      <c r="P839" s="5">
        <v>9</v>
      </c>
      <c r="Q839" s="5">
        <v>10</v>
      </c>
      <c r="R839" s="5">
        <v>11</v>
      </c>
      <c r="S839" s="5">
        <v>12</v>
      </c>
      <c r="T839" s="5">
        <v>13</v>
      </c>
      <c r="U839" s="5">
        <v>14</v>
      </c>
      <c r="V839" s="5">
        <v>15</v>
      </c>
      <c r="W839" s="5">
        <v>16</v>
      </c>
      <c r="X839" s="5">
        <v>17</v>
      </c>
      <c r="Y839" s="5">
        <v>18</v>
      </c>
      <c r="Z839" s="5">
        <v>19</v>
      </c>
      <c r="AA839" s="5">
        <v>20</v>
      </c>
    </row>
    <row r="840" spans="3:27" hidden="1" outlineLevel="1" x14ac:dyDescent="0.3">
      <c r="C840" s="18" t="s">
        <v>57</v>
      </c>
      <c r="D840" s="19">
        <f>分布式光伏电站IRR汇总!$B$4</f>
        <v>3</v>
      </c>
      <c r="F840" s="16"/>
      <c r="G840" s="2" t="s">
        <v>0</v>
      </c>
      <c r="H840" s="2" t="s">
        <v>1</v>
      </c>
      <c r="I840" s="2" t="s">
        <v>2</v>
      </c>
      <c r="J840" s="2" t="s">
        <v>3</v>
      </c>
      <c r="K840" s="2" t="s">
        <v>4</v>
      </c>
      <c r="L840" s="2" t="s">
        <v>5</v>
      </c>
      <c r="M840" s="2" t="s">
        <v>6</v>
      </c>
      <c r="N840" s="2" t="s">
        <v>7</v>
      </c>
      <c r="O840" s="2" t="s">
        <v>8</v>
      </c>
      <c r="P840" s="2" t="s">
        <v>9</v>
      </c>
      <c r="Q840" s="2" t="s">
        <v>10</v>
      </c>
      <c r="R840" s="2" t="s">
        <v>11</v>
      </c>
      <c r="S840" s="2" t="s">
        <v>12</v>
      </c>
      <c r="T840" s="2" t="s">
        <v>13</v>
      </c>
      <c r="U840" s="2" t="s">
        <v>45</v>
      </c>
      <c r="V840" s="2" t="s">
        <v>46</v>
      </c>
      <c r="W840" s="2" t="s">
        <v>47</v>
      </c>
      <c r="X840" s="2" t="s">
        <v>48</v>
      </c>
      <c r="Y840" s="2" t="s">
        <v>49</v>
      </c>
      <c r="Z840" s="2" t="s">
        <v>50</v>
      </c>
      <c r="AA840" s="2" t="s">
        <v>127</v>
      </c>
    </row>
    <row r="841" spans="3:27" hidden="1" outlineLevel="1" x14ac:dyDescent="0.3">
      <c r="C841" s="18" t="s">
        <v>54</v>
      </c>
      <c r="D841" s="19">
        <f>分布式光伏电站IRR汇总!$B$5</f>
        <v>5</v>
      </c>
      <c r="F841" s="6" t="s">
        <v>14</v>
      </c>
      <c r="G841" s="33">
        <f>D862</f>
        <v>24.611999999999995</v>
      </c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 spans="3:27" hidden="1" outlineLevel="1" x14ac:dyDescent="0.3">
      <c r="C842" s="18" t="s">
        <v>55</v>
      </c>
      <c r="D842" s="19">
        <f>分布式光伏电站IRR汇总!$B$6</f>
        <v>15</v>
      </c>
      <c r="F842" s="6" t="s">
        <v>15</v>
      </c>
      <c r="G842" s="33">
        <f>SUM(H843:AA843)</f>
        <v>12.385144234005573</v>
      </c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 spans="3:27" hidden="1" outlineLevel="1" x14ac:dyDescent="0.3">
      <c r="C843" s="18" t="s">
        <v>42</v>
      </c>
      <c r="D843" s="19">
        <f>分布式光伏电站IRR汇总!$B$7</f>
        <v>4.1019999999999994</v>
      </c>
      <c r="F843" s="7" t="s">
        <v>16</v>
      </c>
      <c r="G843" s="33"/>
      <c r="H843" s="33">
        <f>D862*(1-D860)/D856/((1+G837)^H839)</f>
        <v>1.0925887850467286</v>
      </c>
      <c r="I843" s="33">
        <f>D862*(1-D860)/D856/((1+G837)^I839)</f>
        <v>1.0211110140623632</v>
      </c>
      <c r="J843" s="33">
        <f>D862*(1-D860)/D856/((1+G837)^J839)</f>
        <v>0.95430935893678792</v>
      </c>
      <c r="K843" s="33">
        <f>D862*(1-D860)/D856/((1+G837)^K839)</f>
        <v>0.89187790554839996</v>
      </c>
      <c r="L843" s="33">
        <f>D862*(1-D860)/D856/((1+G837)^L839)</f>
        <v>0.83353075284897193</v>
      </c>
      <c r="M843" s="33">
        <f>D862*(1-D860)/D856/((1+G837)^M839)</f>
        <v>0.77900070359717</v>
      </c>
      <c r="N843" s="33">
        <f>D862*(1-D860)/D856/((1+G837)^N839)</f>
        <v>0.72803804074501866</v>
      </c>
      <c r="O843" s="33">
        <f>D862*(1-D860)/D856/((1+G837)^O839)</f>
        <v>0.6804093838738493</v>
      </c>
      <c r="P843" s="33">
        <f>D862*(1-D860)/D856/((1+G837)^P839)</f>
        <v>0.63589662044284967</v>
      </c>
      <c r="Q843" s="33">
        <f>D862*(1-D860)/D856/((1+G837)^Q839)</f>
        <v>0.59429590695593437</v>
      </c>
      <c r="R843" s="33">
        <f>D862*(1-D860)/D856/((1+G837)^R839)</f>
        <v>0.55541673547283577</v>
      </c>
      <c r="S843" s="33">
        <f>D862*(1-D860)/D856/((1+G837)^S839)</f>
        <v>0.51908106118956621</v>
      </c>
      <c r="T843" s="33">
        <f>D862*(1-D860)/D856/((1+G837)^T839)</f>
        <v>0.4851224870930525</v>
      </c>
      <c r="U843" s="33">
        <f>D862*(1-D860)/D856/((1+G837)^U839)</f>
        <v>0.45338550195612387</v>
      </c>
      <c r="V843" s="33">
        <f>D862*(1-D860)/D856/((1+G837)^V839)</f>
        <v>0.4237247681832933</v>
      </c>
      <c r="W843" s="33">
        <f>D862*(1-D860)/D856/((1+G837)^W839)</f>
        <v>0.39600445624606856</v>
      </c>
      <c r="X843" s="33">
        <f>D862*(1-D860)/D856/((1+G837)^X839)</f>
        <v>0.37009762265987711</v>
      </c>
      <c r="Y843" s="33">
        <f>D862*(1-D860)/D856/((1+G837)^Y839)</f>
        <v>0.34588562865409078</v>
      </c>
      <c r="Z843" s="33">
        <f>D862*(1-D860)/D856/((1+G837)^Z839)</f>
        <v>0.323257596872982</v>
      </c>
      <c r="AA843" s="33">
        <f>D862*(1-D860)/D856/((1+G837)^AA839)</f>
        <v>0.30210990361960938</v>
      </c>
    </row>
    <row r="844" spans="3:27" hidden="1" outlineLevel="1" x14ac:dyDescent="0.3">
      <c r="C844" s="21" t="s">
        <v>32</v>
      </c>
      <c r="D844" s="19">
        <f>分布式光伏电站IRR汇总!$B$8</f>
        <v>1.8870000000000002</v>
      </c>
      <c r="F844" s="6" t="s">
        <v>17</v>
      </c>
      <c r="G844" s="33">
        <f>SUM(H845:AA845)</f>
        <v>2.5425634189238777</v>
      </c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 spans="3:27" hidden="1" outlineLevel="1" x14ac:dyDescent="0.3">
      <c r="C845" s="21" t="s">
        <v>33</v>
      </c>
      <c r="D845" s="19">
        <f>分布式光伏电站IRR汇总!$B$9</f>
        <v>0.18500000000000003</v>
      </c>
      <c r="F845" s="7" t="s">
        <v>18</v>
      </c>
      <c r="G845" s="33"/>
      <c r="H845" s="33">
        <f>D859*D838/((1+G837)^H839)</f>
        <v>0.22429906542056072</v>
      </c>
      <c r="I845" s="33">
        <f>D859*D838/((1+G837)^I839)</f>
        <v>0.20962529478557079</v>
      </c>
      <c r="J845" s="33">
        <f>D859*D838/((1+G837)^J839)</f>
        <v>0.19591149045380446</v>
      </c>
      <c r="K845" s="33">
        <f>D859*D838/((1+G837)^K839)</f>
        <v>0.18309485089140604</v>
      </c>
      <c r="L845" s="33">
        <f>D859*D838/((1+G837)^L839)</f>
        <v>0.17111668307608041</v>
      </c>
      <c r="M845" s="33">
        <f>D859*D838/((1+G837)^M839)</f>
        <v>0.15992213371596301</v>
      </c>
      <c r="N845" s="33">
        <f>D859*D838/((1+G837)^N839)</f>
        <v>0.14945993805230187</v>
      </c>
      <c r="O845" s="33">
        <f>D859*D838/((1+G837)^O839)</f>
        <v>0.13968218509560923</v>
      </c>
      <c r="P845" s="33">
        <f>D859*D838/((1+G837)^P839)</f>
        <v>0.13054409822019553</v>
      </c>
      <c r="Q845" s="33">
        <f>D859*D838/((1+G837)^Q839)</f>
        <v>0.12200383011233226</v>
      </c>
      <c r="R845" s="33">
        <f>D859*D838/((1+G837)^R839)</f>
        <v>0.1140222711330208</v>
      </c>
      <c r="S845" s="33">
        <f>D859*D838/((1+G837)^S839)</f>
        <v>0.10656287021777647</v>
      </c>
      <c r="T845" s="33">
        <f>D859*D838/((1+G837)^T839)</f>
        <v>9.9591467493249028E-2</v>
      </c>
      <c r="U845" s="33">
        <f>D859*D838/((1+G837)^U839)</f>
        <v>9.3076137844157969E-2</v>
      </c>
      <c r="V845" s="33">
        <f>D859*D838/((1+G837)^V839)</f>
        <v>8.6987044714166323E-2</v>
      </c>
      <c r="W845" s="33">
        <f>D859*D838/((1+G837)^W839)</f>
        <v>8.1296303471183481E-2</v>
      </c>
      <c r="X845" s="33">
        <f>D859*D838/((1+G837)^X839)</f>
        <v>7.5977853711386434E-2</v>
      </c>
      <c r="Y845" s="33">
        <f>D859*D838/((1+G837)^Y839)</f>
        <v>7.1007339917183582E-2</v>
      </c>
      <c r="Z845" s="33">
        <f>D859*D838/((1+G837)^Z839)</f>
        <v>6.6361999922601472E-2</v>
      </c>
      <c r="AA845" s="33">
        <f>D859*D838/((1+G837)^AA839)</f>
        <v>6.2020560675328483E-2</v>
      </c>
    </row>
    <row r="846" spans="3:27" hidden="1" outlineLevel="1" x14ac:dyDescent="0.3">
      <c r="C846" s="21" t="s">
        <v>34</v>
      </c>
      <c r="D846" s="19">
        <f>分布式光伏电站IRR汇总!$B$10</f>
        <v>0.222</v>
      </c>
      <c r="F846" s="6" t="s">
        <v>19</v>
      </c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>
        <f>D859*D862/((1+G837)^AA839)</f>
        <v>0.2544083398901974</v>
      </c>
    </row>
    <row r="847" spans="3:27" hidden="1" outlineLevel="1" x14ac:dyDescent="0.3">
      <c r="C847" s="21" t="s">
        <v>35</v>
      </c>
      <c r="D847" s="19">
        <f>分布式光伏电站IRR汇总!$B$11</f>
        <v>0.44400000000000001</v>
      </c>
      <c r="F847" s="8" t="s">
        <v>64</v>
      </c>
      <c r="G847" s="33">
        <f>SUM(H848:AA848)</f>
        <v>76749.609990006953</v>
      </c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 spans="3:27" hidden="1" outlineLevel="1" x14ac:dyDescent="0.3">
      <c r="C848" s="21" t="s">
        <v>36</v>
      </c>
      <c r="D848" s="19">
        <f>分布式光伏电站IRR汇总!$B$12</f>
        <v>0.222</v>
      </c>
      <c r="F848" s="9" t="s">
        <v>65</v>
      </c>
      <c r="G848" s="33"/>
      <c r="H848" s="33">
        <f>D838*D855*(1-D857)*D861/((1+G837)^H839)</f>
        <v>6995.6613084112141</v>
      </c>
      <c r="I848" s="33">
        <f>D838*D855*(1-D857)*(1-D858)^(I839-1)*D861/((1+G837)^I839)</f>
        <v>6508.5802173115544</v>
      </c>
      <c r="J848" s="33">
        <f>D838*D855*(1-D857)*(1-D858)^(J839-1)*D861/((1+G837)^J839)</f>
        <v>6055.4127161996748</v>
      </c>
      <c r="K848" s="33">
        <f>D838*D855*(1-D857)*(1-D858)^(K839-1)*D861/((1+G837)^K839)</f>
        <v>5633.7975317539986</v>
      </c>
      <c r="L848" s="33">
        <f>D838*D855*(1-D857)*(1-D858)^(L839-1)*D861/((1+G837)^L839)</f>
        <v>5241.5377970664531</v>
      </c>
      <c r="M848" s="33">
        <f>D838*D855*(1-D857)*(1-D858)^(M839-1)*D861/((1+G837)^M839)</f>
        <v>4876.5896046538837</v>
      </c>
      <c r="N848" s="33">
        <f>D838*D855*(1-D857)*(1-D858)^(N839-1)*D861/((1+G837)^N839)</f>
        <v>4537.0513564793837</v>
      </c>
      <c r="O848" s="33">
        <f>D838*D855*(1-D857)*(1-D858)^(O839-1)*D861/((1+G837)^O839)</f>
        <v>4221.1538554908657</v>
      </c>
      <c r="P848" s="33">
        <f>D838*D855*(1-D857)*(1-D858)^(P839-1)*D861/((1+G837)^P839)</f>
        <v>3927.2510870478104</v>
      </c>
      <c r="Q848" s="33">
        <f>D838*D855*(1-D857)*(1-D858)^(Q839-1)*D861/((1+G837)^Q839)</f>
        <v>3653.8116422019589</v>
      </c>
      <c r="R848" s="33">
        <f>D838*D855*(1-D857)*(1-D858)^(R839-1)*D861/((1+G837)^R839)</f>
        <v>3399.4107381421027</v>
      </c>
      <c r="S848" s="33">
        <f>D838*D855*(1-D857)*(1-D858)^(S839-1)*D861/((1+G837)^S839)</f>
        <v>3162.7227942247328</v>
      </c>
      <c r="T848" s="33">
        <f>D838*D855*(1-D857)*(1-D858)^(T839-1)*D861/((1+G837)^T839)</f>
        <v>2942.5145249072161</v>
      </c>
      <c r="U848" s="33">
        <f>D838*D855*(1-D857)*(1-D858)^(U839-1)*D861/((1+G837)^U839)</f>
        <v>2737.638513593583</v>
      </c>
      <c r="V848" s="33">
        <f>D838*D855*(1-D857)*(1-D858)^(V839-1)*D861/((1+G837)^V839)</f>
        <v>2547.0272339087956</v>
      </c>
      <c r="W848" s="33">
        <f>D838*D855*(1-D857)*(1-D858)^(W839-1)*D861/((1+G837)^W839)</f>
        <v>2369.6874872487915</v>
      </c>
      <c r="X848" s="33">
        <f>D838*D855*(1-D857)*(1-D858)^(X839-1)*D861/((1+G837)^X839)</f>
        <v>2204.6952276225907</v>
      </c>
      <c r="Y848" s="33">
        <f>D838*D855*(1-D857)*(1-D858)^(Y839-1)*D861/((1+G837)^Y839)</f>
        <v>2051.190746820831</v>
      </c>
      <c r="Z848" s="33">
        <f>D838*D855*(1-D857)*(1-D858)^(Z839-1)*D861/((1+G837)^Z839)</f>
        <v>1908.3741948225586</v>
      </c>
      <c r="AA848" s="33">
        <f>D838*D855*(1-D857)*(1-D858)^(AA839-1)*D861/((1+G837)^AA839)</f>
        <v>1775.501412098932</v>
      </c>
    </row>
    <row r="849" spans="3:27" hidden="1" outlineLevel="1" x14ac:dyDescent="0.3">
      <c r="C849" s="21" t="s">
        <v>37</v>
      </c>
      <c r="D849" s="19">
        <f>分布式光伏电站IRR汇总!$B$13</f>
        <v>0.15</v>
      </c>
      <c r="F849" s="4" t="s">
        <v>66</v>
      </c>
      <c r="G849" s="33">
        <f>SUM(H850:AA850)</f>
        <v>41.504802472975264</v>
      </c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 spans="3:27" hidden="1" outlineLevel="1" x14ac:dyDescent="0.3">
      <c r="C850" s="21" t="s">
        <v>38</v>
      </c>
      <c r="D850" s="19">
        <f>分布式光伏电站IRR汇总!$B$14</f>
        <v>3.7000000000000005E-2</v>
      </c>
      <c r="F850" s="7" t="s">
        <v>67</v>
      </c>
      <c r="G850" s="33"/>
      <c r="H850" s="33">
        <f>H848*D866/1000</f>
        <v>3.7831272473078128</v>
      </c>
      <c r="I850" s="33">
        <f>I848*D866/1000</f>
        <v>3.5197225931728293</v>
      </c>
      <c r="J850" s="33">
        <f>J848*D866/1000</f>
        <v>3.2746577957977117</v>
      </c>
      <c r="K850" s="33">
        <f>K848*D866/1000</f>
        <v>3.0466559212304887</v>
      </c>
      <c r="L850" s="33">
        <f>L848*D866/1000</f>
        <v>2.8345289435373373</v>
      </c>
      <c r="M850" s="33">
        <f>M848*D866/1000</f>
        <v>2.637171554477963</v>
      </c>
      <c r="N850" s="33">
        <f>N848*D866/1000</f>
        <v>2.4535554041895438</v>
      </c>
      <c r="O850" s="33">
        <f>O848*D866/1000</f>
        <v>2.2827237428698046</v>
      </c>
      <c r="P850" s="33">
        <f>P848*D866/1000</f>
        <v>2.1237864355391496</v>
      </c>
      <c r="Q850" s="33">
        <f>Q848*D866/1000</f>
        <v>1.9759153239058169</v>
      </c>
      <c r="R850" s="33">
        <f>R848*D866/1000</f>
        <v>1.8383399111665801</v>
      </c>
      <c r="S850" s="33">
        <f>S848*D866/1000</f>
        <v>1.7103433472582532</v>
      </c>
      <c r="T850" s="33">
        <f>T848*D866/1000</f>
        <v>1.5912586936407391</v>
      </c>
      <c r="U850" s="33">
        <f>U848*D866/1000</f>
        <v>1.4804654481489308</v>
      </c>
      <c r="V850" s="33">
        <f>V848*D866/1000</f>
        <v>1.3773863118058507</v>
      </c>
      <c r="W850" s="33">
        <f>W848*D866/1000</f>
        <v>1.2814841807502102</v>
      </c>
      <c r="X850" s="33">
        <f>X848*D866/1000</f>
        <v>1.192259347604518</v>
      </c>
      <c r="Y850" s="33">
        <f>Y848*D866/1000</f>
        <v>1.1092468977012129</v>
      </c>
      <c r="Z850" s="33">
        <f>Z848*D866/1000</f>
        <v>1.0320142865995865</v>
      </c>
      <c r="AA850" s="33">
        <f>AA848*D866/1000</f>
        <v>0.96015908627092383</v>
      </c>
    </row>
    <row r="851" spans="3:27" hidden="1" outlineLevel="1" x14ac:dyDescent="0.3">
      <c r="C851" s="21" t="s">
        <v>39</v>
      </c>
      <c r="D851" s="19">
        <f>分布式光伏电站IRR汇总!$B$15</f>
        <v>0.25900000000000006</v>
      </c>
      <c r="F851" s="4" t="s">
        <v>20</v>
      </c>
      <c r="G851" s="33">
        <f>SUM(H852:V852)</f>
        <v>5.7739875717174174</v>
      </c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 spans="3:27" hidden="1" outlineLevel="1" x14ac:dyDescent="0.3">
      <c r="C852" s="21" t="s">
        <v>40</v>
      </c>
      <c r="D852" s="19">
        <f>分布式光伏电站IRR汇总!$B$16</f>
        <v>7.400000000000001E-2</v>
      </c>
      <c r="F852" s="7" t="s">
        <v>21</v>
      </c>
      <c r="G852" s="33"/>
      <c r="H852" s="33">
        <f>(H850-H843-H845)*G838</f>
        <v>0.61655984921013085</v>
      </c>
      <c r="I852" s="33">
        <f>(I850-I843-I845)*G838</f>
        <v>0.5722465710812239</v>
      </c>
      <c r="J852" s="33">
        <f>(J850-J843-J845)*G838</f>
        <v>0.53110923660177978</v>
      </c>
      <c r="K852" s="33">
        <f>(K850-K843-K845)*G838</f>
        <v>0.49292079119767068</v>
      </c>
      <c r="L852" s="33">
        <f>(L850-L843-L845)*G838</f>
        <v>0.4574703769030713</v>
      </c>
      <c r="M852" s="33">
        <f>(M850-M843-M845)*G838</f>
        <v>0.42456217929120749</v>
      </c>
      <c r="N852" s="33">
        <f>(N850-N843-N845)*G838</f>
        <v>0.39401435634805582</v>
      </c>
      <c r="O852" s="33">
        <f>(O850-O843-O845)*G838</f>
        <v>0.36565804347508657</v>
      </c>
      <c r="P852" s="33">
        <f>(P850-P843-P845)*G838</f>
        <v>0.33933642921902607</v>
      </c>
      <c r="Q852" s="33">
        <f>(Q850-Q843-Q845)*G838</f>
        <v>0.31490389670938757</v>
      </c>
      <c r="R852" s="33">
        <f>(R850-R843-R845)*G838</f>
        <v>0.29222522614018087</v>
      </c>
      <c r="S852" s="33">
        <f>(S850-S843-S845)*G838</f>
        <v>0.27117485396272761</v>
      </c>
      <c r="T852" s="33">
        <f>(T850-T843-T845)*G838</f>
        <v>0.25163618476360944</v>
      </c>
      <c r="U852" s="33">
        <f>(U850-U843-U845)*G838</f>
        <v>0.23350095208716221</v>
      </c>
      <c r="V852" s="33">
        <f>(V850-V843-V845)*G838</f>
        <v>0.21666862472709777</v>
      </c>
      <c r="W852" s="33">
        <f>(W850-W843-W845)*G838</f>
        <v>0.20104585525823956</v>
      </c>
      <c r="X852" s="33">
        <f>(X850-X843-X845)*G838</f>
        <v>0.18654596780831362</v>
      </c>
      <c r="Y852" s="33">
        <f>(Y850-Y843-Y845)*G838</f>
        <v>0.17308848228248463</v>
      </c>
      <c r="Z852" s="33">
        <f>(Z850-Z843-Z845)*G838</f>
        <v>0.16059867245100073</v>
      </c>
      <c r="AA852" s="33">
        <f>(AA850-AA843-AA845)*G838</f>
        <v>0.14900715549399648</v>
      </c>
    </row>
    <row r="853" spans="3:27" hidden="1" outlineLevel="1" x14ac:dyDescent="0.3">
      <c r="C853" s="21" t="s">
        <v>41</v>
      </c>
      <c r="D853" s="19">
        <f>分布式光伏电站IRR汇总!$B$17</f>
        <v>0.222</v>
      </c>
      <c r="F853" s="10" t="s">
        <v>22</v>
      </c>
      <c r="G853" s="33">
        <f>-G841</f>
        <v>-24.611999999999995</v>
      </c>
      <c r="H853" s="33">
        <f t="shared" ref="H853:AA853" si="270">H850-H852-H845</f>
        <v>2.9422683326771213</v>
      </c>
      <c r="I853" s="33">
        <f t="shared" si="270"/>
        <v>2.7378507273060348</v>
      </c>
      <c r="J853" s="33">
        <f t="shared" si="270"/>
        <v>2.5476370687421275</v>
      </c>
      <c r="K853" s="33">
        <f t="shared" si="270"/>
        <v>2.3706402791414121</v>
      </c>
      <c r="L853" s="33">
        <f t="shared" si="270"/>
        <v>2.2059418835581859</v>
      </c>
      <c r="M853" s="33">
        <f t="shared" si="270"/>
        <v>2.0526872414707924</v>
      </c>
      <c r="N853" s="33">
        <f t="shared" si="270"/>
        <v>1.9100811097891861</v>
      </c>
      <c r="O853" s="33">
        <f t="shared" si="270"/>
        <v>1.777383514299109</v>
      </c>
      <c r="P853" s="33">
        <f t="shared" si="270"/>
        <v>1.6539059080999281</v>
      </c>
      <c r="Q853" s="33">
        <f t="shared" si="270"/>
        <v>1.5390075970840971</v>
      </c>
      <c r="R853" s="33">
        <f t="shared" si="270"/>
        <v>1.4320924138933786</v>
      </c>
      <c r="S853" s="33">
        <f t="shared" si="270"/>
        <v>1.332605623077749</v>
      </c>
      <c r="T853" s="33">
        <f t="shared" si="270"/>
        <v>1.2400310413838807</v>
      </c>
      <c r="U853" s="33">
        <f t="shared" si="270"/>
        <v>1.1538883582176105</v>
      </c>
      <c r="V853" s="33">
        <f t="shared" si="270"/>
        <v>1.0737306423645867</v>
      </c>
      <c r="W853" s="33">
        <f t="shared" si="270"/>
        <v>0.99914202202078728</v>
      </c>
      <c r="X853" s="33">
        <f t="shared" si="270"/>
        <v>0.92973552608481791</v>
      </c>
      <c r="Y853" s="33">
        <f t="shared" si="270"/>
        <v>0.86515107550154469</v>
      </c>
      <c r="Z853" s="33">
        <f t="shared" si="270"/>
        <v>0.80505361422598432</v>
      </c>
      <c r="AA853" s="33">
        <f t="shared" si="270"/>
        <v>0.74913137010159891</v>
      </c>
    </row>
    <row r="854" spans="3:27" ht="13.5" hidden="1" outlineLevel="1" thickBot="1" x14ac:dyDescent="0.35">
      <c r="C854" s="21" t="s">
        <v>74</v>
      </c>
      <c r="D854" s="19">
        <f>分布式光伏电站IRR汇总!$B$18</f>
        <v>0.4</v>
      </c>
      <c r="F854" s="3" t="s">
        <v>61</v>
      </c>
      <c r="G854" s="35">
        <f>SUM(G853:AA853)/G841</f>
        <v>0.31309789326507137</v>
      </c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3:27" ht="13.5" hidden="1" outlineLevel="1" thickTop="1" x14ac:dyDescent="0.3">
      <c r="C855" s="18" t="s">
        <v>58</v>
      </c>
      <c r="D855" s="19">
        <f>分布式光伏电站IRR汇总!$B$19</f>
        <v>0.86599999999999999</v>
      </c>
    </row>
    <row r="856" spans="3:27" hidden="1" outlineLevel="1" x14ac:dyDescent="0.3">
      <c r="C856" s="18" t="s">
        <v>62</v>
      </c>
      <c r="D856" s="19">
        <f>分布式光伏电站IRR汇总!$B$20</f>
        <v>20</v>
      </c>
      <c r="F856" s="13" t="s">
        <v>25</v>
      </c>
      <c r="G856" s="14">
        <v>0</v>
      </c>
    </row>
    <row r="857" spans="3:27" hidden="1" outlineLevel="1" x14ac:dyDescent="0.3">
      <c r="C857" s="18" t="s">
        <v>59</v>
      </c>
      <c r="D857" s="52">
        <f>分布式光伏电站IRR汇总!$B$21</f>
        <v>0.02</v>
      </c>
      <c r="F857" s="13" t="s">
        <v>26</v>
      </c>
      <c r="G857" s="14">
        <v>0.25</v>
      </c>
      <c r="Q857" s="15"/>
    </row>
    <row r="858" spans="3:27" hidden="1" outlineLevel="1" x14ac:dyDescent="0.3">
      <c r="C858" s="18" t="s">
        <v>60</v>
      </c>
      <c r="D858" s="52">
        <f>分布式光伏电站IRR汇总!$B$22</f>
        <v>4.4999999999999997E-3</v>
      </c>
      <c r="F858" s="1" t="s">
        <v>44</v>
      </c>
      <c r="G858" s="4"/>
      <c r="H858" s="5">
        <v>1</v>
      </c>
      <c r="I858" s="5">
        <v>2</v>
      </c>
      <c r="J858" s="5">
        <v>3</v>
      </c>
      <c r="K858" s="5">
        <v>4</v>
      </c>
      <c r="L858" s="5">
        <v>5</v>
      </c>
      <c r="M858" s="5">
        <v>6</v>
      </c>
      <c r="N858" s="5">
        <v>7</v>
      </c>
      <c r="O858" s="5">
        <v>8</v>
      </c>
      <c r="P858" s="5">
        <v>9</v>
      </c>
      <c r="Q858" s="5">
        <v>10</v>
      </c>
      <c r="R858" s="5">
        <v>11</v>
      </c>
      <c r="S858" s="5">
        <v>12</v>
      </c>
      <c r="T858" s="5">
        <v>13</v>
      </c>
      <c r="U858" s="5">
        <v>14</v>
      </c>
      <c r="V858" s="5">
        <v>15</v>
      </c>
      <c r="W858" s="5">
        <v>16</v>
      </c>
      <c r="X858" s="5">
        <v>17</v>
      </c>
      <c r="Y858" s="5">
        <v>18</v>
      </c>
      <c r="Z858" s="5">
        <v>19</v>
      </c>
      <c r="AA858" s="5">
        <v>20</v>
      </c>
    </row>
    <row r="859" spans="3:27" hidden="1" outlineLevel="1" x14ac:dyDescent="0.3">
      <c r="C859" s="18" t="s">
        <v>28</v>
      </c>
      <c r="D859" s="29">
        <f>分布式光伏电站IRR汇总!$B$23</f>
        <v>0.04</v>
      </c>
      <c r="F859" s="16"/>
      <c r="G859" s="2" t="s">
        <v>0</v>
      </c>
      <c r="H859" s="2" t="s">
        <v>1</v>
      </c>
      <c r="I859" s="2" t="s">
        <v>2</v>
      </c>
      <c r="J859" s="2" t="s">
        <v>3</v>
      </c>
      <c r="K859" s="2" t="s">
        <v>4</v>
      </c>
      <c r="L859" s="2" t="s">
        <v>5</v>
      </c>
      <c r="M859" s="2" t="s">
        <v>6</v>
      </c>
      <c r="N859" s="2" t="s">
        <v>7</v>
      </c>
      <c r="O859" s="2" t="s">
        <v>8</v>
      </c>
      <c r="P859" s="2" t="s">
        <v>9</v>
      </c>
      <c r="Q859" s="2" t="s">
        <v>10</v>
      </c>
      <c r="R859" s="2" t="s">
        <v>11</v>
      </c>
      <c r="S859" s="2" t="s">
        <v>12</v>
      </c>
      <c r="T859" s="2" t="s">
        <v>13</v>
      </c>
      <c r="U859" s="2" t="s">
        <v>45</v>
      </c>
      <c r="V859" s="2" t="s">
        <v>46</v>
      </c>
      <c r="W859" s="2" t="s">
        <v>47</v>
      </c>
      <c r="X859" s="2" t="s">
        <v>48</v>
      </c>
      <c r="Y859" s="2" t="s">
        <v>49</v>
      </c>
      <c r="Z859" s="2" t="s">
        <v>50</v>
      </c>
      <c r="AA859" s="2" t="s">
        <v>51</v>
      </c>
    </row>
    <row r="860" spans="3:27" hidden="1" outlineLevel="1" x14ac:dyDescent="0.3">
      <c r="C860" s="18" t="s">
        <v>43</v>
      </c>
      <c r="D860" s="19">
        <f>分布式光伏电站IRR汇总!$B$24</f>
        <v>0.05</v>
      </c>
      <c r="F860" s="6" t="s">
        <v>14</v>
      </c>
      <c r="G860" s="33">
        <f>D862</f>
        <v>24.611999999999995</v>
      </c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 spans="3:27" hidden="1" outlineLevel="1" x14ac:dyDescent="0.3">
      <c r="C861" s="18" t="s">
        <v>126</v>
      </c>
      <c r="D861" s="28">
        <f>Backup分地区光伏小时数及电价!E19</f>
        <v>1470</v>
      </c>
      <c r="F861" s="6" t="s">
        <v>15</v>
      </c>
      <c r="G861" s="33">
        <f>SUM(H862:AA862)</f>
        <v>23.381399999999985</v>
      </c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 spans="3:27" hidden="1" outlineLevel="1" x14ac:dyDescent="0.3">
      <c r="C862" s="24" t="s">
        <v>14</v>
      </c>
      <c r="D862" s="30">
        <f>D838*D843</f>
        <v>24.611999999999995</v>
      </c>
      <c r="F862" s="7" t="s">
        <v>16</v>
      </c>
      <c r="G862" s="33"/>
      <c r="H862" s="33">
        <f>D862*(1-D860)/D856/((1+G856)^H858)</f>
        <v>1.1690699999999996</v>
      </c>
      <c r="I862" s="33">
        <f>D862*(1-D860)/D856/((1+G856)^I858)</f>
        <v>1.1690699999999996</v>
      </c>
      <c r="J862" s="33">
        <f>D862*(1-D860)/D856/((1+G856)^J858)</f>
        <v>1.1690699999999996</v>
      </c>
      <c r="K862" s="33">
        <f>D862*(1-D860)/D856/((1+G856)^K858)</f>
        <v>1.1690699999999996</v>
      </c>
      <c r="L862" s="33">
        <f>D862*(1-D860)/D856/((1+G856)^L858)</f>
        <v>1.1690699999999996</v>
      </c>
      <c r="M862" s="33">
        <f>D862*(1-D860)/D856/((1+G856)^M858)</f>
        <v>1.1690699999999996</v>
      </c>
      <c r="N862" s="33">
        <f>D862*(1-D860)/D856/((1+G856)^N858)</f>
        <v>1.1690699999999996</v>
      </c>
      <c r="O862" s="33">
        <f>D862*(1-D860)/D856/((1+G856)^O858)</f>
        <v>1.1690699999999996</v>
      </c>
      <c r="P862" s="33">
        <f>D862*(1-D860)/D856/((1+G856)^P858)</f>
        <v>1.1690699999999996</v>
      </c>
      <c r="Q862" s="33">
        <f>D862*(1-D860)/D856/((1+G856)^Q858)</f>
        <v>1.1690699999999996</v>
      </c>
      <c r="R862" s="33">
        <f>D862*(1-D860)/D856/((1+G856)^R858)</f>
        <v>1.1690699999999996</v>
      </c>
      <c r="S862" s="33">
        <f>D862*(1-D860)/D856/((1+G856)^S858)</f>
        <v>1.1690699999999996</v>
      </c>
      <c r="T862" s="33">
        <f>D862*(1-D860)/D856/((1+G856)^T858)</f>
        <v>1.1690699999999996</v>
      </c>
      <c r="U862" s="33">
        <f>D862*(1-D860)/D856/((1+G856)^U858)</f>
        <v>1.1690699999999996</v>
      </c>
      <c r="V862" s="33">
        <f>D862*(1-D860)/D856/((1+G856)^V858)</f>
        <v>1.1690699999999996</v>
      </c>
      <c r="W862" s="33">
        <f>D862*(1-D860)/D856/((1+G856)^W858)</f>
        <v>1.1690699999999996</v>
      </c>
      <c r="X862" s="33">
        <f>D862*(1-D860)/D856/((1+G856)^X858)</f>
        <v>1.1690699999999996</v>
      </c>
      <c r="Y862" s="33">
        <f>D862*(1-D860)/D856/((1+G856)^Y858)</f>
        <v>1.1690699999999996</v>
      </c>
      <c r="Z862" s="33">
        <f>D862*(1-D860)/D856/((1+G856)^Z858)</f>
        <v>1.1690699999999996</v>
      </c>
      <c r="AA862" s="33">
        <f>D862*(1-D860)/D856/((1+G856)^AA858)</f>
        <v>1.1690699999999996</v>
      </c>
    </row>
    <row r="863" spans="3:27" hidden="1" outlineLevel="1" x14ac:dyDescent="0.3">
      <c r="C863" s="18" t="s">
        <v>29</v>
      </c>
      <c r="D863" s="29">
        <v>0.35980000000000001</v>
      </c>
      <c r="F863" s="6" t="s">
        <v>17</v>
      </c>
      <c r="G863" s="33">
        <f>SUM(H864:AA864)</f>
        <v>4.8000000000000025</v>
      </c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 spans="3:27" hidden="1" outlineLevel="1" x14ac:dyDescent="0.3">
      <c r="C864" s="18" t="s">
        <v>30</v>
      </c>
      <c r="D864" s="31">
        <f>Backup分地区光伏小时数及电价!I19</f>
        <v>0.54078193333333335</v>
      </c>
      <c r="F864" s="7" t="s">
        <v>18</v>
      </c>
      <c r="G864" s="33"/>
      <c r="H864" s="33">
        <f>D859*D838/((1+G856)^H858)</f>
        <v>0.24</v>
      </c>
      <c r="I864" s="33">
        <f>D859*D838/((1+G856)^I858)</f>
        <v>0.24</v>
      </c>
      <c r="J864" s="33">
        <f>D859*D838/((1+G856)^J858)</f>
        <v>0.24</v>
      </c>
      <c r="K864" s="33">
        <f>D859*D838/((1+G856)^K858)</f>
        <v>0.24</v>
      </c>
      <c r="L864" s="33">
        <f>D859*D838/((1+G856)^L858)</f>
        <v>0.24</v>
      </c>
      <c r="M864" s="33">
        <f>D859*D838/((1+G856)^M858)</f>
        <v>0.24</v>
      </c>
      <c r="N864" s="33">
        <f>D859*D838/((1+G856)^N858)</f>
        <v>0.24</v>
      </c>
      <c r="O864" s="33">
        <f>D859*D838/((1+G856)^O858)</f>
        <v>0.24</v>
      </c>
      <c r="P864" s="33">
        <f>D859*D838/((1+G856)^P858)</f>
        <v>0.24</v>
      </c>
      <c r="Q864" s="33">
        <f>D859*D838/((1+G856)^Q858)</f>
        <v>0.24</v>
      </c>
      <c r="R864" s="33">
        <f>D859*D838/((1+G856)^R858)</f>
        <v>0.24</v>
      </c>
      <c r="S864" s="33">
        <f>D859*D838/((1+G856)^S858)</f>
        <v>0.24</v>
      </c>
      <c r="T864" s="33">
        <f>D859*D838/((1+G856)^T858)</f>
        <v>0.24</v>
      </c>
      <c r="U864" s="33">
        <f>D859*D838/((1+G856)^U858)</f>
        <v>0.24</v>
      </c>
      <c r="V864" s="33">
        <f>D859*D838/((1+G856)^V858)</f>
        <v>0.24</v>
      </c>
      <c r="W864" s="33">
        <f>D859*D838/((1+G856)^W858)</f>
        <v>0.24</v>
      </c>
      <c r="X864" s="33">
        <f>D859*D838/((1+G856)^X858)</f>
        <v>0.24</v>
      </c>
      <c r="Y864" s="33">
        <f>D859*D838/((1+G856)^Y858)</f>
        <v>0.24</v>
      </c>
      <c r="Z864" s="33">
        <f>D859*D838/((1+G856)^Z858)</f>
        <v>0.24</v>
      </c>
      <c r="AA864" s="33">
        <f>D859*D838/((1+G856)^AA858)</f>
        <v>0.24</v>
      </c>
    </row>
    <row r="865" spans="2:27" hidden="1" outlineLevel="1" x14ac:dyDescent="0.3">
      <c r="C865" s="18" t="s">
        <v>70</v>
      </c>
      <c r="D865" s="32">
        <f>分布式光伏电站IRR汇总!$B$27</f>
        <v>1</v>
      </c>
      <c r="F865" s="6" t="s">
        <v>19</v>
      </c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>
        <f>D859*D862/((1+G856)^AA858)</f>
        <v>0.9844799999999998</v>
      </c>
    </row>
    <row r="866" spans="2:27" hidden="1" outlineLevel="1" x14ac:dyDescent="0.3">
      <c r="C866" s="18" t="s">
        <v>69</v>
      </c>
      <c r="D866" s="31">
        <f>D865*D864</f>
        <v>0.54078193333333335</v>
      </c>
      <c r="F866" s="8" t="s">
        <v>64</v>
      </c>
      <c r="G866" s="33">
        <f>SUM(H867:AA867)</f>
        <v>143476.71300052153</v>
      </c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 spans="2:27" hidden="1" outlineLevel="1" x14ac:dyDescent="0.3">
      <c r="C867" s="18" t="s">
        <v>31</v>
      </c>
      <c r="D867" s="27">
        <v>0</v>
      </c>
      <c r="F867" s="9" t="s">
        <v>65</v>
      </c>
      <c r="G867" s="33"/>
      <c r="H867" s="33">
        <f>D838*D855*(1-D857)*D861/((1+G856)^H858)</f>
        <v>7485.3575999999994</v>
      </c>
      <c r="I867" s="33">
        <f>D838*D855*(1-D857)*(1-D858)^(I858-1)*D861/((1+G856)^I858)</f>
        <v>7451.6734907999989</v>
      </c>
      <c r="J867" s="33">
        <f>D838*D855*(1-D857)*(1-D858)^(J858-1)*D861/((1+G856)^J858)</f>
        <v>7418.1409600913994</v>
      </c>
      <c r="K867" s="33">
        <f>D838*D855*(1-D857)*(1-D858)^(K858-1)*D861/((1+G856)^K858)</f>
        <v>7384.7593257709896</v>
      </c>
      <c r="L867" s="33">
        <f>D838*D855*(1-D857)*(1-D858)^(L858-1)*D861/((1+G856)^L858)</f>
        <v>7351.5279088050202</v>
      </c>
      <c r="M867" s="33">
        <f>D838*D855*(1-D857)*(1-D858)^(M858-1)*D861/((1+G856)^M858)</f>
        <v>7318.4460332153985</v>
      </c>
      <c r="N867" s="33">
        <f>D838*D855*(1-D857)*(1-D858)^(N858-1)*D861/((1+G856)^N858)</f>
        <v>7285.5130260659289</v>
      </c>
      <c r="O867" s="33">
        <f>D838*D855*(1-D857)*(1-D858)^(O858-1)*D861/((1+G856)^O858)</f>
        <v>7252.7282174486327</v>
      </c>
      <c r="P867" s="33">
        <f>D838*D855*(1-D857)*(1-D858)^(P858-1)*D861/((1+G856)^P858)</f>
        <v>7220.0909404701142</v>
      </c>
      <c r="Q867" s="33">
        <f>D838*D855*(1-D857)*(1-D858)^(Q858-1)*D861/((1+G856)^Q858)</f>
        <v>7187.6005312380003</v>
      </c>
      <c r="R867" s="33">
        <f>D838*D855*(1-D857)*(1-D858)^(R858-1)*D861/((1+G856)^R858)</f>
        <v>7155.2563288474294</v>
      </c>
      <c r="S867" s="33">
        <f>D838*D855*(1-D857)*(1-D858)^(S858-1)*D861/((1+G856)^S858)</f>
        <v>7123.057675367616</v>
      </c>
      <c r="T867" s="33">
        <f>D838*D855*(1-D857)*(1-D858)^(T858-1)*D861/((1+G856)^T858)</f>
        <v>7091.0039158284626</v>
      </c>
      <c r="U867" s="33">
        <f>D838*D855*(1-D857)*(1-D858)^(U858-1)*D861/((1+G856)^U858)</f>
        <v>7059.094398207234</v>
      </c>
      <c r="V867" s="33">
        <f>D838*D855*(1-D857)*(1-D858)^(V858-1)*D861/((1+G856)^V858)</f>
        <v>7027.3284734153012</v>
      </c>
      <c r="W867" s="33">
        <f>D838*D855*(1-D857)*(1-D858)^(W858-1)*D861/((1+G856)^W858)</f>
        <v>6995.7054952849339</v>
      </c>
      <c r="X867" s="33">
        <f>D838*D855*(1-D857)*(1-D858)^(X858-1)*D861/((1+G856)^X858)</f>
        <v>6964.2248205561518</v>
      </c>
      <c r="Y867" s="33">
        <f>D838*D855*(1-D857)*(1-D858)^(Y858-1)*D861/((1+G856)^Y858)</f>
        <v>6932.8858088636498</v>
      </c>
      <c r="Z867" s="33">
        <f>D838*D855*(1-D857)*(1-D858)^(Z858-1)*D861/((1+G856)^Z858)</f>
        <v>6901.6878227237648</v>
      </c>
      <c r="AA867" s="33">
        <f>D838*D855*(1-D857)*(1-D858)^(AA858-1)*D861/((1+G856)^AA858)</f>
        <v>6870.6302275215085</v>
      </c>
    </row>
    <row r="868" spans="2:27" hidden="1" outlineLevel="1" x14ac:dyDescent="0.3">
      <c r="F868" s="4" t="s">
        <v>66</v>
      </c>
      <c r="G868" s="33">
        <f>SUM(H869:AA869)</f>
        <v>77.589614244733838</v>
      </c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 spans="2:27" hidden="1" outlineLevel="1" x14ac:dyDescent="0.3">
      <c r="F869" s="7" t="s">
        <v>67</v>
      </c>
      <c r="G869" s="33"/>
      <c r="H869" s="33">
        <f>H867*D866/1000</f>
        <v>4.0479461546193596</v>
      </c>
      <c r="I869" s="33">
        <f>I867*D866/1000</f>
        <v>4.029730396923572</v>
      </c>
      <c r="J869" s="33">
        <f>J867*D866/1000</f>
        <v>4.0115966101374161</v>
      </c>
      <c r="K869" s="33">
        <f>K867*D866/1000</f>
        <v>3.9935444253917991</v>
      </c>
      <c r="L869" s="33">
        <f>L867*D866/1000</f>
        <v>3.9755734754775358</v>
      </c>
      <c r="M869" s="33">
        <f>M867*D866/1000</f>
        <v>3.9576833948378876</v>
      </c>
      <c r="N869" s="33">
        <f>N867*D866/1000</f>
        <v>3.9398738195611167</v>
      </c>
      <c r="O869" s="33">
        <f>O867*D866/1000</f>
        <v>3.9221443873730921</v>
      </c>
      <c r="P869" s="33">
        <f>P867*D866/1000</f>
        <v>3.9044947376299133</v>
      </c>
      <c r="Q869" s="33">
        <f>Q867*D866/1000</f>
        <v>3.8869245113105797</v>
      </c>
      <c r="R869" s="33">
        <f>R867*D866/1000</f>
        <v>3.8694333510096821</v>
      </c>
      <c r="S869" s="33">
        <f>S867*D866/1000</f>
        <v>3.8520209009301385</v>
      </c>
      <c r="T869" s="33">
        <f>T867*D866/1000</f>
        <v>3.8346868068759536</v>
      </c>
      <c r="U869" s="33">
        <f>U867*D866/1000</f>
        <v>3.8174307162450112</v>
      </c>
      <c r="V869" s="33">
        <f>V867*D866/1000</f>
        <v>3.8002522780219086</v>
      </c>
      <c r="W869" s="33">
        <f>W867*D866/1000</f>
        <v>3.7831511427708109</v>
      </c>
      <c r="X869" s="33">
        <f>X867*D866/1000</f>
        <v>3.7661269626283422</v>
      </c>
      <c r="Y869" s="33">
        <f>Y867*D866/1000</f>
        <v>3.749179391296515</v>
      </c>
      <c r="Z869" s="33">
        <f>Z867*D866/1000</f>
        <v>3.7323080840356817</v>
      </c>
      <c r="AA869" s="33">
        <f>AA867*D866/1000</f>
        <v>3.715512697657521</v>
      </c>
    </row>
    <row r="870" spans="2:27" hidden="1" outlineLevel="1" x14ac:dyDescent="0.3">
      <c r="F870" s="4" t="s">
        <v>20</v>
      </c>
      <c r="G870" s="33">
        <f>SUM(H871:AA871)</f>
        <v>12.35205356118346</v>
      </c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 spans="2:27" hidden="1" outlineLevel="1" x14ac:dyDescent="0.3">
      <c r="F871" s="7" t="s">
        <v>21</v>
      </c>
      <c r="G871" s="33"/>
      <c r="H871" s="33">
        <f>(H869-H862-H864)*G857</f>
        <v>0.65971903865483994</v>
      </c>
      <c r="I871" s="33">
        <f>(I869-I862-I864)*G857</f>
        <v>0.65516509923089306</v>
      </c>
      <c r="J871" s="33">
        <f>(J869-J862-J864)*G857</f>
        <v>0.65063165253435407</v>
      </c>
      <c r="K871" s="33">
        <f>(K869-K862-K864)*G857</f>
        <v>0.64611860634794982</v>
      </c>
      <c r="L871" s="33">
        <f>(L869-L862-L864)*G857</f>
        <v>0.64162586886938411</v>
      </c>
      <c r="M871" s="33">
        <f>(M869-M862-M864)*G857</f>
        <v>0.63715334870947204</v>
      </c>
      <c r="N871" s="33">
        <f>(N869-N862-N864)*G857</f>
        <v>0.63270095489027933</v>
      </c>
      <c r="O871" s="33">
        <f>(O869-O862-O864)*G857</f>
        <v>0.62826859684327307</v>
      </c>
      <c r="P871" s="33">
        <f>(P869-P862-P864)*G857</f>
        <v>0.62385618440747836</v>
      </c>
      <c r="Q871" s="33">
        <f>(Q869-Q862-Q864)*G857</f>
        <v>0.61946362782764508</v>
      </c>
      <c r="R871" s="33">
        <f>(R869-R862-R864)*G857</f>
        <v>0.61509083775242068</v>
      </c>
      <c r="S871" s="33">
        <f>(S869-S862-S864)*G857</f>
        <v>0.61073772523253478</v>
      </c>
      <c r="T871" s="33">
        <f>(T869-T862-T864)*G857</f>
        <v>0.60640420171898857</v>
      </c>
      <c r="U871" s="33">
        <f>(U869-U862-U864)*G857</f>
        <v>0.60209017906125295</v>
      </c>
      <c r="V871" s="33">
        <f>(V869-V862-V864)*G857</f>
        <v>0.5977955695054773</v>
      </c>
      <c r="W871" s="33">
        <f>(W869-W862-W864)*G857</f>
        <v>0.59352028569270288</v>
      </c>
      <c r="X871" s="33">
        <f>(X869-X862-X864)*G857</f>
        <v>0.5892642406570856</v>
      </c>
      <c r="Y871" s="33">
        <f>(Y869-Y862-Y864)*G857</f>
        <v>0.5850273478241288</v>
      </c>
      <c r="Z871" s="33">
        <f>(Z869-Z862-Z864)*G857</f>
        <v>0.58080952100892058</v>
      </c>
      <c r="AA871" s="33">
        <f>(AA869-AA862-AA864)*G857</f>
        <v>0.57661067441438041</v>
      </c>
    </row>
    <row r="872" spans="2:27" hidden="1" outlineLevel="1" x14ac:dyDescent="0.3">
      <c r="F872" s="10" t="s">
        <v>22</v>
      </c>
      <c r="G872" s="33">
        <f>-G860</f>
        <v>-24.611999999999995</v>
      </c>
      <c r="H872" s="33">
        <f>H869-H871-H864</f>
        <v>3.1482271159645192</v>
      </c>
      <c r="I872" s="33">
        <f t="shared" ref="I872" si="271">I869-I871-I864</f>
        <v>3.1345652976926788</v>
      </c>
      <c r="J872" s="33">
        <f t="shared" ref="J872" si="272">J869-J871-J864</f>
        <v>3.1209649576030616</v>
      </c>
      <c r="K872" s="33">
        <f t="shared" ref="K872" si="273">K869-K871-K864</f>
        <v>3.1074258190438488</v>
      </c>
      <c r="L872" s="33">
        <f t="shared" ref="L872" si="274">L869-L871-L864</f>
        <v>3.0939476066081513</v>
      </c>
      <c r="M872" s="33">
        <f t="shared" ref="M872" si="275">M869-M871-M864</f>
        <v>3.0805300461284153</v>
      </c>
      <c r="N872" s="33">
        <f t="shared" ref="N872" si="276">N869-N871-N864</f>
        <v>3.0671728646708374</v>
      </c>
      <c r="O872" s="33">
        <f t="shared" ref="O872" si="277">O869-O871-O864</f>
        <v>3.0538757905298191</v>
      </c>
      <c r="P872" s="33">
        <f t="shared" ref="P872" si="278">P869-P871-P864</f>
        <v>3.0406385532224345</v>
      </c>
      <c r="Q872" s="33">
        <f t="shared" ref="Q872" si="279">Q869-Q871-Q864</f>
        <v>3.0274608834829344</v>
      </c>
      <c r="R872" s="33">
        <f t="shared" ref="R872" si="280">R869-R871-R864</f>
        <v>3.0143425132572617</v>
      </c>
      <c r="S872" s="33">
        <f t="shared" ref="S872" si="281">S869-S871-S864</f>
        <v>3.0012831756976039</v>
      </c>
      <c r="T872" s="33">
        <f t="shared" ref="T872" si="282">T869-T871-T864</f>
        <v>2.9882826051569653</v>
      </c>
      <c r="U872" s="33">
        <f t="shared" ref="U872" si="283">U869-U871-U864</f>
        <v>2.975340537183758</v>
      </c>
      <c r="V872" s="33">
        <f t="shared" ref="V872" si="284">V869-V871-V864</f>
        <v>2.9624567085164308</v>
      </c>
      <c r="W872" s="33">
        <f t="shared" ref="W872" si="285">W869-W871-W864</f>
        <v>2.949630857078108</v>
      </c>
      <c r="X872" s="33">
        <f t="shared" ref="X872" si="286">X869-X871-X864</f>
        <v>2.9368627219712566</v>
      </c>
      <c r="Y872" s="33">
        <f t="shared" ref="Y872" si="287">Y869-Y871-Y864</f>
        <v>2.924152043472386</v>
      </c>
      <c r="Z872" s="33">
        <f t="shared" ref="Z872" si="288">Z869-Z871-Z864</f>
        <v>2.9114985630267611</v>
      </c>
      <c r="AA872" s="33">
        <f t="shared" ref="AA872" si="289">AA869-AA871-AA864</f>
        <v>2.8989020232431404</v>
      </c>
    </row>
    <row r="873" spans="2:27" ht="13.5" hidden="1" outlineLevel="1" thickBot="1" x14ac:dyDescent="0.35">
      <c r="F873" s="3" t="s">
        <v>68</v>
      </c>
      <c r="G873" s="40">
        <f>IRR(G872:AA872)</f>
        <v>0.10868389739837614</v>
      </c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2:27" ht="13.5" collapsed="1" thickTop="1" x14ac:dyDescent="0.3"/>
    <row r="875" spans="2:27" x14ac:dyDescent="0.3">
      <c r="B875" s="11" t="s">
        <v>161</v>
      </c>
      <c r="C875" s="11" t="s">
        <v>52</v>
      </c>
    </row>
    <row r="876" spans="2:27" x14ac:dyDescent="0.3">
      <c r="C876" s="11" t="s">
        <v>141</v>
      </c>
      <c r="D876" s="54">
        <f>D907</f>
        <v>1466</v>
      </c>
    </row>
    <row r="877" spans="2:27" x14ac:dyDescent="0.3">
      <c r="C877" s="16" t="s">
        <v>78</v>
      </c>
      <c r="D877" s="37">
        <f>(G906+G909+G916)/G912*1000</f>
        <v>0.33313313696012131</v>
      </c>
    </row>
    <row r="878" spans="2:27" x14ac:dyDescent="0.3">
      <c r="C878" s="13" t="s">
        <v>77</v>
      </c>
      <c r="D878" s="39">
        <f>(G887+G890+G897)/G893*1000</f>
        <v>0.46592094427702269</v>
      </c>
    </row>
    <row r="879" spans="2:27" x14ac:dyDescent="0.3">
      <c r="C879" s="13" t="s">
        <v>61</v>
      </c>
      <c r="D879" s="36">
        <f>G900</f>
        <v>0.69797524392824128</v>
      </c>
    </row>
    <row r="880" spans="2:27" x14ac:dyDescent="0.3">
      <c r="C880" s="13" t="s">
        <v>73</v>
      </c>
      <c r="D880" s="25">
        <f>SUM(G899:AA899)</f>
        <v>17.17856670356187</v>
      </c>
    </row>
    <row r="881" spans="3:27" ht="13.5" thickBot="1" x14ac:dyDescent="0.35">
      <c r="C881" s="23" t="s">
        <v>68</v>
      </c>
      <c r="D881" s="26">
        <f>G919</f>
        <v>0.15215779723841205</v>
      </c>
    </row>
    <row r="882" spans="3:27" ht="13.5" hidden="1" outlineLevel="1" thickTop="1" x14ac:dyDescent="0.3">
      <c r="E882" s="20"/>
      <c r="F882" s="38" t="s">
        <v>75</v>
      </c>
    </row>
    <row r="883" spans="3:27" hidden="1" outlineLevel="1" x14ac:dyDescent="0.3">
      <c r="C883" s="11" t="s">
        <v>71</v>
      </c>
      <c r="F883" s="13" t="s">
        <v>25</v>
      </c>
      <c r="G883" s="14">
        <v>7.0000000000000007E-2</v>
      </c>
    </row>
    <row r="884" spans="3:27" hidden="1" outlineLevel="1" x14ac:dyDescent="0.3">
      <c r="C884" s="18" t="s">
        <v>53</v>
      </c>
      <c r="D884" s="19">
        <f>分布式光伏电站IRR汇总!$B$2</f>
        <v>6</v>
      </c>
      <c r="F884" s="13" t="s">
        <v>26</v>
      </c>
      <c r="G884" s="14">
        <v>0.25</v>
      </c>
    </row>
    <row r="885" spans="3:27" hidden="1" outlineLevel="1" x14ac:dyDescent="0.3">
      <c r="C885" s="18" t="s">
        <v>56</v>
      </c>
      <c r="D885" s="19">
        <f>分布式光伏电站IRR汇总!$B$3</f>
        <v>120</v>
      </c>
      <c r="F885" s="1" t="s">
        <v>44</v>
      </c>
      <c r="G885" s="4"/>
      <c r="H885" s="5">
        <v>1</v>
      </c>
      <c r="I885" s="5">
        <v>2</v>
      </c>
      <c r="J885" s="5">
        <v>3</v>
      </c>
      <c r="K885" s="5">
        <v>4</v>
      </c>
      <c r="L885" s="5">
        <v>5</v>
      </c>
      <c r="M885" s="5">
        <v>6</v>
      </c>
      <c r="N885" s="5">
        <v>7</v>
      </c>
      <c r="O885" s="5">
        <v>8</v>
      </c>
      <c r="P885" s="5">
        <v>9</v>
      </c>
      <c r="Q885" s="5">
        <v>10</v>
      </c>
      <c r="R885" s="5">
        <v>11</v>
      </c>
      <c r="S885" s="5">
        <v>12</v>
      </c>
      <c r="T885" s="5">
        <v>13</v>
      </c>
      <c r="U885" s="5">
        <v>14</v>
      </c>
      <c r="V885" s="5">
        <v>15</v>
      </c>
      <c r="W885" s="5">
        <v>16</v>
      </c>
      <c r="X885" s="5">
        <v>17</v>
      </c>
      <c r="Y885" s="5">
        <v>18</v>
      </c>
      <c r="Z885" s="5">
        <v>19</v>
      </c>
      <c r="AA885" s="5">
        <v>20</v>
      </c>
    </row>
    <row r="886" spans="3:27" hidden="1" outlineLevel="1" x14ac:dyDescent="0.3">
      <c r="C886" s="18" t="s">
        <v>57</v>
      </c>
      <c r="D886" s="19">
        <f>分布式光伏电站IRR汇总!$B$4</f>
        <v>3</v>
      </c>
      <c r="F886" s="16"/>
      <c r="G886" s="2" t="s">
        <v>0</v>
      </c>
      <c r="H886" s="2" t="s">
        <v>1</v>
      </c>
      <c r="I886" s="2" t="s">
        <v>2</v>
      </c>
      <c r="J886" s="2" t="s">
        <v>3</v>
      </c>
      <c r="K886" s="2" t="s">
        <v>4</v>
      </c>
      <c r="L886" s="2" t="s">
        <v>5</v>
      </c>
      <c r="M886" s="2" t="s">
        <v>6</v>
      </c>
      <c r="N886" s="2" t="s">
        <v>7</v>
      </c>
      <c r="O886" s="2" t="s">
        <v>8</v>
      </c>
      <c r="P886" s="2" t="s">
        <v>9</v>
      </c>
      <c r="Q886" s="2" t="s">
        <v>10</v>
      </c>
      <c r="R886" s="2" t="s">
        <v>11</v>
      </c>
      <c r="S886" s="2" t="s">
        <v>12</v>
      </c>
      <c r="T886" s="2" t="s">
        <v>13</v>
      </c>
      <c r="U886" s="2" t="s">
        <v>45</v>
      </c>
      <c r="V886" s="2" t="s">
        <v>46</v>
      </c>
      <c r="W886" s="2" t="s">
        <v>47</v>
      </c>
      <c r="X886" s="2" t="s">
        <v>48</v>
      </c>
      <c r="Y886" s="2" t="s">
        <v>49</v>
      </c>
      <c r="Z886" s="2" t="s">
        <v>50</v>
      </c>
      <c r="AA886" s="2" t="s">
        <v>127</v>
      </c>
    </row>
    <row r="887" spans="3:27" hidden="1" outlineLevel="1" x14ac:dyDescent="0.3">
      <c r="C887" s="18" t="s">
        <v>54</v>
      </c>
      <c r="D887" s="19">
        <f>分布式光伏电站IRR汇总!$B$5</f>
        <v>5</v>
      </c>
      <c r="F887" s="6" t="s">
        <v>14</v>
      </c>
      <c r="G887" s="33">
        <f>D908</f>
        <v>24.611999999999995</v>
      </c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 spans="3:27" hidden="1" outlineLevel="1" x14ac:dyDescent="0.3">
      <c r="C888" s="18" t="s">
        <v>55</v>
      </c>
      <c r="D888" s="19">
        <f>分布式光伏电站IRR汇总!$B$6</f>
        <v>15</v>
      </c>
      <c r="F888" s="6" t="s">
        <v>15</v>
      </c>
      <c r="G888" s="33">
        <f>SUM(H889:AA889)</f>
        <v>12.385144234005573</v>
      </c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 spans="3:27" hidden="1" outlineLevel="1" x14ac:dyDescent="0.3">
      <c r="C889" s="18" t="s">
        <v>42</v>
      </c>
      <c r="D889" s="19">
        <f>分布式光伏电站IRR汇总!$B$7</f>
        <v>4.1019999999999994</v>
      </c>
      <c r="F889" s="7" t="s">
        <v>16</v>
      </c>
      <c r="G889" s="33"/>
      <c r="H889" s="33">
        <f>D908*(1-D906)/D902/((1+G883)^H885)</f>
        <v>1.0925887850467286</v>
      </c>
      <c r="I889" s="33">
        <f>D908*(1-D906)/D902/((1+G883)^I885)</f>
        <v>1.0211110140623632</v>
      </c>
      <c r="J889" s="33">
        <f>D908*(1-D906)/D902/((1+G883)^J885)</f>
        <v>0.95430935893678792</v>
      </c>
      <c r="K889" s="33">
        <f>D908*(1-D906)/D902/((1+G883)^K885)</f>
        <v>0.89187790554839996</v>
      </c>
      <c r="L889" s="33">
        <f>D908*(1-D906)/D902/((1+G883)^L885)</f>
        <v>0.83353075284897193</v>
      </c>
      <c r="M889" s="33">
        <f>D908*(1-D906)/D902/((1+G883)^M885)</f>
        <v>0.77900070359717</v>
      </c>
      <c r="N889" s="33">
        <f>D908*(1-D906)/D902/((1+G883)^N885)</f>
        <v>0.72803804074501866</v>
      </c>
      <c r="O889" s="33">
        <f>D908*(1-D906)/D902/((1+G883)^O885)</f>
        <v>0.6804093838738493</v>
      </c>
      <c r="P889" s="33">
        <f>D908*(1-D906)/D902/((1+G883)^P885)</f>
        <v>0.63589662044284967</v>
      </c>
      <c r="Q889" s="33">
        <f>D908*(1-D906)/D902/((1+G883)^Q885)</f>
        <v>0.59429590695593437</v>
      </c>
      <c r="R889" s="33">
        <f>D908*(1-D906)/D902/((1+G883)^R885)</f>
        <v>0.55541673547283577</v>
      </c>
      <c r="S889" s="33">
        <f>D908*(1-D906)/D902/((1+G883)^S885)</f>
        <v>0.51908106118956621</v>
      </c>
      <c r="T889" s="33">
        <f>D908*(1-D906)/D902/((1+G883)^T885)</f>
        <v>0.4851224870930525</v>
      </c>
      <c r="U889" s="33">
        <f>D908*(1-D906)/D902/((1+G883)^U885)</f>
        <v>0.45338550195612387</v>
      </c>
      <c r="V889" s="33">
        <f>D908*(1-D906)/D902/((1+G883)^V885)</f>
        <v>0.4237247681832933</v>
      </c>
      <c r="W889" s="33">
        <f>D908*(1-D906)/D902/((1+G883)^W885)</f>
        <v>0.39600445624606856</v>
      </c>
      <c r="X889" s="33">
        <f>D908*(1-D906)/D902/((1+G883)^X885)</f>
        <v>0.37009762265987711</v>
      </c>
      <c r="Y889" s="33">
        <f>D908*(1-D906)/D902/((1+G883)^Y885)</f>
        <v>0.34588562865409078</v>
      </c>
      <c r="Z889" s="33">
        <f>D908*(1-D906)/D902/((1+G883)^Z885)</f>
        <v>0.323257596872982</v>
      </c>
      <c r="AA889" s="33">
        <f>D908*(1-D906)/D902/((1+G883)^AA885)</f>
        <v>0.30210990361960938</v>
      </c>
    </row>
    <row r="890" spans="3:27" hidden="1" outlineLevel="1" x14ac:dyDescent="0.3">
      <c r="C890" s="21" t="s">
        <v>32</v>
      </c>
      <c r="D890" s="19">
        <f>分布式光伏电站IRR汇总!$B$8</f>
        <v>1.8870000000000002</v>
      </c>
      <c r="F890" s="6" t="s">
        <v>17</v>
      </c>
      <c r="G890" s="33">
        <f>SUM(H891:AA891)</f>
        <v>2.5425634189238777</v>
      </c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 spans="3:27" hidden="1" outlineLevel="1" x14ac:dyDescent="0.3">
      <c r="C891" s="21" t="s">
        <v>33</v>
      </c>
      <c r="D891" s="19">
        <f>分布式光伏电站IRR汇总!$B$9</f>
        <v>0.18500000000000003</v>
      </c>
      <c r="F891" s="7" t="s">
        <v>18</v>
      </c>
      <c r="G891" s="33"/>
      <c r="H891" s="33">
        <f>D905*D884/((1+G883)^H885)</f>
        <v>0.22429906542056072</v>
      </c>
      <c r="I891" s="33">
        <f>D905*D884/((1+G883)^I885)</f>
        <v>0.20962529478557079</v>
      </c>
      <c r="J891" s="33">
        <f>D905*D884/((1+G883)^J885)</f>
        <v>0.19591149045380446</v>
      </c>
      <c r="K891" s="33">
        <f>D905*D884/((1+G883)^K885)</f>
        <v>0.18309485089140604</v>
      </c>
      <c r="L891" s="33">
        <f>D905*D884/((1+G883)^L885)</f>
        <v>0.17111668307608041</v>
      </c>
      <c r="M891" s="33">
        <f>D905*D884/((1+G883)^M885)</f>
        <v>0.15992213371596301</v>
      </c>
      <c r="N891" s="33">
        <f>D905*D884/((1+G883)^N885)</f>
        <v>0.14945993805230187</v>
      </c>
      <c r="O891" s="33">
        <f>D905*D884/((1+G883)^O885)</f>
        <v>0.13968218509560923</v>
      </c>
      <c r="P891" s="33">
        <f>D905*D884/((1+G883)^P885)</f>
        <v>0.13054409822019553</v>
      </c>
      <c r="Q891" s="33">
        <f>D905*D884/((1+G883)^Q885)</f>
        <v>0.12200383011233226</v>
      </c>
      <c r="R891" s="33">
        <f>D905*D884/((1+G883)^R885)</f>
        <v>0.1140222711330208</v>
      </c>
      <c r="S891" s="33">
        <f>D905*D884/((1+G883)^S885)</f>
        <v>0.10656287021777647</v>
      </c>
      <c r="T891" s="33">
        <f>D905*D884/((1+G883)^T885)</f>
        <v>9.9591467493249028E-2</v>
      </c>
      <c r="U891" s="33">
        <f>D905*D884/((1+G883)^U885)</f>
        <v>9.3076137844157969E-2</v>
      </c>
      <c r="V891" s="33">
        <f>D905*D884/((1+G883)^V885)</f>
        <v>8.6987044714166323E-2</v>
      </c>
      <c r="W891" s="33">
        <f>D905*D884/((1+G883)^W885)</f>
        <v>8.1296303471183481E-2</v>
      </c>
      <c r="X891" s="33">
        <f>D905*D884/((1+G883)^X885)</f>
        <v>7.5977853711386434E-2</v>
      </c>
      <c r="Y891" s="33">
        <f>D905*D884/((1+G883)^Y885)</f>
        <v>7.1007339917183582E-2</v>
      </c>
      <c r="Z891" s="33">
        <f>D905*D884/((1+G883)^Z885)</f>
        <v>6.6361999922601472E-2</v>
      </c>
      <c r="AA891" s="33">
        <f>D905*D884/((1+G883)^AA885)</f>
        <v>6.2020560675328483E-2</v>
      </c>
    </row>
    <row r="892" spans="3:27" hidden="1" outlineLevel="1" x14ac:dyDescent="0.3">
      <c r="C892" s="21" t="s">
        <v>34</v>
      </c>
      <c r="D892" s="19">
        <f>分布式光伏电站IRR汇总!$B$10</f>
        <v>0.222</v>
      </c>
      <c r="F892" s="6" t="s">
        <v>19</v>
      </c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>
        <f>D905*D908/((1+G883)^AA885)</f>
        <v>0.2544083398901974</v>
      </c>
    </row>
    <row r="893" spans="3:27" hidden="1" outlineLevel="1" x14ac:dyDescent="0.3">
      <c r="C893" s="21" t="s">
        <v>35</v>
      </c>
      <c r="D893" s="19">
        <f>分布式光伏电站IRR汇总!$B$11</f>
        <v>0.44400000000000001</v>
      </c>
      <c r="F893" s="8" t="s">
        <v>64</v>
      </c>
      <c r="G893" s="33">
        <f>SUM(H894:AA894)</f>
        <v>76540.767513843661</v>
      </c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 spans="3:27" hidden="1" outlineLevel="1" x14ac:dyDescent="0.3">
      <c r="C894" s="21" t="s">
        <v>36</v>
      </c>
      <c r="D894" s="19">
        <f>分布式光伏电站IRR汇总!$B$12</f>
        <v>0.222</v>
      </c>
      <c r="F894" s="9" t="s">
        <v>65</v>
      </c>
      <c r="G894" s="33"/>
      <c r="H894" s="33">
        <f>D884*D901*(1-D903)*D907/((1+G883)^H885)</f>
        <v>6976.6254953271009</v>
      </c>
      <c r="I894" s="33">
        <f>D884*D901*(1-D903)*(1-D904)^(I885-1)*D907/((1+G883)^I885)</f>
        <v>6490.8697949515235</v>
      </c>
      <c r="J894" s="33">
        <f>D884*D901*(1-D903)*(1-D904)^(J885-1)*D907/((1+G883)^J885)</f>
        <v>6038.9354026862075</v>
      </c>
      <c r="K894" s="33">
        <f>D884*D901*(1-D903)*(1-D904)^(K885-1)*D907/((1+G883)^K885)</f>
        <v>5618.4674704431036</v>
      </c>
      <c r="L894" s="33">
        <f>D884*D901*(1-D903)*(1-D904)^(L885-1)*D907/((1+G883)^L885)</f>
        <v>5227.2751091832797</v>
      </c>
      <c r="M894" s="33">
        <f>D884*D901*(1-D903)*(1-D904)^(M885-1)*D907/((1+G883)^M885)</f>
        <v>4863.3199730765946</v>
      </c>
      <c r="N894" s="33">
        <f>D884*D901*(1-D903)*(1-D904)^(N885-1)*D907/((1+G883)^N885)</f>
        <v>4524.7056385025689</v>
      </c>
      <c r="O894" s="33">
        <f>D884*D901*(1-D903)*(1-D904)^(O885-1)*D907/((1+G883)^O885)</f>
        <v>4209.6677225507547</v>
      </c>
      <c r="P894" s="33">
        <f>D884*D901*(1-D903)*(1-D904)^(P885-1)*D907/((1+G883)^P885)</f>
        <v>3916.5646895320342</v>
      </c>
      <c r="Q894" s="33">
        <f>D884*D901*(1-D903)*(1-D904)^(Q885-1)*D907/((1+G883)^Q885)</f>
        <v>3643.8692975973277</v>
      </c>
      <c r="R894" s="33">
        <f>D884*D901*(1-D903)*(1-D904)^(R885-1)*D907/((1+G883)^R885)</f>
        <v>3390.1606408954576</v>
      </c>
      <c r="S894" s="33">
        <f>D884*D901*(1-D903)*(1-D904)^(S885-1)*D907/((1+G883)^S885)</f>
        <v>3154.1167458050732</v>
      </c>
      <c r="T894" s="33">
        <f>D884*D901*(1-D903)*(1-D904)^(T885-1)*D907/((1+G883)^T885)</f>
        <v>2934.5076826625709</v>
      </c>
      <c r="U894" s="33">
        <f>D884*D901*(1-D903)*(1-D904)^(U885-1)*D907/((1+G883)^U885)</f>
        <v>2730.1891570940084</v>
      </c>
      <c r="V894" s="33">
        <f>D884*D901*(1-D903)*(1-D904)^(V885-1)*D907/((1+G883)^V885)</f>
        <v>2540.0965475580238</v>
      </c>
      <c r="W894" s="33">
        <f>D884*D901*(1-D903)*(1-D904)^(W885-1)*D907/((1+G883)^W885)</f>
        <v>2363.239358031788</v>
      </c>
      <c r="X894" s="33">
        <f>D884*D901*(1-D903)*(1-D904)^(X885-1)*D907/((1+G883)^X885)</f>
        <v>2198.6960569351822</v>
      </c>
      <c r="Y894" s="33">
        <f>D884*D901*(1-D903)*(1-D904)^(Y885-1)*D907/((1+G883)^Y885)</f>
        <v>2045.6092754009103</v>
      </c>
      <c r="Z894" s="33">
        <f>D884*D901*(1-D903)*(1-D904)^(Z885-1)*D907/((1+G883)^Z885)</f>
        <v>1903.1813398706602</v>
      </c>
      <c r="AA894" s="33">
        <f>D884*D901*(1-D903)*(1-D904)^(AA885-1)*D907/((1+G883)^AA885)</f>
        <v>1770.6701157394789</v>
      </c>
    </row>
    <row r="895" spans="3:27" hidden="1" outlineLevel="1" x14ac:dyDescent="0.3">
      <c r="C895" s="21" t="s">
        <v>37</v>
      </c>
      <c r="D895" s="19">
        <f>分布式光伏电站IRR汇总!$B$13</f>
        <v>0.15</v>
      </c>
      <c r="F895" s="4" t="s">
        <v>66</v>
      </c>
      <c r="G895" s="33">
        <f>SUM(H896:AA896)</f>
        <v>54.134937612337829</v>
      </c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 spans="3:27" hidden="1" outlineLevel="1" x14ac:dyDescent="0.3">
      <c r="C896" s="21" t="s">
        <v>38</v>
      </c>
      <c r="D896" s="19">
        <f>分布式光伏电站IRR汇总!$B$14</f>
        <v>3.7000000000000005E-2</v>
      </c>
      <c r="F896" s="7" t="s">
        <v>67</v>
      </c>
      <c r="G896" s="33"/>
      <c r="H896" s="33">
        <f>H894*D912/1000</f>
        <v>4.9343532629963338</v>
      </c>
      <c r="I896" s="33">
        <f>I894*D912/1000</f>
        <v>4.5907931526288328</v>
      </c>
      <c r="J896" s="33">
        <f>J894*D912/1000</f>
        <v>4.2711538163009379</v>
      </c>
      <c r="K896" s="33">
        <f>K894*D912/1000</f>
        <v>3.9737697421753126</v>
      </c>
      <c r="L896" s="33">
        <f>L894*D912/1000</f>
        <v>3.6970913816219846</v>
      </c>
      <c r="M896" s="33">
        <f>M894*D912/1000</f>
        <v>3.4396770751445671</v>
      </c>
      <c r="N896" s="33">
        <f>N894*D912/1000</f>
        <v>3.2001855404732855</v>
      </c>
      <c r="O896" s="33">
        <f>O894*D912/1000</f>
        <v>2.9773688836833236</v>
      </c>
      <c r="P896" s="33">
        <f>P894*D912/1000</f>
        <v>2.7700660969221951</v>
      </c>
      <c r="Q896" s="33">
        <f>Q894*D912/1000</f>
        <v>2.577197008865463</v>
      </c>
      <c r="R896" s="33">
        <f>R894*D912/1000</f>
        <v>2.3977566563790362</v>
      </c>
      <c r="S896" s="33">
        <f>S894*D912/1000</f>
        <v>2.2308100480610564</v>
      </c>
      <c r="T896" s="33">
        <f>T894*D912/1000</f>
        <v>2.075487292378301</v>
      </c>
      <c r="U896" s="33">
        <f>U894*D912/1000</f>
        <v>1.9309790650117742</v>
      </c>
      <c r="V896" s="33">
        <f>V894*D912/1000</f>
        <v>1.7965323917936649</v>
      </c>
      <c r="W896" s="33">
        <f>W894*D912/1000</f>
        <v>1.6714467252622371</v>
      </c>
      <c r="X896" s="33">
        <f>X894*D912/1000</f>
        <v>1.5550702943911747</v>
      </c>
      <c r="Y896" s="33">
        <f>Y894*D912/1000</f>
        <v>1.4467967084732845</v>
      </c>
      <c r="Z896" s="33">
        <f>Z894*D912/1000</f>
        <v>1.3460617974627616</v>
      </c>
      <c r="AA896" s="33">
        <f>AA894*D912/1000</f>
        <v>1.2523406723123172</v>
      </c>
    </row>
    <row r="897" spans="3:27" hidden="1" outlineLevel="1" x14ac:dyDescent="0.3">
      <c r="C897" s="21" t="s">
        <v>39</v>
      </c>
      <c r="D897" s="19">
        <f>分布式光伏电站IRR汇总!$B$15</f>
        <v>0.25900000000000006</v>
      </c>
      <c r="F897" s="4" t="s">
        <v>20</v>
      </c>
      <c r="G897" s="33">
        <f>SUM(H898:V898)</f>
        <v>8.5073832568142311</v>
      </c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 spans="3:27" hidden="1" outlineLevel="1" x14ac:dyDescent="0.3">
      <c r="C898" s="21" t="s">
        <v>40</v>
      </c>
      <c r="D898" s="19">
        <f>分布式光伏电站IRR汇总!$B$16</f>
        <v>7.400000000000001E-2</v>
      </c>
      <c r="F898" s="7" t="s">
        <v>21</v>
      </c>
      <c r="G898" s="33"/>
      <c r="H898" s="33">
        <f>(H896-H889-H891)*G884</f>
        <v>0.9043663531322611</v>
      </c>
      <c r="I898" s="33">
        <f>(I896-I889-I891)*G884</f>
        <v>0.84001421094522466</v>
      </c>
      <c r="J898" s="33">
        <f>(J896-J889-J891)*G884</f>
        <v>0.78023324172758635</v>
      </c>
      <c r="K898" s="33">
        <f>(K896-K889-K891)*G884</f>
        <v>0.72469924643387673</v>
      </c>
      <c r="L898" s="33">
        <f>(L896-L889-L891)*G884</f>
        <v>0.67311098642423306</v>
      </c>
      <c r="M898" s="33">
        <f>(M896-M889-M891)*G884</f>
        <v>0.62518855945785845</v>
      </c>
      <c r="N898" s="33">
        <f>(N896-N889-N891)*G884</f>
        <v>0.58067189041899125</v>
      </c>
      <c r="O898" s="33">
        <f>(O896-O889-O891)*G884</f>
        <v>0.53931932867846633</v>
      </c>
      <c r="P898" s="33">
        <f>(P896-P889-P891)*G884</f>
        <v>0.50090634456478744</v>
      </c>
      <c r="Q898" s="33">
        <f>(Q896-Q889-Q891)*G884</f>
        <v>0.46522431794929908</v>
      </c>
      <c r="R898" s="33">
        <f>(R896-R889-R891)*G884</f>
        <v>0.43207941244329495</v>
      </c>
      <c r="S898" s="33">
        <f>(S896-S889-S891)*G884</f>
        <v>0.40129152916342842</v>
      </c>
      <c r="T898" s="33">
        <f>(T896-T889-T891)*G884</f>
        <v>0.37269333444799985</v>
      </c>
      <c r="U898" s="33">
        <f>(U896-U889-U891)*G884</f>
        <v>0.34612935630287306</v>
      </c>
      <c r="V898" s="33">
        <f>(V896-V889-V891)*G884</f>
        <v>0.32145514472405134</v>
      </c>
      <c r="W898" s="33">
        <f>(W896-W889-W891)*G884</f>
        <v>0.29853649138624627</v>
      </c>
      <c r="X898" s="33">
        <f>(X896-X889-X891)*G884</f>
        <v>0.27724870450497779</v>
      </c>
      <c r="Y898" s="33">
        <f>(Y896-Y889-Y891)*G884</f>
        <v>0.25747593497550253</v>
      </c>
      <c r="Z898" s="33">
        <f>(Z896-Z889-Z891)*G884</f>
        <v>0.2391105501667945</v>
      </c>
      <c r="AA898" s="33">
        <f>(AA896-AA889-AA891)*G884</f>
        <v>0.22205255200434484</v>
      </c>
    </row>
    <row r="899" spans="3:27" hidden="1" outlineLevel="1" x14ac:dyDescent="0.3">
      <c r="C899" s="21" t="s">
        <v>41</v>
      </c>
      <c r="D899" s="19">
        <f>分布式光伏电站IRR汇总!$B$17</f>
        <v>0.222</v>
      </c>
      <c r="F899" s="10" t="s">
        <v>22</v>
      </c>
      <c r="G899" s="33">
        <f>-G887</f>
        <v>-24.611999999999995</v>
      </c>
      <c r="H899" s="33">
        <f t="shared" ref="H899:AA899" si="290">H896-H898-H891</f>
        <v>3.8056878444435123</v>
      </c>
      <c r="I899" s="33">
        <f t="shared" si="290"/>
        <v>3.5411536468980369</v>
      </c>
      <c r="J899" s="33">
        <f t="shared" si="290"/>
        <v>3.2950090841195472</v>
      </c>
      <c r="K899" s="33">
        <f t="shared" si="290"/>
        <v>3.0659756448500302</v>
      </c>
      <c r="L899" s="33">
        <f t="shared" si="290"/>
        <v>2.8528637121216711</v>
      </c>
      <c r="M899" s="33">
        <f t="shared" si="290"/>
        <v>2.6545663819707457</v>
      </c>
      <c r="N899" s="33">
        <f t="shared" si="290"/>
        <v>2.4700537120019925</v>
      </c>
      <c r="O899" s="33">
        <f t="shared" si="290"/>
        <v>2.2983673699092484</v>
      </c>
      <c r="P899" s="33">
        <f t="shared" si="290"/>
        <v>2.1386156541372121</v>
      </c>
      <c r="Q899" s="33">
        <f t="shared" si="290"/>
        <v>1.9899688608038317</v>
      </c>
      <c r="R899" s="33">
        <f t="shared" si="290"/>
        <v>1.8516549728027205</v>
      </c>
      <c r="S899" s="33">
        <f t="shared" si="290"/>
        <v>1.7229556486798514</v>
      </c>
      <c r="T899" s="33">
        <f t="shared" si="290"/>
        <v>1.6032024904370521</v>
      </c>
      <c r="U899" s="33">
        <f t="shared" si="290"/>
        <v>1.491773570864743</v>
      </c>
      <c r="V899" s="33">
        <f t="shared" si="290"/>
        <v>1.3880902023554471</v>
      </c>
      <c r="W899" s="33">
        <f t="shared" si="290"/>
        <v>1.2916139304048073</v>
      </c>
      <c r="X899" s="33">
        <f t="shared" si="290"/>
        <v>1.2018437361748104</v>
      </c>
      <c r="Y899" s="33">
        <f t="shared" si="290"/>
        <v>1.1183134335805984</v>
      </c>
      <c r="Z899" s="33">
        <f t="shared" si="290"/>
        <v>1.0405892473733656</v>
      </c>
      <c r="AA899" s="33">
        <f t="shared" si="290"/>
        <v>0.96826755963264388</v>
      </c>
    </row>
    <row r="900" spans="3:27" ht="13.5" hidden="1" outlineLevel="1" thickBot="1" x14ac:dyDescent="0.35">
      <c r="C900" s="21" t="s">
        <v>74</v>
      </c>
      <c r="D900" s="19">
        <f>分布式光伏电站IRR汇总!$B$18</f>
        <v>0.4</v>
      </c>
      <c r="F900" s="3" t="s">
        <v>61</v>
      </c>
      <c r="G900" s="35">
        <f>SUM(G899:AA899)/G887</f>
        <v>0.69797524392824128</v>
      </c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3:27" ht="13.5" hidden="1" outlineLevel="1" thickTop="1" x14ac:dyDescent="0.3">
      <c r="C901" s="18" t="s">
        <v>58</v>
      </c>
      <c r="D901" s="19">
        <f>分布式光伏电站IRR汇总!$B$19</f>
        <v>0.86599999999999999</v>
      </c>
    </row>
    <row r="902" spans="3:27" hidden="1" outlineLevel="1" x14ac:dyDescent="0.3">
      <c r="C902" s="18" t="s">
        <v>62</v>
      </c>
      <c r="D902" s="19">
        <f>分布式光伏电站IRR汇总!$B$20</f>
        <v>20</v>
      </c>
      <c r="F902" s="13" t="s">
        <v>25</v>
      </c>
      <c r="G902" s="14">
        <v>0</v>
      </c>
    </row>
    <row r="903" spans="3:27" hidden="1" outlineLevel="1" x14ac:dyDescent="0.3">
      <c r="C903" s="18" t="s">
        <v>59</v>
      </c>
      <c r="D903" s="52">
        <f>分布式光伏电站IRR汇总!$B$21</f>
        <v>0.02</v>
      </c>
      <c r="F903" s="13" t="s">
        <v>26</v>
      </c>
      <c r="G903" s="14">
        <v>0.25</v>
      </c>
      <c r="Q903" s="15"/>
    </row>
    <row r="904" spans="3:27" hidden="1" outlineLevel="1" x14ac:dyDescent="0.3">
      <c r="C904" s="18" t="s">
        <v>60</v>
      </c>
      <c r="D904" s="52">
        <f>分布式光伏电站IRR汇总!$B$22</f>
        <v>4.4999999999999997E-3</v>
      </c>
      <c r="F904" s="1" t="s">
        <v>44</v>
      </c>
      <c r="G904" s="4"/>
      <c r="H904" s="5">
        <v>1</v>
      </c>
      <c r="I904" s="5">
        <v>2</v>
      </c>
      <c r="J904" s="5">
        <v>3</v>
      </c>
      <c r="K904" s="5">
        <v>4</v>
      </c>
      <c r="L904" s="5">
        <v>5</v>
      </c>
      <c r="M904" s="5">
        <v>6</v>
      </c>
      <c r="N904" s="5">
        <v>7</v>
      </c>
      <c r="O904" s="5">
        <v>8</v>
      </c>
      <c r="P904" s="5">
        <v>9</v>
      </c>
      <c r="Q904" s="5">
        <v>10</v>
      </c>
      <c r="R904" s="5">
        <v>11</v>
      </c>
      <c r="S904" s="5">
        <v>12</v>
      </c>
      <c r="T904" s="5">
        <v>13</v>
      </c>
      <c r="U904" s="5">
        <v>14</v>
      </c>
      <c r="V904" s="5">
        <v>15</v>
      </c>
      <c r="W904" s="5">
        <v>16</v>
      </c>
      <c r="X904" s="5">
        <v>17</v>
      </c>
      <c r="Y904" s="5">
        <v>18</v>
      </c>
      <c r="Z904" s="5">
        <v>19</v>
      </c>
      <c r="AA904" s="5">
        <v>20</v>
      </c>
    </row>
    <row r="905" spans="3:27" hidden="1" outlineLevel="1" x14ac:dyDescent="0.3">
      <c r="C905" s="18" t="s">
        <v>28</v>
      </c>
      <c r="D905" s="29">
        <f>分布式光伏电站IRR汇总!$B$23</f>
        <v>0.04</v>
      </c>
      <c r="F905" s="16"/>
      <c r="G905" s="2" t="s">
        <v>0</v>
      </c>
      <c r="H905" s="2" t="s">
        <v>1</v>
      </c>
      <c r="I905" s="2" t="s">
        <v>2</v>
      </c>
      <c r="J905" s="2" t="s">
        <v>3</v>
      </c>
      <c r="K905" s="2" t="s">
        <v>4</v>
      </c>
      <c r="L905" s="2" t="s">
        <v>5</v>
      </c>
      <c r="M905" s="2" t="s">
        <v>6</v>
      </c>
      <c r="N905" s="2" t="s">
        <v>7</v>
      </c>
      <c r="O905" s="2" t="s">
        <v>8</v>
      </c>
      <c r="P905" s="2" t="s">
        <v>9</v>
      </c>
      <c r="Q905" s="2" t="s">
        <v>10</v>
      </c>
      <c r="R905" s="2" t="s">
        <v>11</v>
      </c>
      <c r="S905" s="2" t="s">
        <v>12</v>
      </c>
      <c r="T905" s="2" t="s">
        <v>13</v>
      </c>
      <c r="U905" s="2" t="s">
        <v>45</v>
      </c>
      <c r="V905" s="2" t="s">
        <v>46</v>
      </c>
      <c r="W905" s="2" t="s">
        <v>47</v>
      </c>
      <c r="X905" s="2" t="s">
        <v>48</v>
      </c>
      <c r="Y905" s="2" t="s">
        <v>49</v>
      </c>
      <c r="Z905" s="2" t="s">
        <v>50</v>
      </c>
      <c r="AA905" s="2" t="s">
        <v>51</v>
      </c>
    </row>
    <row r="906" spans="3:27" hidden="1" outlineLevel="1" x14ac:dyDescent="0.3">
      <c r="C906" s="18" t="s">
        <v>43</v>
      </c>
      <c r="D906" s="19">
        <f>分布式光伏电站IRR汇总!$B$24</f>
        <v>0.05</v>
      </c>
      <c r="F906" s="6" t="s">
        <v>14</v>
      </c>
      <c r="G906" s="33">
        <f>D908</f>
        <v>24.611999999999995</v>
      </c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 spans="3:27" hidden="1" outlineLevel="1" x14ac:dyDescent="0.3">
      <c r="C907" s="18" t="s">
        <v>126</v>
      </c>
      <c r="D907" s="28">
        <f>Backup分地区光伏小时数及电价!E20</f>
        <v>1466</v>
      </c>
      <c r="F907" s="6" t="s">
        <v>15</v>
      </c>
      <c r="G907" s="33">
        <f>SUM(H908:AA908)</f>
        <v>23.381399999999985</v>
      </c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 spans="3:27" hidden="1" outlineLevel="1" x14ac:dyDescent="0.3">
      <c r="C908" s="24" t="s">
        <v>14</v>
      </c>
      <c r="D908" s="30">
        <f>D884*D889</f>
        <v>24.611999999999995</v>
      </c>
      <c r="F908" s="7" t="s">
        <v>16</v>
      </c>
      <c r="G908" s="33"/>
      <c r="H908" s="33">
        <f>D908*(1-D906)/D902/((1+G902)^H904)</f>
        <v>1.1690699999999996</v>
      </c>
      <c r="I908" s="33">
        <f>D908*(1-D906)/D902/((1+G902)^I904)</f>
        <v>1.1690699999999996</v>
      </c>
      <c r="J908" s="33">
        <f>D908*(1-D906)/D902/((1+G902)^J904)</f>
        <v>1.1690699999999996</v>
      </c>
      <c r="K908" s="33">
        <f>D908*(1-D906)/D902/((1+G902)^K904)</f>
        <v>1.1690699999999996</v>
      </c>
      <c r="L908" s="33">
        <f>D908*(1-D906)/D902/((1+G902)^L904)</f>
        <v>1.1690699999999996</v>
      </c>
      <c r="M908" s="33">
        <f>D908*(1-D906)/D902/((1+G902)^M904)</f>
        <v>1.1690699999999996</v>
      </c>
      <c r="N908" s="33">
        <f>D908*(1-D906)/D902/((1+G902)^N904)</f>
        <v>1.1690699999999996</v>
      </c>
      <c r="O908" s="33">
        <f>D908*(1-D906)/D902/((1+G902)^O904)</f>
        <v>1.1690699999999996</v>
      </c>
      <c r="P908" s="33">
        <f>D908*(1-D906)/D902/((1+G902)^P904)</f>
        <v>1.1690699999999996</v>
      </c>
      <c r="Q908" s="33">
        <f>D908*(1-D906)/D902/((1+G902)^Q904)</f>
        <v>1.1690699999999996</v>
      </c>
      <c r="R908" s="33">
        <f>D908*(1-D906)/D902/((1+G902)^R904)</f>
        <v>1.1690699999999996</v>
      </c>
      <c r="S908" s="33">
        <f>D908*(1-D906)/D902/((1+G902)^S904)</f>
        <v>1.1690699999999996</v>
      </c>
      <c r="T908" s="33">
        <f>D908*(1-D906)/D902/((1+G902)^T904)</f>
        <v>1.1690699999999996</v>
      </c>
      <c r="U908" s="33">
        <f>D908*(1-D906)/D902/((1+G902)^U904)</f>
        <v>1.1690699999999996</v>
      </c>
      <c r="V908" s="33">
        <f>D908*(1-D906)/D902/((1+G902)^V904)</f>
        <v>1.1690699999999996</v>
      </c>
      <c r="W908" s="33">
        <f>D908*(1-D906)/D902/((1+G902)^W904)</f>
        <v>1.1690699999999996</v>
      </c>
      <c r="X908" s="33">
        <f>D908*(1-D906)/D902/((1+G902)^X904)</f>
        <v>1.1690699999999996</v>
      </c>
      <c r="Y908" s="33">
        <f>D908*(1-D906)/D902/((1+G902)^Y904)</f>
        <v>1.1690699999999996</v>
      </c>
      <c r="Z908" s="33">
        <f>D908*(1-D906)/D902/((1+G902)^Z904)</f>
        <v>1.1690699999999996</v>
      </c>
      <c r="AA908" s="33">
        <f>D908*(1-D906)/D902/((1+G902)^AA904)</f>
        <v>1.1690699999999996</v>
      </c>
    </row>
    <row r="909" spans="3:27" hidden="1" outlineLevel="1" x14ac:dyDescent="0.3">
      <c r="C909" s="18" t="s">
        <v>29</v>
      </c>
      <c r="D909" s="29">
        <v>0.35980000000000001</v>
      </c>
      <c r="F909" s="6" t="s">
        <v>17</v>
      </c>
      <c r="G909" s="33">
        <f>SUM(H910:AA910)</f>
        <v>4.8000000000000025</v>
      </c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 spans="3:27" hidden="1" outlineLevel="1" x14ac:dyDescent="0.3">
      <c r="C910" s="18" t="s">
        <v>30</v>
      </c>
      <c r="D910" s="31">
        <f>Backup分地区光伏小时数及电价!I20</f>
        <v>0.70726933333333319</v>
      </c>
      <c r="F910" s="7" t="s">
        <v>18</v>
      </c>
      <c r="G910" s="33"/>
      <c r="H910" s="33">
        <f>D905*D884/((1+G902)^H904)</f>
        <v>0.24</v>
      </c>
      <c r="I910" s="33">
        <f>D905*D884/((1+G902)^I904)</f>
        <v>0.24</v>
      </c>
      <c r="J910" s="33">
        <f>D905*D884/((1+G902)^J904)</f>
        <v>0.24</v>
      </c>
      <c r="K910" s="33">
        <f>D905*D884/((1+G902)^K904)</f>
        <v>0.24</v>
      </c>
      <c r="L910" s="33">
        <f>D905*D884/((1+G902)^L904)</f>
        <v>0.24</v>
      </c>
      <c r="M910" s="33">
        <f>D905*D884/((1+G902)^M904)</f>
        <v>0.24</v>
      </c>
      <c r="N910" s="33">
        <f>D905*D884/((1+G902)^N904)</f>
        <v>0.24</v>
      </c>
      <c r="O910" s="33">
        <f>D905*D884/((1+G902)^O904)</f>
        <v>0.24</v>
      </c>
      <c r="P910" s="33">
        <f>D905*D884/((1+G902)^P904)</f>
        <v>0.24</v>
      </c>
      <c r="Q910" s="33">
        <f>D905*D884/((1+G902)^Q904)</f>
        <v>0.24</v>
      </c>
      <c r="R910" s="33">
        <f>D905*D884/((1+G902)^R904)</f>
        <v>0.24</v>
      </c>
      <c r="S910" s="33">
        <f>D905*D884/((1+G902)^S904)</f>
        <v>0.24</v>
      </c>
      <c r="T910" s="33">
        <f>D905*D884/((1+G902)^T904)</f>
        <v>0.24</v>
      </c>
      <c r="U910" s="33">
        <f>D905*D884/((1+G902)^U904)</f>
        <v>0.24</v>
      </c>
      <c r="V910" s="33">
        <f>D905*D884/((1+G902)^V904)</f>
        <v>0.24</v>
      </c>
      <c r="W910" s="33">
        <f>D905*D884/((1+G902)^W904)</f>
        <v>0.24</v>
      </c>
      <c r="X910" s="33">
        <f>D905*D884/((1+G902)^X904)</f>
        <v>0.24</v>
      </c>
      <c r="Y910" s="33">
        <f>D905*D884/((1+G902)^Y904)</f>
        <v>0.24</v>
      </c>
      <c r="Z910" s="33">
        <f>D905*D884/((1+G902)^Z904)</f>
        <v>0.24</v>
      </c>
      <c r="AA910" s="33">
        <f>D905*D884/((1+G902)^AA904)</f>
        <v>0.24</v>
      </c>
    </row>
    <row r="911" spans="3:27" hidden="1" outlineLevel="1" x14ac:dyDescent="0.3">
      <c r="C911" s="18" t="s">
        <v>70</v>
      </c>
      <c r="D911" s="32">
        <f>分布式光伏电站IRR汇总!$B$27</f>
        <v>1</v>
      </c>
      <c r="F911" s="6" t="s">
        <v>19</v>
      </c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>
        <f>D905*D908/((1+G902)^AA904)</f>
        <v>0.9844799999999998</v>
      </c>
    </row>
    <row r="912" spans="3:27" hidden="1" outlineLevel="1" x14ac:dyDescent="0.3">
      <c r="C912" s="18" t="s">
        <v>69</v>
      </c>
      <c r="D912" s="31">
        <f>D911*D910</f>
        <v>0.70726933333333319</v>
      </c>
      <c r="F912" s="8" t="s">
        <v>64</v>
      </c>
      <c r="G912" s="33">
        <f>SUM(H913:AA913)</f>
        <v>143086.30017603032</v>
      </c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 spans="2:27" hidden="1" outlineLevel="1" x14ac:dyDescent="0.3">
      <c r="C913" s="18" t="s">
        <v>31</v>
      </c>
      <c r="D913" s="27">
        <v>0</v>
      </c>
      <c r="F913" s="9" t="s">
        <v>65</v>
      </c>
      <c r="G913" s="33"/>
      <c r="H913" s="33">
        <f>D884*D901*(1-D903)*D907/((1+G902)^H904)</f>
        <v>7464.9892799999989</v>
      </c>
      <c r="I913" s="33">
        <f>D884*D901*(1-D903)*(1-D904)^(I904-1)*D907/((1+G902)^I904)</f>
        <v>7431.3968282399992</v>
      </c>
      <c r="J913" s="33">
        <f>D884*D901*(1-D903)*(1-D904)^(J904-1)*D907/((1+G902)^J904)</f>
        <v>7397.9555425129201</v>
      </c>
      <c r="K913" s="33">
        <f>D884*D901*(1-D903)*(1-D904)^(K904-1)*D907/((1+G902)^K904)</f>
        <v>7364.6647425716128</v>
      </c>
      <c r="L913" s="33">
        <f>D884*D901*(1-D903)*(1-D904)^(L904-1)*D907/((1+G902)^L904)</f>
        <v>7331.5237512300409</v>
      </c>
      <c r="M913" s="33">
        <f>D884*D901*(1-D903)*(1-D904)^(M904-1)*D907/((1+G902)^M904)</f>
        <v>7298.5318943495067</v>
      </c>
      <c r="N913" s="33">
        <f>D884*D901*(1-D903)*(1-D904)^(N904-1)*D907/((1+G902)^N904)</f>
        <v>7265.6885008249337</v>
      </c>
      <c r="O913" s="33">
        <f>D884*D901*(1-D903)*(1-D904)^(O904-1)*D907/((1+G902)^O904)</f>
        <v>7232.9929025712208</v>
      </c>
      <c r="P913" s="33">
        <f>D884*D901*(1-D903)*(1-D904)^(P904-1)*D907/((1+G902)^P904)</f>
        <v>7200.4444345096517</v>
      </c>
      <c r="Q913" s="33">
        <f>D884*D901*(1-D903)*(1-D904)^(Q904-1)*D907/((1+G902)^Q904)</f>
        <v>7168.0424345543588</v>
      </c>
      <c r="R913" s="33">
        <f>D884*D901*(1-D903)*(1-D904)^(R904-1)*D907/((1+G902)^R904)</f>
        <v>7135.7862435988654</v>
      </c>
      <c r="S913" s="33">
        <f>D884*D901*(1-D903)*(1-D904)^(S904-1)*D907/((1+G902)^S904)</f>
        <v>7103.67520550267</v>
      </c>
      <c r="T913" s="33">
        <f>D884*D901*(1-D903)*(1-D904)^(T904-1)*D907/((1+G902)^T904)</f>
        <v>7071.708667077909</v>
      </c>
      <c r="U913" s="33">
        <f>D884*D901*(1-D903)*(1-D904)^(U904-1)*D907/((1+G902)^U904)</f>
        <v>7039.8859780760577</v>
      </c>
      <c r="V913" s="33">
        <f>D884*D901*(1-D903)*(1-D904)^(V904-1)*D907/((1+G902)^V904)</f>
        <v>7008.2064911747157</v>
      </c>
      <c r="W913" s="33">
        <f>D884*D901*(1-D903)*(1-D904)^(W904-1)*D907/((1+G902)^W904)</f>
        <v>6976.6695619644306</v>
      </c>
      <c r="X913" s="33">
        <f>D884*D901*(1-D903)*(1-D904)^(X904-1)*D907/((1+G902)^X904)</f>
        <v>6945.2745489355912</v>
      </c>
      <c r="Y913" s="33">
        <f>D884*D901*(1-D903)*(1-D904)^(Y904-1)*D907/((1+G902)^Y904)</f>
        <v>6914.0208134653813</v>
      </c>
      <c r="Z913" s="33">
        <f>D884*D901*(1-D903)*(1-D904)^(Z904-1)*D907/((1+G902)^Z904)</f>
        <v>6882.907719804788</v>
      </c>
      <c r="AA913" s="33">
        <f>D884*D901*(1-D903)*(1-D904)^(AA904-1)*D907/((1+G902)^AA904)</f>
        <v>6851.934635065667</v>
      </c>
    </row>
    <row r="914" spans="2:27" hidden="1" outlineLevel="1" x14ac:dyDescent="0.3">
      <c r="F914" s="4" t="s">
        <v>66</v>
      </c>
      <c r="G914" s="33">
        <f>SUM(H915:AA915)</f>
        <v>101.20055213463414</v>
      </c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 spans="2:27" hidden="1" outlineLevel="1" x14ac:dyDescent="0.3">
      <c r="F915" s="7" t="s">
        <v>67</v>
      </c>
      <c r="G915" s="33"/>
      <c r="H915" s="33">
        <f>H913*D912/1000</f>
        <v>5.2797579914060782</v>
      </c>
      <c r="I915" s="33">
        <f>I913*D912/1000</f>
        <v>5.2559990804447505</v>
      </c>
      <c r="J915" s="33">
        <f>J913*D912/1000</f>
        <v>5.2323470845827504</v>
      </c>
      <c r="K915" s="33">
        <f>K913*D912/1000</f>
        <v>5.2088015227021289</v>
      </c>
      <c r="L915" s="33">
        <f>L913*D912/1000</f>
        <v>5.1853619158499695</v>
      </c>
      <c r="M915" s="33">
        <f>M913*D912/1000</f>
        <v>5.1620277872286451</v>
      </c>
      <c r="N915" s="33">
        <f>N913*D912/1000</f>
        <v>5.1387986621861161</v>
      </c>
      <c r="O915" s="33">
        <f>O913*D912/1000</f>
        <v>5.1156740682062782</v>
      </c>
      <c r="P915" s="33">
        <f>P913*D912/1000</f>
        <v>5.0926535348993509</v>
      </c>
      <c r="Q915" s="33">
        <f>Q913*D912/1000</f>
        <v>5.069736593992304</v>
      </c>
      <c r="R915" s="33">
        <f>R913*D912/1000</f>
        <v>5.0469227793193392</v>
      </c>
      <c r="S915" s="33">
        <f>S913*D912/1000</f>
        <v>5.0242116268124022</v>
      </c>
      <c r="T915" s="33">
        <f>T913*D912/1000</f>
        <v>5.001602674491747</v>
      </c>
      <c r="U915" s="33">
        <f>U913*D912/1000</f>
        <v>4.9790954624565336</v>
      </c>
      <c r="V915" s="33">
        <f>V913*D912/1000</f>
        <v>4.9566895328754788</v>
      </c>
      <c r="W915" s="33">
        <f>W913*D912/1000</f>
        <v>4.9343844299775412</v>
      </c>
      <c r="X915" s="33">
        <f>X913*D912/1000</f>
        <v>4.9121797000426426</v>
      </c>
      <c r="Y915" s="33">
        <f>Y913*D912/1000</f>
        <v>4.8900748913924499</v>
      </c>
      <c r="Z915" s="33">
        <f>Z913*D912/1000</f>
        <v>4.8680695543811856</v>
      </c>
      <c r="AA915" s="33">
        <f>AA913*D912/1000</f>
        <v>4.8461632413864697</v>
      </c>
    </row>
    <row r="916" spans="2:27" hidden="1" outlineLevel="1" x14ac:dyDescent="0.3">
      <c r="F916" s="4" t="s">
        <v>20</v>
      </c>
      <c r="G916" s="33">
        <f>SUM(H917:AA917)</f>
        <v>18.254788033658539</v>
      </c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 spans="2:27" hidden="1" outlineLevel="1" x14ac:dyDescent="0.3">
      <c r="F917" s="7" t="s">
        <v>21</v>
      </c>
      <c r="G917" s="33"/>
      <c r="H917" s="33">
        <f>(H915-H908-H910)*G903</f>
        <v>0.96767199785151958</v>
      </c>
      <c r="I917" s="33">
        <f>(I915-I908-I910)*G903</f>
        <v>0.96173227011118767</v>
      </c>
      <c r="J917" s="33">
        <f>(J915-J908-J910)*G903</f>
        <v>0.95581927114568765</v>
      </c>
      <c r="K917" s="33">
        <f>(K915-K908-K910)*G903</f>
        <v>0.94993288067553228</v>
      </c>
      <c r="L917" s="33">
        <f>(L915-L908-L910)*G903</f>
        <v>0.94407297896249243</v>
      </c>
      <c r="M917" s="33">
        <f>(M915-M908-M910)*G903</f>
        <v>0.93823944680716131</v>
      </c>
      <c r="N917" s="33">
        <f>(N915-N908-N910)*G903</f>
        <v>0.93243216554652908</v>
      </c>
      <c r="O917" s="33">
        <f>(O915-O908-O910)*G903</f>
        <v>0.9266510170515696</v>
      </c>
      <c r="P917" s="33">
        <f>(P915-P908-P910)*G903</f>
        <v>0.92089588372483777</v>
      </c>
      <c r="Q917" s="33">
        <f>(Q915-Q908-Q910)*G903</f>
        <v>0.91516664849807605</v>
      </c>
      <c r="R917" s="33">
        <f>(R915-R908-R910)*G903</f>
        <v>0.90946319482983484</v>
      </c>
      <c r="S917" s="33">
        <f>(S915-S908-S910)*G903</f>
        <v>0.90378540670310059</v>
      </c>
      <c r="T917" s="33">
        <f>(T915-T908-T910)*G903</f>
        <v>0.89813316862293679</v>
      </c>
      <c r="U917" s="33">
        <f>(U915-U908-U910)*G903</f>
        <v>0.89250636561413343</v>
      </c>
      <c r="V917" s="33">
        <f>(V915-V908-V910)*G903</f>
        <v>0.88690488321886973</v>
      </c>
      <c r="W917" s="33">
        <f>(W915-W908-W910)*G903</f>
        <v>0.88132860749438535</v>
      </c>
      <c r="X917" s="33">
        <f>(X915-X908-X910)*G903</f>
        <v>0.87577742501066069</v>
      </c>
      <c r="Y917" s="33">
        <f>(Y915-Y908-Y910)*G903</f>
        <v>0.87025122284811252</v>
      </c>
      <c r="Z917" s="33">
        <f>(Z915-Z908-Z910)*G903</f>
        <v>0.86474988859529645</v>
      </c>
      <c r="AA917" s="33">
        <f>(AA915-AA908-AA910)*G903</f>
        <v>0.85927331034661747</v>
      </c>
    </row>
    <row r="918" spans="2:27" hidden="1" outlineLevel="1" x14ac:dyDescent="0.3">
      <c r="F918" s="10" t="s">
        <v>22</v>
      </c>
      <c r="G918" s="33">
        <f>-G906</f>
        <v>-24.611999999999995</v>
      </c>
      <c r="H918" s="33">
        <f>H915-H917-H910</f>
        <v>4.0720859935545581</v>
      </c>
      <c r="I918" s="33">
        <f t="shared" ref="I918" si="291">I915-I917-I910</f>
        <v>4.0542668103335622</v>
      </c>
      <c r="J918" s="33">
        <f t="shared" ref="J918" si="292">J915-J917-J910</f>
        <v>4.036527813437063</v>
      </c>
      <c r="K918" s="33">
        <f t="shared" ref="K918" si="293">K915-K917-K910</f>
        <v>4.0188686420265967</v>
      </c>
      <c r="L918" s="33">
        <f t="shared" ref="L918" si="294">L915-L917-L910</f>
        <v>4.0012889368874767</v>
      </c>
      <c r="M918" s="33">
        <f t="shared" ref="M918" si="295">M915-M917-M910</f>
        <v>3.9837883404214836</v>
      </c>
      <c r="N918" s="33">
        <f t="shared" ref="N918" si="296">N915-N917-N910</f>
        <v>3.9663664966395871</v>
      </c>
      <c r="O918" s="33">
        <f t="shared" ref="O918" si="297">O915-O917-O910</f>
        <v>3.9490230511547084</v>
      </c>
      <c r="P918" s="33">
        <f t="shared" ref="P918" si="298">P915-P917-P910</f>
        <v>3.9317576511745127</v>
      </c>
      <c r="Q918" s="33">
        <f t="shared" ref="Q918" si="299">Q915-Q917-Q910</f>
        <v>3.914569945494228</v>
      </c>
      <c r="R918" s="33">
        <f t="shared" ref="R918" si="300">R915-R917-R910</f>
        <v>3.8974595844895044</v>
      </c>
      <c r="S918" s="33">
        <f t="shared" ref="S918" si="301">S915-S917-S910</f>
        <v>3.8804262201093014</v>
      </c>
      <c r="T918" s="33">
        <f t="shared" ref="T918" si="302">T915-T917-T910</f>
        <v>3.8634695058688102</v>
      </c>
      <c r="U918" s="33">
        <f t="shared" ref="U918" si="303">U915-U917-U910</f>
        <v>3.8465890968423997</v>
      </c>
      <c r="V918" s="33">
        <f t="shared" ref="V918" si="304">V915-V917-V910</f>
        <v>3.8297846496566086</v>
      </c>
      <c r="W918" s="33">
        <f t="shared" ref="W918" si="305">W915-W917-W910</f>
        <v>3.8130558224831557</v>
      </c>
      <c r="X918" s="33">
        <f t="shared" ref="X918" si="306">X915-X917-X910</f>
        <v>3.7964022750319817</v>
      </c>
      <c r="Y918" s="33">
        <f t="shared" ref="Y918" si="307">Y915-Y917-Y910</f>
        <v>3.7798236685443367</v>
      </c>
      <c r="Z918" s="33">
        <f t="shared" ref="Z918" si="308">Z915-Z917-Z910</f>
        <v>3.7633196657858887</v>
      </c>
      <c r="AA918" s="33">
        <f t="shared" ref="AA918" si="309">AA915-AA917-AA910</f>
        <v>3.7468899310398518</v>
      </c>
    </row>
    <row r="919" spans="2:27" ht="13.5" hidden="1" outlineLevel="1" thickBot="1" x14ac:dyDescent="0.35">
      <c r="F919" s="3" t="s">
        <v>68</v>
      </c>
      <c r="G919" s="40">
        <f>IRR(G918:AA918)</f>
        <v>0.15215779723841205</v>
      </c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2:27" ht="13.5" collapsed="1" thickTop="1" x14ac:dyDescent="0.3"/>
    <row r="921" spans="2:27" x14ac:dyDescent="0.3">
      <c r="B921" s="11" t="s">
        <v>162</v>
      </c>
      <c r="C921" s="11" t="s">
        <v>52</v>
      </c>
    </row>
    <row r="922" spans="2:27" x14ac:dyDescent="0.3">
      <c r="C922" s="11" t="s">
        <v>141</v>
      </c>
      <c r="D922" s="54">
        <f>D953</f>
        <v>1336</v>
      </c>
    </row>
    <row r="923" spans="2:27" x14ac:dyDescent="0.3">
      <c r="C923" s="16" t="s">
        <v>78</v>
      </c>
      <c r="D923" s="37">
        <f>(G952+G955+G962)/G958*1000</f>
        <v>0.32343817374017308</v>
      </c>
    </row>
    <row r="924" spans="2:27" x14ac:dyDescent="0.3">
      <c r="C924" s="13" t="s">
        <v>77</v>
      </c>
      <c r="D924" s="39">
        <f>(G933+G936+G943)/G939*1000</f>
        <v>0.47480349005509309</v>
      </c>
    </row>
    <row r="925" spans="2:27" x14ac:dyDescent="0.3">
      <c r="C925" s="13" t="s">
        <v>61</v>
      </c>
      <c r="D925" s="36">
        <f>G946</f>
        <v>0.33993552290358969</v>
      </c>
    </row>
    <row r="926" spans="2:27" x14ac:dyDescent="0.3">
      <c r="C926" s="13" t="s">
        <v>73</v>
      </c>
      <c r="D926" s="25">
        <f>SUM(G945:AA945)</f>
        <v>8.3664930897031482</v>
      </c>
    </row>
    <row r="927" spans="2:27" ht="13.5" thickBot="1" x14ac:dyDescent="0.35">
      <c r="C927" s="23" t="s">
        <v>68</v>
      </c>
      <c r="D927" s="26">
        <f>G965</f>
        <v>0.11183223719049074</v>
      </c>
    </row>
    <row r="928" spans="2:27" ht="13.5" hidden="1" outlineLevel="1" thickTop="1" x14ac:dyDescent="0.3">
      <c r="E928" s="20"/>
      <c r="F928" s="38" t="s">
        <v>75</v>
      </c>
    </row>
    <row r="929" spans="3:27" hidden="1" outlineLevel="1" x14ac:dyDescent="0.3">
      <c r="C929" s="11" t="s">
        <v>71</v>
      </c>
      <c r="F929" s="13" t="s">
        <v>25</v>
      </c>
      <c r="G929" s="14">
        <v>7.0000000000000007E-2</v>
      </c>
    </row>
    <row r="930" spans="3:27" hidden="1" outlineLevel="1" x14ac:dyDescent="0.3">
      <c r="C930" s="18" t="s">
        <v>53</v>
      </c>
      <c r="D930" s="19">
        <f>分布式光伏电站IRR汇总!$B$2</f>
        <v>6</v>
      </c>
      <c r="F930" s="13" t="s">
        <v>26</v>
      </c>
      <c r="G930" s="14">
        <v>0.25</v>
      </c>
    </row>
    <row r="931" spans="3:27" hidden="1" outlineLevel="1" x14ac:dyDescent="0.3">
      <c r="C931" s="18" t="s">
        <v>56</v>
      </c>
      <c r="D931" s="19">
        <f>分布式光伏电站IRR汇总!$B$3</f>
        <v>120</v>
      </c>
      <c r="F931" s="1" t="s">
        <v>44</v>
      </c>
      <c r="G931" s="4"/>
      <c r="H931" s="5">
        <v>1</v>
      </c>
      <c r="I931" s="5">
        <v>2</v>
      </c>
      <c r="J931" s="5">
        <v>3</v>
      </c>
      <c r="K931" s="5">
        <v>4</v>
      </c>
      <c r="L931" s="5">
        <v>5</v>
      </c>
      <c r="M931" s="5">
        <v>6</v>
      </c>
      <c r="N931" s="5">
        <v>7</v>
      </c>
      <c r="O931" s="5">
        <v>8</v>
      </c>
      <c r="P931" s="5">
        <v>9</v>
      </c>
      <c r="Q931" s="5">
        <v>10</v>
      </c>
      <c r="R931" s="5">
        <v>11</v>
      </c>
      <c r="S931" s="5">
        <v>12</v>
      </c>
      <c r="T931" s="5">
        <v>13</v>
      </c>
      <c r="U931" s="5">
        <v>14</v>
      </c>
      <c r="V931" s="5">
        <v>15</v>
      </c>
      <c r="W931" s="5">
        <v>16</v>
      </c>
      <c r="X931" s="5">
        <v>17</v>
      </c>
      <c r="Y931" s="5">
        <v>18</v>
      </c>
      <c r="Z931" s="5">
        <v>19</v>
      </c>
      <c r="AA931" s="5">
        <v>20</v>
      </c>
    </row>
    <row r="932" spans="3:27" hidden="1" outlineLevel="1" x14ac:dyDescent="0.3">
      <c r="C932" s="18" t="s">
        <v>57</v>
      </c>
      <c r="D932" s="19">
        <f>分布式光伏电站IRR汇总!$B$4</f>
        <v>3</v>
      </c>
      <c r="F932" s="16"/>
      <c r="G932" s="2" t="s">
        <v>0</v>
      </c>
      <c r="H932" s="2" t="s">
        <v>1</v>
      </c>
      <c r="I932" s="2" t="s">
        <v>2</v>
      </c>
      <c r="J932" s="2" t="s">
        <v>3</v>
      </c>
      <c r="K932" s="2" t="s">
        <v>4</v>
      </c>
      <c r="L932" s="2" t="s">
        <v>5</v>
      </c>
      <c r="M932" s="2" t="s">
        <v>6</v>
      </c>
      <c r="N932" s="2" t="s">
        <v>7</v>
      </c>
      <c r="O932" s="2" t="s">
        <v>8</v>
      </c>
      <c r="P932" s="2" t="s">
        <v>9</v>
      </c>
      <c r="Q932" s="2" t="s">
        <v>10</v>
      </c>
      <c r="R932" s="2" t="s">
        <v>11</v>
      </c>
      <c r="S932" s="2" t="s">
        <v>12</v>
      </c>
      <c r="T932" s="2" t="s">
        <v>13</v>
      </c>
      <c r="U932" s="2" t="s">
        <v>45</v>
      </c>
      <c r="V932" s="2" t="s">
        <v>46</v>
      </c>
      <c r="W932" s="2" t="s">
        <v>47</v>
      </c>
      <c r="X932" s="2" t="s">
        <v>48</v>
      </c>
      <c r="Y932" s="2" t="s">
        <v>49</v>
      </c>
      <c r="Z932" s="2" t="s">
        <v>50</v>
      </c>
      <c r="AA932" s="2" t="s">
        <v>127</v>
      </c>
    </row>
    <row r="933" spans="3:27" hidden="1" outlineLevel="1" x14ac:dyDescent="0.3">
      <c r="C933" s="18" t="s">
        <v>54</v>
      </c>
      <c r="D933" s="19">
        <f>分布式光伏电站IRR汇总!$B$5</f>
        <v>5</v>
      </c>
      <c r="F933" s="6" t="s">
        <v>14</v>
      </c>
      <c r="G933" s="33">
        <f>D954</f>
        <v>24.611999999999995</v>
      </c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 spans="3:27" hidden="1" outlineLevel="1" x14ac:dyDescent="0.3">
      <c r="C934" s="18" t="s">
        <v>55</v>
      </c>
      <c r="D934" s="19">
        <f>分布式光伏电站IRR汇总!$B$6</f>
        <v>15</v>
      </c>
      <c r="F934" s="6" t="s">
        <v>15</v>
      </c>
      <c r="G934" s="33">
        <f>SUM(H935:AA935)</f>
        <v>12.385144234005573</v>
      </c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 spans="3:27" hidden="1" outlineLevel="1" x14ac:dyDescent="0.3">
      <c r="C935" s="18" t="s">
        <v>42</v>
      </c>
      <c r="D935" s="19">
        <f>分布式光伏电站IRR汇总!$B$7</f>
        <v>4.1019999999999994</v>
      </c>
      <c r="F935" s="7" t="s">
        <v>16</v>
      </c>
      <c r="G935" s="33"/>
      <c r="H935" s="33">
        <f>D954*(1-D952)/D948/((1+G929)^H931)</f>
        <v>1.0925887850467286</v>
      </c>
      <c r="I935" s="33">
        <f>D954*(1-D952)/D948/((1+G929)^I931)</f>
        <v>1.0211110140623632</v>
      </c>
      <c r="J935" s="33">
        <f>D954*(1-D952)/D948/((1+G929)^J931)</f>
        <v>0.95430935893678792</v>
      </c>
      <c r="K935" s="33">
        <f>D954*(1-D952)/D948/((1+G929)^K931)</f>
        <v>0.89187790554839996</v>
      </c>
      <c r="L935" s="33">
        <f>D954*(1-D952)/D948/((1+G929)^L931)</f>
        <v>0.83353075284897193</v>
      </c>
      <c r="M935" s="33">
        <f>D954*(1-D952)/D948/((1+G929)^M931)</f>
        <v>0.77900070359717</v>
      </c>
      <c r="N935" s="33">
        <f>D954*(1-D952)/D948/((1+G929)^N931)</f>
        <v>0.72803804074501866</v>
      </c>
      <c r="O935" s="33">
        <f>D954*(1-D952)/D948/((1+G929)^O931)</f>
        <v>0.6804093838738493</v>
      </c>
      <c r="P935" s="33">
        <f>D954*(1-D952)/D948/((1+G929)^P931)</f>
        <v>0.63589662044284967</v>
      </c>
      <c r="Q935" s="33">
        <f>D954*(1-D952)/D948/((1+G929)^Q931)</f>
        <v>0.59429590695593437</v>
      </c>
      <c r="R935" s="33">
        <f>D954*(1-D952)/D948/((1+G929)^R931)</f>
        <v>0.55541673547283577</v>
      </c>
      <c r="S935" s="33">
        <f>D954*(1-D952)/D948/((1+G929)^S931)</f>
        <v>0.51908106118956621</v>
      </c>
      <c r="T935" s="33">
        <f>D954*(1-D952)/D948/((1+G929)^T931)</f>
        <v>0.4851224870930525</v>
      </c>
      <c r="U935" s="33">
        <f>D954*(1-D952)/D948/((1+G929)^U931)</f>
        <v>0.45338550195612387</v>
      </c>
      <c r="V935" s="33">
        <f>D954*(1-D952)/D948/((1+G929)^V931)</f>
        <v>0.4237247681832933</v>
      </c>
      <c r="W935" s="33">
        <f>D954*(1-D952)/D948/((1+G929)^W931)</f>
        <v>0.39600445624606856</v>
      </c>
      <c r="X935" s="33">
        <f>D954*(1-D952)/D948/((1+G929)^X931)</f>
        <v>0.37009762265987711</v>
      </c>
      <c r="Y935" s="33">
        <f>D954*(1-D952)/D948/((1+G929)^Y931)</f>
        <v>0.34588562865409078</v>
      </c>
      <c r="Z935" s="33">
        <f>D954*(1-D952)/D948/((1+G929)^Z931)</f>
        <v>0.323257596872982</v>
      </c>
      <c r="AA935" s="33">
        <f>D954*(1-D952)/D948/((1+G929)^AA931)</f>
        <v>0.30210990361960938</v>
      </c>
    </row>
    <row r="936" spans="3:27" hidden="1" outlineLevel="1" x14ac:dyDescent="0.3">
      <c r="C936" s="21" t="s">
        <v>32</v>
      </c>
      <c r="D936" s="19">
        <f>分布式光伏电站IRR汇总!$B$8</f>
        <v>1.8870000000000002</v>
      </c>
      <c r="F936" s="6" t="s">
        <v>17</v>
      </c>
      <c r="G936" s="33">
        <f>SUM(H937:AA937)</f>
        <v>2.5425634189238777</v>
      </c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 spans="3:27" hidden="1" outlineLevel="1" x14ac:dyDescent="0.3">
      <c r="C937" s="21" t="s">
        <v>33</v>
      </c>
      <c r="D937" s="19">
        <f>分布式光伏电站IRR汇总!$B$9</f>
        <v>0.18500000000000003</v>
      </c>
      <c r="F937" s="7" t="s">
        <v>18</v>
      </c>
      <c r="G937" s="33"/>
      <c r="H937" s="33">
        <f>D951*D930/((1+G929)^H931)</f>
        <v>0.22429906542056072</v>
      </c>
      <c r="I937" s="33">
        <f>D951*D930/((1+G929)^I931)</f>
        <v>0.20962529478557079</v>
      </c>
      <c r="J937" s="33">
        <f>D951*D930/((1+G929)^J931)</f>
        <v>0.19591149045380446</v>
      </c>
      <c r="K937" s="33">
        <f>D951*D930/((1+G929)^K931)</f>
        <v>0.18309485089140604</v>
      </c>
      <c r="L937" s="33">
        <f>D951*D930/((1+G929)^L931)</f>
        <v>0.17111668307608041</v>
      </c>
      <c r="M937" s="33">
        <f>D951*D930/((1+G929)^M931)</f>
        <v>0.15992213371596301</v>
      </c>
      <c r="N937" s="33">
        <f>D951*D930/((1+G929)^N931)</f>
        <v>0.14945993805230187</v>
      </c>
      <c r="O937" s="33">
        <f>D951*D930/((1+G929)^O931)</f>
        <v>0.13968218509560923</v>
      </c>
      <c r="P937" s="33">
        <f>D951*D930/((1+G929)^P931)</f>
        <v>0.13054409822019553</v>
      </c>
      <c r="Q937" s="33">
        <f>D951*D930/((1+G929)^Q931)</f>
        <v>0.12200383011233226</v>
      </c>
      <c r="R937" s="33">
        <f>D951*D930/((1+G929)^R931)</f>
        <v>0.1140222711330208</v>
      </c>
      <c r="S937" s="33">
        <f>D951*D930/((1+G929)^S931)</f>
        <v>0.10656287021777647</v>
      </c>
      <c r="T937" s="33">
        <f>D951*D930/((1+G929)^T931)</f>
        <v>9.9591467493249028E-2</v>
      </c>
      <c r="U937" s="33">
        <f>D951*D930/((1+G929)^U931)</f>
        <v>9.3076137844157969E-2</v>
      </c>
      <c r="V937" s="33">
        <f>D951*D930/((1+G929)^V931)</f>
        <v>8.6987044714166323E-2</v>
      </c>
      <c r="W937" s="33">
        <f>D951*D930/((1+G929)^W931)</f>
        <v>8.1296303471183481E-2</v>
      </c>
      <c r="X937" s="33">
        <f>D951*D930/((1+G929)^X931)</f>
        <v>7.5977853711386434E-2</v>
      </c>
      <c r="Y937" s="33">
        <f>D951*D930/((1+G929)^Y931)</f>
        <v>7.1007339917183582E-2</v>
      </c>
      <c r="Z937" s="33">
        <f>D951*D930/((1+G929)^Z931)</f>
        <v>6.6361999922601472E-2</v>
      </c>
      <c r="AA937" s="33">
        <f>D951*D930/((1+G929)^AA931)</f>
        <v>6.2020560675328483E-2</v>
      </c>
    </row>
    <row r="938" spans="3:27" hidden="1" outlineLevel="1" x14ac:dyDescent="0.3">
      <c r="C938" s="21" t="s">
        <v>34</v>
      </c>
      <c r="D938" s="19">
        <f>分布式光伏电站IRR汇总!$B$10</f>
        <v>0.222</v>
      </c>
      <c r="F938" s="6" t="s">
        <v>19</v>
      </c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>
        <f>D951*D954/((1+G929)^AA931)</f>
        <v>0.2544083398901974</v>
      </c>
    </row>
    <row r="939" spans="3:27" hidden="1" outlineLevel="1" x14ac:dyDescent="0.3">
      <c r="C939" s="21" t="s">
        <v>35</v>
      </c>
      <c r="D939" s="19">
        <f>分布式光伏电站IRR汇总!$B$11</f>
        <v>0.44400000000000001</v>
      </c>
      <c r="F939" s="8" t="s">
        <v>64</v>
      </c>
      <c r="G939" s="33">
        <f>SUM(H940:AA940)</f>
        <v>69753.387038536923</v>
      </c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 spans="3:27" hidden="1" outlineLevel="1" x14ac:dyDescent="0.3">
      <c r="C940" s="21" t="s">
        <v>36</v>
      </c>
      <c r="D940" s="19">
        <f>分布式光伏电站IRR汇总!$B$12</f>
        <v>0.222</v>
      </c>
      <c r="F940" s="9" t="s">
        <v>65</v>
      </c>
      <c r="G940" s="33"/>
      <c r="H940" s="33">
        <f>D930*D947*(1-D949)*D953/((1+G929)^H931)</f>
        <v>6357.9615700934564</v>
      </c>
      <c r="I940" s="33">
        <f>D930*D947*(1-D949)*(1-D950)^(I931-1)*D953/((1+G929)^I931)</f>
        <v>5915.2810682505014</v>
      </c>
      <c r="J940" s="33">
        <f>D930*D947*(1-D949)*(1-D950)^(J931-1)*D953/((1+G929)^J931)</f>
        <v>5503.4227134984812</v>
      </c>
      <c r="K940" s="33">
        <f>D930*D947*(1-D949)*(1-D950)^(K931-1)*D953/((1+G929)^K931)</f>
        <v>5120.2404778390082</v>
      </c>
      <c r="L940" s="33">
        <f>D930*D947*(1-D949)*(1-D950)^(L931-1)*D953/((1+G929)^L931)</f>
        <v>4763.7377529801233</v>
      </c>
      <c r="M940" s="33">
        <f>D930*D947*(1-D949)*(1-D950)^(M931-1)*D953/((1+G929)^M931)</f>
        <v>4432.0569468146859</v>
      </c>
      <c r="N940" s="33">
        <f>D930*D947*(1-D949)*(1-D950)^(N931-1)*D953/((1+G929)^N931)</f>
        <v>4123.4698042560931</v>
      </c>
      <c r="O940" s="33">
        <f>D930*D947*(1-D949)*(1-D950)^(O931-1)*D953/((1+G929)^O931)</f>
        <v>3836.3684019971406</v>
      </c>
      <c r="P940" s="33">
        <f>D930*D947*(1-D949)*(1-D950)^(P931-1)*D953/((1+G929)^P931)</f>
        <v>3569.2567702693027</v>
      </c>
      <c r="Q940" s="33">
        <f>D930*D947*(1-D949)*(1-D950)^(Q931-1)*D953/((1+G929)^Q931)</f>
        <v>3320.743097946814</v>
      </c>
      <c r="R940" s="33">
        <f>D930*D947*(1-D949)*(1-D950)^(R931-1)*D953/((1+G929)^R931)</f>
        <v>3089.5324803794892</v>
      </c>
      <c r="S940" s="33">
        <f>D930*D947*(1-D949)*(1-D950)^(S931-1)*D953/((1+G929)^S931)</f>
        <v>2874.4201721661511</v>
      </c>
      <c r="T940" s="33">
        <f>D930*D947*(1-D949)*(1-D950)^(T931-1)*D953/((1+G929)^T931)</f>
        <v>2674.2853097115926</v>
      </c>
      <c r="U940" s="33">
        <f>D930*D947*(1-D949)*(1-D950)^(U931-1)*D953/((1+G929)^U931)</f>
        <v>2488.0850708578414</v>
      </c>
      <c r="V940" s="33">
        <f>D930*D947*(1-D949)*(1-D950)^(V931-1)*D953/((1+G929)^V931)</f>
        <v>2314.8492411579259</v>
      </c>
      <c r="W940" s="33">
        <f>D930*D947*(1-D949)*(1-D950)^(W931-1)*D953/((1+G929)^W931)</f>
        <v>2153.6751584791741</v>
      </c>
      <c r="X940" s="33">
        <f>D930*D947*(1-D949)*(1-D950)^(X931-1)*D953/((1+G929)^X931)</f>
        <v>2003.7230095944092</v>
      </c>
      <c r="Y940" s="33">
        <f>D930*D947*(1-D949)*(1-D950)^(Y931-1)*D953/((1+G929)^Y931)</f>
        <v>1864.2114542534898</v>
      </c>
      <c r="Z940" s="33">
        <f>D930*D947*(1-D949)*(1-D950)^(Z931-1)*D953/((1+G929)^Z931)</f>
        <v>1734.4135539339713</v>
      </c>
      <c r="AA940" s="33">
        <f>D930*D947*(1-D949)*(1-D950)^(AA931-1)*D953/((1+G929)^AA931)</f>
        <v>1613.6529840572607</v>
      </c>
    </row>
    <row r="941" spans="3:27" hidden="1" outlineLevel="1" x14ac:dyDescent="0.3">
      <c r="C941" s="21" t="s">
        <v>37</v>
      </c>
      <c r="D941" s="19">
        <f>分布式光伏电站IRR汇总!$B$13</f>
        <v>0.15</v>
      </c>
      <c r="F941" s="4" t="s">
        <v>66</v>
      </c>
      <c r="G941" s="33">
        <f>SUM(H942:AA942)</f>
        <v>42.385506127192883</v>
      </c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 spans="3:27" hidden="1" outlineLevel="1" x14ac:dyDescent="0.3">
      <c r="C942" s="21" t="s">
        <v>38</v>
      </c>
      <c r="D942" s="19">
        <f>分布式光伏电站IRR汇总!$B$14</f>
        <v>3.7000000000000005E-2</v>
      </c>
      <c r="F942" s="7" t="s">
        <v>67</v>
      </c>
      <c r="G942" s="33"/>
      <c r="H942" s="33">
        <f>H940*D958/1000</f>
        <v>3.8634026321441484</v>
      </c>
      <c r="I942" s="33">
        <f>I940*D958/1000</f>
        <v>3.5944087105602809</v>
      </c>
      <c r="J942" s="33">
        <f>J940*D958/1000</f>
        <v>3.344143805011925</v>
      </c>
      <c r="K942" s="33">
        <f>K940*D958/1000</f>
        <v>3.1113038858779172</v>
      </c>
      <c r="L942" s="33">
        <f>L940*D958/1000</f>
        <v>2.8946757181228659</v>
      </c>
      <c r="M942" s="33">
        <f>M940*D958/1000</f>
        <v>2.6931305396180503</v>
      </c>
      <c r="N942" s="33">
        <f>N940*D958/1000</f>
        <v>2.5056181796166062</v>
      </c>
      <c r="O942" s="33">
        <f>O940*D958/1000</f>
        <v>2.3311615867367581</v>
      </c>
      <c r="P942" s="33">
        <f>P940*D958/1000</f>
        <v>2.1688517379406012</v>
      </c>
      <c r="Q942" s="33">
        <f>Q940*D958/1000</f>
        <v>2.0178429019811857</v>
      </c>
      <c r="R942" s="33">
        <f>R940*D958/1000</f>
        <v>1.8773482326376358</v>
      </c>
      <c r="S942" s="33">
        <f>S940*D958/1000</f>
        <v>1.7466356687764173</v>
      </c>
      <c r="T942" s="33">
        <f>T940*D958/1000</f>
        <v>1.6250241198756299</v>
      </c>
      <c r="U942" s="33">
        <f>U940*D958/1000</f>
        <v>1.5118799171366257</v>
      </c>
      <c r="V942" s="33">
        <f>V940*D958/1000</f>
        <v>1.4066135116911311</v>
      </c>
      <c r="W942" s="33">
        <f>W940*D958/1000</f>
        <v>1.3086764026995532</v>
      </c>
      <c r="X942" s="33">
        <f>X940*D958/1000</f>
        <v>1.2175582793340234</v>
      </c>
      <c r="Y942" s="33">
        <f>Y940*D958/1000</f>
        <v>1.1327843617542246</v>
      </c>
      <c r="Z942" s="33">
        <f>Z940*D958/1000</f>
        <v>1.0539129272208698</v>
      </c>
      <c r="AA942" s="33">
        <f>AA940*D958/1000</f>
        <v>0.98053300845642632</v>
      </c>
    </row>
    <row r="943" spans="3:27" hidden="1" outlineLevel="1" x14ac:dyDescent="0.3">
      <c r="C943" s="21" t="s">
        <v>39</v>
      </c>
      <c r="D943" s="19">
        <f>分布式光伏电站IRR汇总!$B$15</f>
        <v>0.25900000000000006</v>
      </c>
      <c r="F943" s="4" t="s">
        <v>20</v>
      </c>
      <c r="G943" s="33">
        <f>SUM(H944:V944)</f>
        <v>5.9645881901371594</v>
      </c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 spans="3:27" hidden="1" outlineLevel="1" x14ac:dyDescent="0.3">
      <c r="C944" s="21" t="s">
        <v>40</v>
      </c>
      <c r="D944" s="19">
        <f>分布式光伏电站IRR汇总!$B$16</f>
        <v>7.400000000000001E-2</v>
      </c>
      <c r="F944" s="7" t="s">
        <v>21</v>
      </c>
      <c r="G944" s="33"/>
      <c r="H944" s="33">
        <f>(H942-H935-H937)*G930</f>
        <v>0.63662869541921474</v>
      </c>
      <c r="I944" s="33">
        <f>(I942-I935-I937)*G930</f>
        <v>0.59091810042808679</v>
      </c>
      <c r="J944" s="33">
        <f>(J942-J935-J937)*G930</f>
        <v>0.54848073890533322</v>
      </c>
      <c r="K944" s="33">
        <f>(K942-K935-K937)*G930</f>
        <v>0.50908278235952786</v>
      </c>
      <c r="L944" s="33">
        <f>(L942-L935-L937)*G930</f>
        <v>0.47250707054945346</v>
      </c>
      <c r="M944" s="33">
        <f>(M942-M935-M937)*G930</f>
        <v>0.4385519255762293</v>
      </c>
      <c r="N944" s="33">
        <f>(N942-N935-N937)*G930</f>
        <v>0.40703005020482141</v>
      </c>
      <c r="O944" s="33">
        <f>(O942-O935-O937)*G930</f>
        <v>0.37776750444182494</v>
      </c>
      <c r="P944" s="33">
        <f>(P942-P935-P937)*G930</f>
        <v>0.35060275481938896</v>
      </c>
      <c r="Q944" s="33">
        <f>(Q942-Q935-Q937)*G930</f>
        <v>0.32538579122822975</v>
      </c>
      <c r="R944" s="33">
        <f>(R942-R935-R937)*G930</f>
        <v>0.30197730650794485</v>
      </c>
      <c r="S944" s="33">
        <f>(S942-S935-S937)*G930</f>
        <v>0.28024793434226863</v>
      </c>
      <c r="T944" s="33">
        <f>(T942-T935-T937)*G930</f>
        <v>0.26007754132233213</v>
      </c>
      <c r="U944" s="33">
        <f>(U942-U935-U937)*G930</f>
        <v>0.24135456933408594</v>
      </c>
      <c r="V944" s="33">
        <f>(V942-V935-V937)*G930</f>
        <v>0.22397542469841789</v>
      </c>
      <c r="W944" s="33">
        <f>(W942-W935-W937)*G930</f>
        <v>0.20784391074557532</v>
      </c>
      <c r="X944" s="33">
        <f>(X942-X935-X937)*G930</f>
        <v>0.19287070074068996</v>
      </c>
      <c r="Y944" s="33">
        <f>(Y942-Y935-Y937)*G930</f>
        <v>0.17897284829573756</v>
      </c>
      <c r="Z944" s="33">
        <f>(Z942-Z935-Z937)*G930</f>
        <v>0.16607333260632157</v>
      </c>
      <c r="AA944" s="33">
        <f>(AA942-AA935-AA937)*G930</f>
        <v>0.15410063604037214</v>
      </c>
    </row>
    <row r="945" spans="3:27" hidden="1" outlineLevel="1" x14ac:dyDescent="0.3">
      <c r="C945" s="21" t="s">
        <v>41</v>
      </c>
      <c r="D945" s="19">
        <f>分布式光伏电站IRR汇总!$B$17</f>
        <v>0.222</v>
      </c>
      <c r="F945" s="10" t="s">
        <v>22</v>
      </c>
      <c r="G945" s="33">
        <f>-G933</f>
        <v>-24.611999999999995</v>
      </c>
      <c r="H945" s="33">
        <f t="shared" ref="H945:AA945" si="310">H942-H944-H937</f>
        <v>3.002474871304373</v>
      </c>
      <c r="I945" s="33">
        <f t="shared" si="310"/>
        <v>2.7938653153466229</v>
      </c>
      <c r="J945" s="33">
        <f t="shared" si="310"/>
        <v>2.5997515756527871</v>
      </c>
      <c r="K945" s="33">
        <f t="shared" si="310"/>
        <v>2.4191262526269837</v>
      </c>
      <c r="L945" s="33">
        <f t="shared" si="310"/>
        <v>2.2510519644973321</v>
      </c>
      <c r="M945" s="33">
        <f t="shared" si="310"/>
        <v>2.0946564803258578</v>
      </c>
      <c r="N945" s="33">
        <f t="shared" si="310"/>
        <v>1.9491281913594829</v>
      </c>
      <c r="O945" s="33">
        <f t="shared" si="310"/>
        <v>1.813711897199324</v>
      </c>
      <c r="P945" s="33">
        <f t="shared" si="310"/>
        <v>1.6877048849010166</v>
      </c>
      <c r="Q945" s="33">
        <f t="shared" si="310"/>
        <v>1.5704532806406235</v>
      </c>
      <c r="R945" s="33">
        <f t="shared" si="310"/>
        <v>1.4613486549966703</v>
      </c>
      <c r="S945" s="33">
        <f t="shared" si="310"/>
        <v>1.3598248642163722</v>
      </c>
      <c r="T945" s="33">
        <f t="shared" si="310"/>
        <v>1.2653551110600487</v>
      </c>
      <c r="U945" s="33">
        <f t="shared" si="310"/>
        <v>1.1774492099583818</v>
      </c>
      <c r="V945" s="33">
        <f t="shared" si="310"/>
        <v>1.095651042278547</v>
      </c>
      <c r="W945" s="33">
        <f t="shared" si="310"/>
        <v>1.0195361884827943</v>
      </c>
      <c r="X945" s="33">
        <f t="shared" si="310"/>
        <v>0.94870972488194694</v>
      </c>
      <c r="Y945" s="33">
        <f t="shared" si="310"/>
        <v>0.88280417354130347</v>
      </c>
      <c r="Z945" s="33">
        <f t="shared" si="310"/>
        <v>0.82147759469194681</v>
      </c>
      <c r="AA945" s="33">
        <f t="shared" si="310"/>
        <v>0.7644118117407257</v>
      </c>
    </row>
    <row r="946" spans="3:27" ht="13.5" hidden="1" outlineLevel="1" thickBot="1" x14ac:dyDescent="0.35">
      <c r="C946" s="21" t="s">
        <v>74</v>
      </c>
      <c r="D946" s="19">
        <f>分布式光伏电站IRR汇总!$B$18</f>
        <v>0.4</v>
      </c>
      <c r="F946" s="3" t="s">
        <v>61</v>
      </c>
      <c r="G946" s="35">
        <f>SUM(G945:AA945)/G933</f>
        <v>0.33993552290358969</v>
      </c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3:27" ht="13.5" hidden="1" outlineLevel="1" thickTop="1" x14ac:dyDescent="0.3">
      <c r="C947" s="18" t="s">
        <v>58</v>
      </c>
      <c r="D947" s="19">
        <f>分布式光伏电站IRR汇总!$B$19</f>
        <v>0.86599999999999999</v>
      </c>
    </row>
    <row r="948" spans="3:27" hidden="1" outlineLevel="1" x14ac:dyDescent="0.3">
      <c r="C948" s="18" t="s">
        <v>62</v>
      </c>
      <c r="D948" s="19">
        <f>分布式光伏电站IRR汇总!$B$20</f>
        <v>20</v>
      </c>
      <c r="F948" s="13" t="s">
        <v>25</v>
      </c>
      <c r="G948" s="14">
        <v>0</v>
      </c>
    </row>
    <row r="949" spans="3:27" hidden="1" outlineLevel="1" x14ac:dyDescent="0.3">
      <c r="C949" s="18" t="s">
        <v>59</v>
      </c>
      <c r="D949" s="52">
        <f>分布式光伏电站IRR汇总!$B$21</f>
        <v>0.02</v>
      </c>
      <c r="F949" s="13" t="s">
        <v>26</v>
      </c>
      <c r="G949" s="14">
        <v>0.25</v>
      </c>
      <c r="Q949" s="15"/>
    </row>
    <row r="950" spans="3:27" hidden="1" outlineLevel="1" x14ac:dyDescent="0.3">
      <c r="C950" s="18" t="s">
        <v>60</v>
      </c>
      <c r="D950" s="52">
        <f>分布式光伏电站IRR汇总!$B$22</f>
        <v>4.4999999999999997E-3</v>
      </c>
      <c r="F950" s="1" t="s">
        <v>44</v>
      </c>
      <c r="G950" s="4"/>
      <c r="H950" s="5">
        <v>1</v>
      </c>
      <c r="I950" s="5">
        <v>2</v>
      </c>
      <c r="J950" s="5">
        <v>3</v>
      </c>
      <c r="K950" s="5">
        <v>4</v>
      </c>
      <c r="L950" s="5">
        <v>5</v>
      </c>
      <c r="M950" s="5">
        <v>6</v>
      </c>
      <c r="N950" s="5">
        <v>7</v>
      </c>
      <c r="O950" s="5">
        <v>8</v>
      </c>
      <c r="P950" s="5">
        <v>9</v>
      </c>
      <c r="Q950" s="5">
        <v>10</v>
      </c>
      <c r="R950" s="5">
        <v>11</v>
      </c>
      <c r="S950" s="5">
        <v>12</v>
      </c>
      <c r="T950" s="5">
        <v>13</v>
      </c>
      <c r="U950" s="5">
        <v>14</v>
      </c>
      <c r="V950" s="5">
        <v>15</v>
      </c>
      <c r="W950" s="5">
        <v>16</v>
      </c>
      <c r="X950" s="5">
        <v>17</v>
      </c>
      <c r="Y950" s="5">
        <v>18</v>
      </c>
      <c r="Z950" s="5">
        <v>19</v>
      </c>
      <c r="AA950" s="5">
        <v>20</v>
      </c>
    </row>
    <row r="951" spans="3:27" hidden="1" outlineLevel="1" x14ac:dyDescent="0.3">
      <c r="C951" s="18" t="s">
        <v>28</v>
      </c>
      <c r="D951" s="29">
        <f>分布式光伏电站IRR汇总!$B$23</f>
        <v>0.04</v>
      </c>
      <c r="F951" s="16"/>
      <c r="G951" s="2" t="s">
        <v>0</v>
      </c>
      <c r="H951" s="2" t="s">
        <v>1</v>
      </c>
      <c r="I951" s="2" t="s">
        <v>2</v>
      </c>
      <c r="J951" s="2" t="s">
        <v>3</v>
      </c>
      <c r="K951" s="2" t="s">
        <v>4</v>
      </c>
      <c r="L951" s="2" t="s">
        <v>5</v>
      </c>
      <c r="M951" s="2" t="s">
        <v>6</v>
      </c>
      <c r="N951" s="2" t="s">
        <v>7</v>
      </c>
      <c r="O951" s="2" t="s">
        <v>8</v>
      </c>
      <c r="P951" s="2" t="s">
        <v>9</v>
      </c>
      <c r="Q951" s="2" t="s">
        <v>10</v>
      </c>
      <c r="R951" s="2" t="s">
        <v>11</v>
      </c>
      <c r="S951" s="2" t="s">
        <v>12</v>
      </c>
      <c r="T951" s="2" t="s">
        <v>13</v>
      </c>
      <c r="U951" s="2" t="s">
        <v>45</v>
      </c>
      <c r="V951" s="2" t="s">
        <v>46</v>
      </c>
      <c r="W951" s="2" t="s">
        <v>47</v>
      </c>
      <c r="X951" s="2" t="s">
        <v>48</v>
      </c>
      <c r="Y951" s="2" t="s">
        <v>49</v>
      </c>
      <c r="Z951" s="2" t="s">
        <v>50</v>
      </c>
      <c r="AA951" s="2" t="s">
        <v>51</v>
      </c>
    </row>
    <row r="952" spans="3:27" hidden="1" outlineLevel="1" x14ac:dyDescent="0.3">
      <c r="C952" s="18" t="s">
        <v>43</v>
      </c>
      <c r="D952" s="19">
        <f>分布式光伏电站IRR汇总!$B$24</f>
        <v>0.05</v>
      </c>
      <c r="F952" s="6" t="s">
        <v>14</v>
      </c>
      <c r="G952" s="33">
        <f>D954</f>
        <v>24.611999999999995</v>
      </c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 spans="3:27" hidden="1" outlineLevel="1" x14ac:dyDescent="0.3">
      <c r="C953" s="18" t="s">
        <v>126</v>
      </c>
      <c r="D953" s="28">
        <f>Backup分地区光伏小时数及电价!E21</f>
        <v>1336</v>
      </c>
      <c r="F953" s="6" t="s">
        <v>15</v>
      </c>
      <c r="G953" s="33">
        <f>SUM(H954:AA954)</f>
        <v>23.381399999999985</v>
      </c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 spans="3:27" hidden="1" outlineLevel="1" x14ac:dyDescent="0.3">
      <c r="C954" s="24" t="s">
        <v>14</v>
      </c>
      <c r="D954" s="30">
        <f>D930*D935</f>
        <v>24.611999999999995</v>
      </c>
      <c r="F954" s="7" t="s">
        <v>16</v>
      </c>
      <c r="G954" s="33"/>
      <c r="H954" s="33">
        <f>D954*(1-D952)/D948/((1+G948)^H950)</f>
        <v>1.1690699999999996</v>
      </c>
      <c r="I954" s="33">
        <f>D954*(1-D952)/D948/((1+G948)^I950)</f>
        <v>1.1690699999999996</v>
      </c>
      <c r="J954" s="33">
        <f>D954*(1-D952)/D948/((1+G948)^J950)</f>
        <v>1.1690699999999996</v>
      </c>
      <c r="K954" s="33">
        <f>D954*(1-D952)/D948/((1+G948)^K950)</f>
        <v>1.1690699999999996</v>
      </c>
      <c r="L954" s="33">
        <f>D954*(1-D952)/D948/((1+G948)^L950)</f>
        <v>1.1690699999999996</v>
      </c>
      <c r="M954" s="33">
        <f>D954*(1-D952)/D948/((1+G948)^M950)</f>
        <v>1.1690699999999996</v>
      </c>
      <c r="N954" s="33">
        <f>D954*(1-D952)/D948/((1+G948)^N950)</f>
        <v>1.1690699999999996</v>
      </c>
      <c r="O954" s="33">
        <f>D954*(1-D952)/D948/((1+G948)^O950)</f>
        <v>1.1690699999999996</v>
      </c>
      <c r="P954" s="33">
        <f>D954*(1-D952)/D948/((1+G948)^P950)</f>
        <v>1.1690699999999996</v>
      </c>
      <c r="Q954" s="33">
        <f>D954*(1-D952)/D948/((1+G948)^Q950)</f>
        <v>1.1690699999999996</v>
      </c>
      <c r="R954" s="33">
        <f>D954*(1-D952)/D948/((1+G948)^R950)</f>
        <v>1.1690699999999996</v>
      </c>
      <c r="S954" s="33">
        <f>D954*(1-D952)/D948/((1+G948)^S950)</f>
        <v>1.1690699999999996</v>
      </c>
      <c r="T954" s="33">
        <f>D954*(1-D952)/D948/((1+G948)^T950)</f>
        <v>1.1690699999999996</v>
      </c>
      <c r="U954" s="33">
        <f>D954*(1-D952)/D948/((1+G948)^U950)</f>
        <v>1.1690699999999996</v>
      </c>
      <c r="V954" s="33">
        <f>D954*(1-D952)/D948/((1+G948)^V950)</f>
        <v>1.1690699999999996</v>
      </c>
      <c r="W954" s="33">
        <f>D954*(1-D952)/D948/((1+G948)^W950)</f>
        <v>1.1690699999999996</v>
      </c>
      <c r="X954" s="33">
        <f>D954*(1-D952)/D948/((1+G948)^X950)</f>
        <v>1.1690699999999996</v>
      </c>
      <c r="Y954" s="33">
        <f>D954*(1-D952)/D948/((1+G948)^Y950)</f>
        <v>1.1690699999999996</v>
      </c>
      <c r="Z954" s="33">
        <f>D954*(1-D952)/D948/((1+G948)^Z950)</f>
        <v>1.1690699999999996</v>
      </c>
      <c r="AA954" s="33">
        <f>D954*(1-D952)/D948/((1+G948)^AA950)</f>
        <v>1.1690699999999996</v>
      </c>
    </row>
    <row r="955" spans="3:27" hidden="1" outlineLevel="1" x14ac:dyDescent="0.3">
      <c r="C955" s="18" t="s">
        <v>29</v>
      </c>
      <c r="D955" s="29">
        <v>0.35980000000000001</v>
      </c>
      <c r="F955" s="6" t="s">
        <v>17</v>
      </c>
      <c r="G955" s="33">
        <f>SUM(H956:AA956)</f>
        <v>4.8000000000000025</v>
      </c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 spans="3:27" hidden="1" outlineLevel="1" x14ac:dyDescent="0.3">
      <c r="C956" s="18" t="s">
        <v>30</v>
      </c>
      <c r="D956" s="31">
        <f>Backup分地区光伏小时数及电价!I21</f>
        <v>0.60764799999999997</v>
      </c>
      <c r="F956" s="7" t="s">
        <v>18</v>
      </c>
      <c r="G956" s="33"/>
      <c r="H956" s="33">
        <f>D951*D930/((1+G948)^H950)</f>
        <v>0.24</v>
      </c>
      <c r="I956" s="33">
        <f>D951*D930/((1+G948)^I950)</f>
        <v>0.24</v>
      </c>
      <c r="J956" s="33">
        <f>D951*D930/((1+G948)^J950)</f>
        <v>0.24</v>
      </c>
      <c r="K956" s="33">
        <f>D951*D930/((1+G948)^K950)</f>
        <v>0.24</v>
      </c>
      <c r="L956" s="33">
        <f>D951*D930/((1+G948)^L950)</f>
        <v>0.24</v>
      </c>
      <c r="M956" s="33">
        <f>D951*D930/((1+G948)^M950)</f>
        <v>0.24</v>
      </c>
      <c r="N956" s="33">
        <f>D951*D930/((1+G948)^N950)</f>
        <v>0.24</v>
      </c>
      <c r="O956" s="33">
        <f>D951*D930/((1+G948)^O950)</f>
        <v>0.24</v>
      </c>
      <c r="P956" s="33">
        <f>D951*D930/((1+G948)^P950)</f>
        <v>0.24</v>
      </c>
      <c r="Q956" s="33">
        <f>D951*D930/((1+G948)^Q950)</f>
        <v>0.24</v>
      </c>
      <c r="R956" s="33">
        <f>D951*D930/((1+G948)^R950)</f>
        <v>0.24</v>
      </c>
      <c r="S956" s="33">
        <f>D951*D930/((1+G948)^S950)</f>
        <v>0.24</v>
      </c>
      <c r="T956" s="33">
        <f>D951*D930/((1+G948)^T950)</f>
        <v>0.24</v>
      </c>
      <c r="U956" s="33">
        <f>D951*D930/((1+G948)^U950)</f>
        <v>0.24</v>
      </c>
      <c r="V956" s="33">
        <f>D951*D930/((1+G948)^V950)</f>
        <v>0.24</v>
      </c>
      <c r="W956" s="33">
        <f>D951*D930/((1+G948)^W950)</f>
        <v>0.24</v>
      </c>
      <c r="X956" s="33">
        <f>D951*D930/((1+G948)^X950)</f>
        <v>0.24</v>
      </c>
      <c r="Y956" s="33">
        <f>D951*D930/((1+G948)^Y950)</f>
        <v>0.24</v>
      </c>
      <c r="Z956" s="33">
        <f>D951*D930/((1+G948)^Z950)</f>
        <v>0.24</v>
      </c>
      <c r="AA956" s="33">
        <f>D951*D930/((1+G948)^AA950)</f>
        <v>0.24</v>
      </c>
    </row>
    <row r="957" spans="3:27" hidden="1" outlineLevel="1" x14ac:dyDescent="0.3">
      <c r="C957" s="18" t="s">
        <v>70</v>
      </c>
      <c r="D957" s="32">
        <f>分布式光伏电站IRR汇总!$B$27</f>
        <v>1</v>
      </c>
      <c r="F957" s="6" t="s">
        <v>19</v>
      </c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>
        <f>D951*D954/((1+G948)^AA950)</f>
        <v>0.9844799999999998</v>
      </c>
    </row>
    <row r="958" spans="3:27" hidden="1" outlineLevel="1" x14ac:dyDescent="0.3">
      <c r="C958" s="18" t="s">
        <v>69</v>
      </c>
      <c r="D958" s="31">
        <f>D957*D956</f>
        <v>0.60764799999999997</v>
      </c>
      <c r="F958" s="8" t="s">
        <v>64</v>
      </c>
      <c r="G958" s="33">
        <f>SUM(H959:AA959)</f>
        <v>130397.88338006583</v>
      </c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 spans="3:27" hidden="1" outlineLevel="1" x14ac:dyDescent="0.3">
      <c r="C959" s="18" t="s">
        <v>31</v>
      </c>
      <c r="D959" s="27">
        <v>0</v>
      </c>
      <c r="F959" s="9" t="s">
        <v>65</v>
      </c>
      <c r="G959" s="33"/>
      <c r="H959" s="33">
        <f>D930*D947*(1-D949)*D953/((1+G948)^H950)</f>
        <v>6803.0188799999987</v>
      </c>
      <c r="I959" s="33">
        <f>D930*D947*(1-D949)*(1-D950)^(I950-1)*D953/((1+G948)^I950)</f>
        <v>6772.4052950399991</v>
      </c>
      <c r="J959" s="33">
        <f>D930*D947*(1-D949)*(1-D950)^(J950-1)*D953/((1+G948)^J950)</f>
        <v>6741.9294712123201</v>
      </c>
      <c r="K959" s="33">
        <f>D930*D947*(1-D949)*(1-D950)^(K950-1)*D953/((1+G948)^K950)</f>
        <v>6711.590788591865</v>
      </c>
      <c r="L959" s="33">
        <f>D930*D947*(1-D949)*(1-D950)^(L950-1)*D953/((1+G948)^L950)</f>
        <v>6681.3886300432023</v>
      </c>
      <c r="M959" s="33">
        <f>D930*D947*(1-D949)*(1-D950)^(M950-1)*D953/((1+G948)^M950)</f>
        <v>6651.3223812080087</v>
      </c>
      <c r="N959" s="33">
        <f>D930*D947*(1-D949)*(1-D950)^(N950-1)*D953/((1+G948)^N950)</f>
        <v>6621.3914304925729</v>
      </c>
      <c r="O959" s="33">
        <f>D930*D947*(1-D949)*(1-D950)^(O950-1)*D953/((1+G948)^O950)</f>
        <v>6591.5951690553557</v>
      </c>
      <c r="P959" s="33">
        <f>D930*D947*(1-D949)*(1-D950)^(P950-1)*D953/((1+G948)^P950)</f>
        <v>6561.9329907946076</v>
      </c>
      <c r="Q959" s="33">
        <f>D930*D947*(1-D949)*(1-D950)^(Q950-1)*D953/((1+G948)^Q950)</f>
        <v>6532.4042923360321</v>
      </c>
      <c r="R959" s="33">
        <f>D930*D947*(1-D949)*(1-D950)^(R950-1)*D953/((1+G948)^R950)</f>
        <v>6503.0084730205208</v>
      </c>
      <c r="S959" s="33">
        <f>D930*D947*(1-D949)*(1-D950)^(S950-1)*D953/((1+G948)^S950)</f>
        <v>6473.7449348919281</v>
      </c>
      <c r="T959" s="33">
        <f>D930*D947*(1-D949)*(1-D950)^(T950-1)*D953/((1+G948)^T950)</f>
        <v>6444.6130826849158</v>
      </c>
      <c r="U959" s="33">
        <f>D930*D947*(1-D949)*(1-D950)^(U950-1)*D953/((1+G948)^U950)</f>
        <v>6415.612323812833</v>
      </c>
      <c r="V959" s="33">
        <f>D930*D947*(1-D949)*(1-D950)^(V950-1)*D953/((1+G948)^V950)</f>
        <v>6386.7420683556757</v>
      </c>
      <c r="W959" s="33">
        <f>D930*D947*(1-D949)*(1-D950)^(W950-1)*D953/((1+G948)^W950)</f>
        <v>6358.0017290480764</v>
      </c>
      <c r="X959" s="33">
        <f>D930*D947*(1-D949)*(1-D950)^(X950-1)*D953/((1+G948)^X950)</f>
        <v>6329.3907212673603</v>
      </c>
      <c r="Y959" s="33">
        <f>D930*D947*(1-D949)*(1-D950)^(Y950-1)*D953/((1+G948)^Y950)</f>
        <v>6300.9084630216566</v>
      </c>
      <c r="Z959" s="33">
        <f>D930*D947*(1-D949)*(1-D950)^(Z950-1)*D953/((1+G948)^Z950)</f>
        <v>6272.5543749380604</v>
      </c>
      <c r="AA959" s="33">
        <f>D930*D947*(1-D949)*(1-D950)^(AA950-1)*D953/((1+G948)^AA950)</f>
        <v>6244.3278802508403</v>
      </c>
    </row>
    <row r="960" spans="3:27" hidden="1" outlineLevel="1" x14ac:dyDescent="0.3">
      <c r="F960" s="4" t="s">
        <v>66</v>
      </c>
      <c r="G960" s="33">
        <f>SUM(H961:AA961)</f>
        <v>79.236013040130231</v>
      </c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 spans="2:27" hidden="1" outlineLevel="1" x14ac:dyDescent="0.3">
      <c r="F961" s="7" t="s">
        <v>67</v>
      </c>
      <c r="G961" s="33"/>
      <c r="H961" s="33">
        <f>H959*D958/1000</f>
        <v>4.1338408163942386</v>
      </c>
      <c r="I961" s="33">
        <f>I959*D958/1000</f>
        <v>4.1152385327204648</v>
      </c>
      <c r="J961" s="33">
        <f>J959*D958/1000</f>
        <v>4.0967199593232237</v>
      </c>
      <c r="K961" s="33">
        <f>K959*D958/1000</f>
        <v>4.0782847195062697</v>
      </c>
      <c r="L961" s="33">
        <f>L959*D958/1000</f>
        <v>4.0599324382684916</v>
      </c>
      <c r="M961" s="33">
        <f>M959*D958/1000</f>
        <v>4.0416627422962836</v>
      </c>
      <c r="N961" s="33">
        <f>N959*D958/1000</f>
        <v>4.0234752599559505</v>
      </c>
      <c r="O961" s="33">
        <f>O959*D958/1000</f>
        <v>4.0053696212861487</v>
      </c>
      <c r="P961" s="33">
        <f>P959*D958/1000</f>
        <v>3.9873454579903616</v>
      </c>
      <c r="Q961" s="33">
        <f>Q959*D958/1000</f>
        <v>3.9694024034294046</v>
      </c>
      <c r="R961" s="33">
        <f>R959*D958/1000</f>
        <v>3.9515400926139734</v>
      </c>
      <c r="S961" s="33">
        <f>S959*D958/1000</f>
        <v>3.93375816219721</v>
      </c>
      <c r="T961" s="33">
        <f>T959*D958/1000</f>
        <v>3.9160562504673235</v>
      </c>
      <c r="U961" s="33">
        <f>U959*D958/1000</f>
        <v>3.8984339973402204</v>
      </c>
      <c r="V961" s="33">
        <f>V959*D958/1000</f>
        <v>3.8808910443521896</v>
      </c>
      <c r="W961" s="33">
        <f>W959*D958/1000</f>
        <v>3.8634270346526054</v>
      </c>
      <c r="X961" s="33">
        <f>X959*D958/1000</f>
        <v>3.846041612996669</v>
      </c>
      <c r="Y961" s="33">
        <f>Y959*D958/1000</f>
        <v>3.8287344257381832</v>
      </c>
      <c r="Z961" s="33">
        <f>Z959*D958/1000</f>
        <v>3.8115051208223623</v>
      </c>
      <c r="AA961" s="33">
        <f>AA959*D958/1000</f>
        <v>3.7943533477786624</v>
      </c>
    </row>
    <row r="962" spans="2:27" hidden="1" outlineLevel="1" x14ac:dyDescent="0.3">
      <c r="F962" s="4" t="s">
        <v>20</v>
      </c>
      <c r="G962" s="33">
        <f>SUM(H963:AA963)</f>
        <v>12.763653260032562</v>
      </c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 spans="2:27" hidden="1" outlineLevel="1" x14ac:dyDescent="0.3">
      <c r="F963" s="7" t="s">
        <v>21</v>
      </c>
      <c r="G963" s="33"/>
      <c r="H963" s="33">
        <f>(H961-H954-H956)*G949</f>
        <v>0.6811927040985597</v>
      </c>
      <c r="I963" s="33">
        <f>(I961-I954-I956)*G949</f>
        <v>0.67654213318011625</v>
      </c>
      <c r="J963" s="33">
        <f>(J961-J954-J956)*G949</f>
        <v>0.67191248983080598</v>
      </c>
      <c r="K963" s="33">
        <f>(K961-K954-K956)*G949</f>
        <v>0.66730367987656747</v>
      </c>
      <c r="L963" s="33">
        <f>(L961-L954-L956)*G949</f>
        <v>0.66271560956712294</v>
      </c>
      <c r="M963" s="33">
        <f>(M961-M954-M956)*G949</f>
        <v>0.65814818557407095</v>
      </c>
      <c r="N963" s="33">
        <f>(N961-N954-N956)*G949</f>
        <v>0.65360131498898766</v>
      </c>
      <c r="O963" s="33">
        <f>(O961-O954-O956)*G949</f>
        <v>0.64907490532153722</v>
      </c>
      <c r="P963" s="33">
        <f>(P961-P954-P956)*G949</f>
        <v>0.64456886449759043</v>
      </c>
      <c r="Q963" s="33">
        <f>(Q961-Q954-Q956)*G949</f>
        <v>0.64008310085735132</v>
      </c>
      <c r="R963" s="33">
        <f>(R961-R954-R956)*G949</f>
        <v>0.63561752315349351</v>
      </c>
      <c r="S963" s="33">
        <f>(S961-S954-S956)*G949</f>
        <v>0.63117204054930265</v>
      </c>
      <c r="T963" s="33">
        <f>(T961-T954-T956)*G949</f>
        <v>0.62674656261683093</v>
      </c>
      <c r="U963" s="33">
        <f>(U961-U954-U956)*G949</f>
        <v>0.62234099933505527</v>
      </c>
      <c r="V963" s="33">
        <f>(V961-V954-V956)*G949</f>
        <v>0.61795526108804744</v>
      </c>
      <c r="W963" s="33">
        <f>(W961-W954-W956)*G949</f>
        <v>0.6135892586631515</v>
      </c>
      <c r="X963" s="33">
        <f>(X961-X954-X956)*G949</f>
        <v>0.6092429032491673</v>
      </c>
      <c r="Y963" s="33">
        <f>(Y961-Y954-Y956)*G949</f>
        <v>0.60491610643454585</v>
      </c>
      <c r="Z963" s="33">
        <f>(Z961-Z954-Z956)*G949</f>
        <v>0.60060878020559061</v>
      </c>
      <c r="AA963" s="33">
        <f>(AA961-AA954-AA956)*G949</f>
        <v>0.59632083694466576</v>
      </c>
    </row>
    <row r="964" spans="2:27" hidden="1" outlineLevel="1" x14ac:dyDescent="0.3">
      <c r="F964" s="10" t="s">
        <v>22</v>
      </c>
      <c r="G964" s="33">
        <f>-G952</f>
        <v>-24.611999999999995</v>
      </c>
      <c r="H964" s="33">
        <f>H961-H963-H956</f>
        <v>3.2126481122956791</v>
      </c>
      <c r="I964" s="33">
        <f t="shared" ref="I964" si="311">I961-I963-I956</f>
        <v>3.1986963995403483</v>
      </c>
      <c r="J964" s="33">
        <f t="shared" ref="J964" si="312">J961-J963-J956</f>
        <v>3.1848074694924176</v>
      </c>
      <c r="K964" s="33">
        <f t="shared" ref="K964" si="313">K961-K963-K956</f>
        <v>3.1709810396297025</v>
      </c>
      <c r="L964" s="33">
        <f t="shared" ref="L964" si="314">L961-L963-L956</f>
        <v>3.1572168287013689</v>
      </c>
      <c r="M964" s="33">
        <f t="shared" ref="M964" si="315">M961-M963-M956</f>
        <v>3.1435145567222129</v>
      </c>
      <c r="N964" s="33">
        <f t="shared" ref="N964" si="316">N961-N963-N956</f>
        <v>3.1298739449669624</v>
      </c>
      <c r="O964" s="33">
        <f t="shared" ref="O964" si="317">O961-O963-O956</f>
        <v>3.1162947159646111</v>
      </c>
      <c r="P964" s="33">
        <f t="shared" ref="P964" si="318">P961-P963-P956</f>
        <v>3.1027765934927709</v>
      </c>
      <c r="Q964" s="33">
        <f t="shared" ref="Q964" si="319">Q961-Q963-Q956</f>
        <v>3.0893193025720533</v>
      </c>
      <c r="R964" s="33">
        <f t="shared" ref="R964" si="320">R961-R963-R956</f>
        <v>3.0759225694604799</v>
      </c>
      <c r="S964" s="33">
        <f t="shared" ref="S964" si="321">S961-S963-S956</f>
        <v>3.0625861216479073</v>
      </c>
      <c r="T964" s="33">
        <f t="shared" ref="T964" si="322">T961-T963-T956</f>
        <v>3.0493096878504922</v>
      </c>
      <c r="U964" s="33">
        <f t="shared" ref="U964" si="323">U961-U963-U956</f>
        <v>3.0360929980051647</v>
      </c>
      <c r="V964" s="33">
        <f t="shared" ref="V964" si="324">V961-V963-V956</f>
        <v>3.0229357832641419</v>
      </c>
      <c r="W964" s="33">
        <f t="shared" ref="W964" si="325">W961-W963-W956</f>
        <v>3.0098377759894541</v>
      </c>
      <c r="X964" s="33">
        <f t="shared" ref="X964" si="326">X961-X963-X956</f>
        <v>2.9967987097475017</v>
      </c>
      <c r="Y964" s="33">
        <f t="shared" ref="Y964" si="327">Y961-Y963-Y956</f>
        <v>2.9838183193036372</v>
      </c>
      <c r="Z964" s="33">
        <f t="shared" ref="Z964" si="328">Z961-Z963-Z956</f>
        <v>2.9708963406167719</v>
      </c>
      <c r="AA964" s="33">
        <f t="shared" ref="AA964" si="329">AA961-AA963-AA956</f>
        <v>2.9580325108339967</v>
      </c>
    </row>
    <row r="965" spans="2:27" ht="13.5" hidden="1" outlineLevel="1" thickBot="1" x14ac:dyDescent="0.35">
      <c r="F965" s="3" t="s">
        <v>68</v>
      </c>
      <c r="G965" s="40">
        <f>IRR(G964:AA964)</f>
        <v>0.11183223719049074</v>
      </c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2:27" ht="13.5" collapsed="1" thickTop="1" x14ac:dyDescent="0.3"/>
    <row r="967" spans="2:27" x14ac:dyDescent="0.3">
      <c r="B967" s="11" t="s">
        <v>163</v>
      </c>
      <c r="C967" s="11" t="s">
        <v>52</v>
      </c>
    </row>
    <row r="968" spans="2:27" x14ac:dyDescent="0.3">
      <c r="C968" s="11" t="s">
        <v>141</v>
      </c>
      <c r="D968" s="54">
        <f>D999</f>
        <v>1332</v>
      </c>
    </row>
    <row r="969" spans="2:27" x14ac:dyDescent="0.3">
      <c r="C969" s="16" t="s">
        <v>78</v>
      </c>
      <c r="D969" s="37">
        <f>(G998+G1001+G1008)/G1004*1000</f>
        <v>0.3051725173550085</v>
      </c>
    </row>
    <row r="970" spans="2:27" x14ac:dyDescent="0.3">
      <c r="C970" s="13" t="s">
        <v>77</v>
      </c>
      <c r="D970" s="39">
        <f>(G979+G982+G989)/G985*1000</f>
        <v>0.45957640089326351</v>
      </c>
    </row>
    <row r="971" spans="2:27" x14ac:dyDescent="0.3">
      <c r="C971" s="13" t="s">
        <v>61</v>
      </c>
      <c r="D971" s="36">
        <f>G992</f>
        <v>0.17686575406781269</v>
      </c>
    </row>
    <row r="972" spans="2:27" x14ac:dyDescent="0.3">
      <c r="C972" s="13" t="s">
        <v>73</v>
      </c>
      <c r="D972" s="25">
        <f>SUM(G991:AA991)</f>
        <v>4.3530199391170052</v>
      </c>
    </row>
    <row r="973" spans="2:27" ht="13.5" thickBot="1" x14ac:dyDescent="0.35">
      <c r="C973" s="23" t="s">
        <v>68</v>
      </c>
      <c r="D973" s="26">
        <f>G1011</f>
        <v>9.2340545037206789E-2</v>
      </c>
    </row>
    <row r="974" spans="2:27" ht="13.5" hidden="1" outlineLevel="1" thickTop="1" x14ac:dyDescent="0.3">
      <c r="E974" s="20"/>
      <c r="F974" s="38" t="s">
        <v>75</v>
      </c>
    </row>
    <row r="975" spans="2:27" hidden="1" outlineLevel="1" x14ac:dyDescent="0.3">
      <c r="C975" s="11" t="s">
        <v>71</v>
      </c>
      <c r="F975" s="13" t="s">
        <v>25</v>
      </c>
      <c r="G975" s="14">
        <v>7.0000000000000007E-2</v>
      </c>
    </row>
    <row r="976" spans="2:27" hidden="1" outlineLevel="1" x14ac:dyDescent="0.3">
      <c r="C976" s="18" t="s">
        <v>53</v>
      </c>
      <c r="D976" s="19">
        <f>分布式光伏电站IRR汇总!$B$2</f>
        <v>6</v>
      </c>
      <c r="F976" s="13" t="s">
        <v>26</v>
      </c>
      <c r="G976" s="14">
        <v>0.25</v>
      </c>
    </row>
    <row r="977" spans="3:27" hidden="1" outlineLevel="1" x14ac:dyDescent="0.3">
      <c r="C977" s="18" t="s">
        <v>56</v>
      </c>
      <c r="D977" s="19">
        <f>分布式光伏电站IRR汇总!$B$3</f>
        <v>120</v>
      </c>
      <c r="F977" s="1" t="s">
        <v>44</v>
      </c>
      <c r="G977" s="4"/>
      <c r="H977" s="5">
        <v>1</v>
      </c>
      <c r="I977" s="5">
        <v>2</v>
      </c>
      <c r="J977" s="5">
        <v>3</v>
      </c>
      <c r="K977" s="5">
        <v>4</v>
      </c>
      <c r="L977" s="5">
        <v>5</v>
      </c>
      <c r="M977" s="5">
        <v>6</v>
      </c>
      <c r="N977" s="5">
        <v>7</v>
      </c>
      <c r="O977" s="5">
        <v>8</v>
      </c>
      <c r="P977" s="5">
        <v>9</v>
      </c>
      <c r="Q977" s="5">
        <v>10</v>
      </c>
      <c r="R977" s="5">
        <v>11</v>
      </c>
      <c r="S977" s="5">
        <v>12</v>
      </c>
      <c r="T977" s="5">
        <v>13</v>
      </c>
      <c r="U977" s="5">
        <v>14</v>
      </c>
      <c r="V977" s="5">
        <v>15</v>
      </c>
      <c r="W977" s="5">
        <v>16</v>
      </c>
      <c r="X977" s="5">
        <v>17</v>
      </c>
      <c r="Y977" s="5">
        <v>18</v>
      </c>
      <c r="Z977" s="5">
        <v>19</v>
      </c>
      <c r="AA977" s="5">
        <v>20</v>
      </c>
    </row>
    <row r="978" spans="3:27" hidden="1" outlineLevel="1" x14ac:dyDescent="0.3">
      <c r="C978" s="18" t="s">
        <v>57</v>
      </c>
      <c r="D978" s="19">
        <f>分布式光伏电站IRR汇总!$B$4</f>
        <v>3</v>
      </c>
      <c r="F978" s="16"/>
      <c r="G978" s="2" t="s">
        <v>0</v>
      </c>
      <c r="H978" s="2" t="s">
        <v>1</v>
      </c>
      <c r="I978" s="2" t="s">
        <v>2</v>
      </c>
      <c r="J978" s="2" t="s">
        <v>3</v>
      </c>
      <c r="K978" s="2" t="s">
        <v>4</v>
      </c>
      <c r="L978" s="2" t="s">
        <v>5</v>
      </c>
      <c r="M978" s="2" t="s">
        <v>6</v>
      </c>
      <c r="N978" s="2" t="s">
        <v>7</v>
      </c>
      <c r="O978" s="2" t="s">
        <v>8</v>
      </c>
      <c r="P978" s="2" t="s">
        <v>9</v>
      </c>
      <c r="Q978" s="2" t="s">
        <v>10</v>
      </c>
      <c r="R978" s="2" t="s">
        <v>11</v>
      </c>
      <c r="S978" s="2" t="s">
        <v>12</v>
      </c>
      <c r="T978" s="2" t="s">
        <v>13</v>
      </c>
      <c r="U978" s="2" t="s">
        <v>45</v>
      </c>
      <c r="V978" s="2" t="s">
        <v>46</v>
      </c>
      <c r="W978" s="2" t="s">
        <v>47</v>
      </c>
      <c r="X978" s="2" t="s">
        <v>48</v>
      </c>
      <c r="Y978" s="2" t="s">
        <v>49</v>
      </c>
      <c r="Z978" s="2" t="s">
        <v>50</v>
      </c>
      <c r="AA978" s="2" t="s">
        <v>127</v>
      </c>
    </row>
    <row r="979" spans="3:27" hidden="1" outlineLevel="1" x14ac:dyDescent="0.3">
      <c r="C979" s="18" t="s">
        <v>54</v>
      </c>
      <c r="D979" s="19">
        <f>分布式光伏电站IRR汇总!$B$5</f>
        <v>5</v>
      </c>
      <c r="F979" s="6" t="s">
        <v>14</v>
      </c>
      <c r="G979" s="33">
        <f>D1000</f>
        <v>24.611999999999995</v>
      </c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 spans="3:27" hidden="1" outlineLevel="1" x14ac:dyDescent="0.3">
      <c r="C980" s="18" t="s">
        <v>55</v>
      </c>
      <c r="D980" s="19">
        <f>分布式光伏电站IRR汇总!$B$6</f>
        <v>15</v>
      </c>
      <c r="F980" s="6" t="s">
        <v>15</v>
      </c>
      <c r="G980" s="33">
        <f>SUM(H981:AA981)</f>
        <v>12.385144234005573</v>
      </c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 spans="3:27" hidden="1" outlineLevel="1" x14ac:dyDescent="0.3">
      <c r="C981" s="18" t="s">
        <v>42</v>
      </c>
      <c r="D981" s="19">
        <f>分布式光伏电站IRR汇总!$B$7</f>
        <v>4.1019999999999994</v>
      </c>
      <c r="F981" s="7" t="s">
        <v>16</v>
      </c>
      <c r="G981" s="33"/>
      <c r="H981" s="33">
        <f>D1000*(1-D998)/D994/((1+G975)^H977)</f>
        <v>1.0925887850467286</v>
      </c>
      <c r="I981" s="33">
        <f>D1000*(1-D998)/D994/((1+G975)^I977)</f>
        <v>1.0211110140623632</v>
      </c>
      <c r="J981" s="33">
        <f>D1000*(1-D998)/D994/((1+G975)^J977)</f>
        <v>0.95430935893678792</v>
      </c>
      <c r="K981" s="33">
        <f>D1000*(1-D998)/D994/((1+G975)^K977)</f>
        <v>0.89187790554839996</v>
      </c>
      <c r="L981" s="33">
        <f>D1000*(1-D998)/D994/((1+G975)^L977)</f>
        <v>0.83353075284897193</v>
      </c>
      <c r="M981" s="33">
        <f>D1000*(1-D998)/D994/((1+G975)^M977)</f>
        <v>0.77900070359717</v>
      </c>
      <c r="N981" s="33">
        <f>D1000*(1-D998)/D994/((1+G975)^N977)</f>
        <v>0.72803804074501866</v>
      </c>
      <c r="O981" s="33">
        <f>D1000*(1-D998)/D994/((1+G975)^O977)</f>
        <v>0.6804093838738493</v>
      </c>
      <c r="P981" s="33">
        <f>D1000*(1-D998)/D994/((1+G975)^P977)</f>
        <v>0.63589662044284967</v>
      </c>
      <c r="Q981" s="33">
        <f>D1000*(1-D998)/D994/((1+G975)^Q977)</f>
        <v>0.59429590695593437</v>
      </c>
      <c r="R981" s="33">
        <f>D1000*(1-D998)/D994/((1+G975)^R977)</f>
        <v>0.55541673547283577</v>
      </c>
      <c r="S981" s="33">
        <f>D1000*(1-D998)/D994/((1+G975)^S977)</f>
        <v>0.51908106118956621</v>
      </c>
      <c r="T981" s="33">
        <f>D1000*(1-D998)/D994/((1+G975)^T977)</f>
        <v>0.4851224870930525</v>
      </c>
      <c r="U981" s="33">
        <f>D1000*(1-D998)/D994/((1+G975)^U977)</f>
        <v>0.45338550195612387</v>
      </c>
      <c r="V981" s="33">
        <f>D1000*(1-D998)/D994/((1+G975)^V977)</f>
        <v>0.4237247681832933</v>
      </c>
      <c r="W981" s="33">
        <f>D1000*(1-D998)/D994/((1+G975)^W977)</f>
        <v>0.39600445624606856</v>
      </c>
      <c r="X981" s="33">
        <f>D1000*(1-D998)/D994/((1+G975)^X977)</f>
        <v>0.37009762265987711</v>
      </c>
      <c r="Y981" s="33">
        <f>D1000*(1-D998)/D994/((1+G975)^Y977)</f>
        <v>0.34588562865409078</v>
      </c>
      <c r="Z981" s="33">
        <f>D1000*(1-D998)/D994/((1+G975)^Z977)</f>
        <v>0.323257596872982</v>
      </c>
      <c r="AA981" s="33">
        <f>D1000*(1-D998)/D994/((1+G975)^AA977)</f>
        <v>0.30210990361960938</v>
      </c>
    </row>
    <row r="982" spans="3:27" hidden="1" outlineLevel="1" x14ac:dyDescent="0.3">
      <c r="C982" s="21" t="s">
        <v>32</v>
      </c>
      <c r="D982" s="19">
        <f>分布式光伏电站IRR汇总!$B$8</f>
        <v>1.8870000000000002</v>
      </c>
      <c r="F982" s="6" t="s">
        <v>17</v>
      </c>
      <c r="G982" s="33">
        <f>SUM(H983:AA983)</f>
        <v>2.5425634189238777</v>
      </c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 spans="3:27" hidden="1" outlineLevel="1" x14ac:dyDescent="0.3">
      <c r="C983" s="21" t="s">
        <v>33</v>
      </c>
      <c r="D983" s="19">
        <f>分布式光伏电站IRR汇总!$B$9</f>
        <v>0.18500000000000003</v>
      </c>
      <c r="F983" s="7" t="s">
        <v>18</v>
      </c>
      <c r="G983" s="33"/>
      <c r="H983" s="33">
        <f>D997*D976/((1+G975)^H977)</f>
        <v>0.22429906542056072</v>
      </c>
      <c r="I983" s="33">
        <f>D997*D976/((1+G975)^I977)</f>
        <v>0.20962529478557079</v>
      </c>
      <c r="J983" s="33">
        <f>D997*D976/((1+G975)^J977)</f>
        <v>0.19591149045380446</v>
      </c>
      <c r="K983" s="33">
        <f>D997*D976/((1+G975)^K977)</f>
        <v>0.18309485089140604</v>
      </c>
      <c r="L983" s="33">
        <f>D997*D976/((1+G975)^L977)</f>
        <v>0.17111668307608041</v>
      </c>
      <c r="M983" s="33">
        <f>D997*D976/((1+G975)^M977)</f>
        <v>0.15992213371596301</v>
      </c>
      <c r="N983" s="33">
        <f>D997*D976/((1+G975)^N977)</f>
        <v>0.14945993805230187</v>
      </c>
      <c r="O983" s="33">
        <f>D997*D976/((1+G975)^O977)</f>
        <v>0.13968218509560923</v>
      </c>
      <c r="P983" s="33">
        <f>D997*D976/((1+G975)^P977)</f>
        <v>0.13054409822019553</v>
      </c>
      <c r="Q983" s="33">
        <f>D997*D976/((1+G975)^Q977)</f>
        <v>0.12200383011233226</v>
      </c>
      <c r="R983" s="33">
        <f>D997*D976/((1+G975)^R977)</f>
        <v>0.1140222711330208</v>
      </c>
      <c r="S983" s="33">
        <f>D997*D976/((1+G975)^S977)</f>
        <v>0.10656287021777647</v>
      </c>
      <c r="T983" s="33">
        <f>D997*D976/((1+G975)^T977)</f>
        <v>9.9591467493249028E-2</v>
      </c>
      <c r="U983" s="33">
        <f>D997*D976/((1+G975)^U977)</f>
        <v>9.3076137844157969E-2</v>
      </c>
      <c r="V983" s="33">
        <f>D997*D976/((1+G975)^V977)</f>
        <v>8.6987044714166323E-2</v>
      </c>
      <c r="W983" s="33">
        <f>D997*D976/((1+G975)^W977)</f>
        <v>8.1296303471183481E-2</v>
      </c>
      <c r="X983" s="33">
        <f>D997*D976/((1+G975)^X977)</f>
        <v>7.5977853711386434E-2</v>
      </c>
      <c r="Y983" s="33">
        <f>D997*D976/((1+G975)^Y977)</f>
        <v>7.1007339917183582E-2</v>
      </c>
      <c r="Z983" s="33">
        <f>D997*D976/((1+G975)^Z977)</f>
        <v>6.6361999922601472E-2</v>
      </c>
      <c r="AA983" s="33">
        <f>D997*D976/((1+G975)^AA977)</f>
        <v>6.2020560675328483E-2</v>
      </c>
    </row>
    <row r="984" spans="3:27" hidden="1" outlineLevel="1" x14ac:dyDescent="0.3">
      <c r="C984" s="21" t="s">
        <v>34</v>
      </c>
      <c r="D984" s="19">
        <f>分布式光伏电站IRR汇总!$B$10</f>
        <v>0.222</v>
      </c>
      <c r="F984" s="6" t="s">
        <v>19</v>
      </c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>
        <f>D997*D1000/((1+G975)^AA977)</f>
        <v>0.2544083398901974</v>
      </c>
    </row>
    <row r="985" spans="3:27" hidden="1" outlineLevel="1" x14ac:dyDescent="0.3">
      <c r="C985" s="21" t="s">
        <v>35</v>
      </c>
      <c r="D985" s="19">
        <f>分布式光伏电站IRR汇总!$B$11</f>
        <v>0.44400000000000001</v>
      </c>
      <c r="F985" s="8" t="s">
        <v>64</v>
      </c>
      <c r="G985" s="33">
        <f>SUM(H986:AA986)</f>
        <v>69544.54456237363</v>
      </c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 spans="3:27" hidden="1" outlineLevel="1" x14ac:dyDescent="0.3">
      <c r="C986" s="21" t="s">
        <v>36</v>
      </c>
      <c r="D986" s="19">
        <f>分布式光伏电站IRR汇总!$B$12</f>
        <v>0.222</v>
      </c>
      <c r="F986" s="9" t="s">
        <v>65</v>
      </c>
      <c r="G986" s="33"/>
      <c r="H986" s="33">
        <f>D976*D993*(1-D995)*D999/((1+G975)^H977)</f>
        <v>6338.925757009345</v>
      </c>
      <c r="I986" s="33">
        <f>D976*D993*(1-D995)*(1-D996)^(I977-1)*D999/((1+G975)^I977)</f>
        <v>5897.5706458904697</v>
      </c>
      <c r="J986" s="33">
        <f>D976*D993*(1-D995)*(1-D996)^(J977-1)*D999/((1+G975)^J977)</f>
        <v>5486.945399985012</v>
      </c>
      <c r="K986" s="33">
        <f>D976*D993*(1-D995)*(1-D996)^(K977-1)*D999/((1+G975)^K977)</f>
        <v>5104.9104165281124</v>
      </c>
      <c r="L986" s="33">
        <f>D976*D993*(1-D995)*(1-D996)^(L977-1)*D999/((1+G975)^L977)</f>
        <v>4749.475065096949</v>
      </c>
      <c r="M986" s="33">
        <f>D976*D993*(1-D995)*(1-D996)^(M977-1)*D999/((1+G975)^M977)</f>
        <v>4418.7873152373959</v>
      </c>
      <c r="N986" s="33">
        <f>D976*D993*(1-D995)*(1-D996)^(N977-1)*D999/((1+G975)^N977)</f>
        <v>4111.1240862792783</v>
      </c>
      <c r="O986" s="33">
        <f>D976*D993*(1-D995)*(1-D996)^(O977-1)*D999/((1+G975)^O977)</f>
        <v>3824.8822690570296</v>
      </c>
      <c r="P986" s="33">
        <f>D976*D993*(1-D995)*(1-D996)^(P977-1)*D999/((1+G975)^P977)</f>
        <v>3558.570372753526</v>
      </c>
      <c r="Q986" s="33">
        <f>D976*D993*(1-D995)*(1-D996)^(Q977-1)*D999/((1+G975)^Q977)</f>
        <v>3310.8007533421828</v>
      </c>
      <c r="R986" s="33">
        <f>D976*D993*(1-D995)*(1-D996)^(R977-1)*D999/((1+G975)^R977)</f>
        <v>3080.2823831328442</v>
      </c>
      <c r="S986" s="33">
        <f>D976*D993*(1-D995)*(1-D996)^(S977-1)*D999/((1+G975)^S977)</f>
        <v>2865.814123746492</v>
      </c>
      <c r="T986" s="33">
        <f>D976*D993*(1-D995)*(1-D996)^(T977-1)*D999/((1+G975)^T977)</f>
        <v>2666.2784674669469</v>
      </c>
      <c r="U986" s="33">
        <f>D976*D993*(1-D995)*(1-D996)^(U977-1)*D999/((1+G975)^U977)</f>
        <v>2480.6357143582673</v>
      </c>
      <c r="V986" s="33">
        <f>D976*D993*(1-D995)*(1-D996)^(V977-1)*D999/((1+G975)^V977)</f>
        <v>2307.9185548071537</v>
      </c>
      <c r="W986" s="33">
        <f>D976*D993*(1-D995)*(1-D996)^(W977-1)*D999/((1+G975)^W977)</f>
        <v>2147.2270292621706</v>
      </c>
      <c r="X986" s="33">
        <f>D976*D993*(1-D995)*(1-D996)^(X977-1)*D999/((1+G975)^X977)</f>
        <v>1997.7238389070005</v>
      </c>
      <c r="Y986" s="33">
        <f>D976*D993*(1-D995)*(1-D996)^(Y977-1)*D999/((1+G975)^Y977)</f>
        <v>1858.6299828335691</v>
      </c>
      <c r="Z986" s="33">
        <f>D976*D993*(1-D995)*(1-D996)^(Z977-1)*D999/((1+G975)^Z977)</f>
        <v>1729.2206989820734</v>
      </c>
      <c r="AA986" s="33">
        <f>D976*D993*(1-D995)*(1-D996)^(AA977-1)*D999/((1+G975)^AA977)</f>
        <v>1608.8216876978076</v>
      </c>
    </row>
    <row r="987" spans="3:27" hidden="1" outlineLevel="1" x14ac:dyDescent="0.3">
      <c r="C987" s="21" t="s">
        <v>37</v>
      </c>
      <c r="D987" s="19">
        <f>分布式光伏电站IRR汇总!$B$13</f>
        <v>0.15</v>
      </c>
      <c r="F987" s="4" t="s">
        <v>66</v>
      </c>
      <c r="G987" s="33">
        <f>SUM(H988:AA988)</f>
        <v>37.034208593078013</v>
      </c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 spans="3:27" hidden="1" outlineLevel="1" x14ac:dyDescent="0.3">
      <c r="C988" s="21" t="s">
        <v>38</v>
      </c>
      <c r="D988" s="19">
        <f>分布式光伏电站IRR汇总!$B$14</f>
        <v>3.7000000000000005E-2</v>
      </c>
      <c r="F988" s="7" t="s">
        <v>67</v>
      </c>
      <c r="G988" s="33"/>
      <c r="H988" s="33">
        <f>H986*D1004/1000</f>
        <v>3.375636438751402</v>
      </c>
      <c r="I988" s="33">
        <f>I986*D1004/1000</f>
        <v>3.1406038082028225</v>
      </c>
      <c r="J988" s="33">
        <f>J986*D1004/1000</f>
        <v>2.9219355991270186</v>
      </c>
      <c r="K988" s="33">
        <f>K986*D1004/1000</f>
        <v>2.7184924195616333</v>
      </c>
      <c r="L988" s="33">
        <f>L986*D1004/1000</f>
        <v>2.5292142090407528</v>
      </c>
      <c r="M988" s="33">
        <f>M986*D1004/1000</f>
        <v>2.3531147150467944</v>
      </c>
      <c r="N988" s="33">
        <f>N986*D1004/1000</f>
        <v>2.1892763540458726</v>
      </c>
      <c r="O988" s="33">
        <f>O986*D1004/1000</f>
        <v>2.0368454303295946</v>
      </c>
      <c r="P988" s="33">
        <f>P986*D1004/1000</f>
        <v>1.8950276877505716</v>
      </c>
      <c r="Q988" s="33">
        <f>Q986*D1004/1000</f>
        <v>1.7630841711735459</v>
      </c>
      <c r="R988" s="33">
        <f>R986*D1004/1000</f>
        <v>1.6403273760778179</v>
      </c>
      <c r="S988" s="33">
        <f>S986*D1004/1000</f>
        <v>1.5261176662481006</v>
      </c>
      <c r="T988" s="33">
        <f>T986*D1004/1000</f>
        <v>1.4198599408878361</v>
      </c>
      <c r="U988" s="33">
        <f>U986*D1004/1000</f>
        <v>1.3210005337886364</v>
      </c>
      <c r="V988" s="33">
        <f>V986*D1004/1000</f>
        <v>1.2290243283986795</v>
      </c>
      <c r="W988" s="33">
        <f>W986*D1004/1000</f>
        <v>1.1434520737578375</v>
      </c>
      <c r="X988" s="33">
        <f>X986*D1004/1000</f>
        <v>1.0638378873139505</v>
      </c>
      <c r="Y988" s="33">
        <f>Y986*D1004/1000</f>
        <v>0.98976693160844642</v>
      </c>
      <c r="Z988" s="33">
        <f>Z986*D1004/1000</f>
        <v>0.92085325272542862</v>
      </c>
      <c r="AA988" s="33">
        <f>AA986*D1004/1000</f>
        <v>0.85673776924127498</v>
      </c>
    </row>
    <row r="989" spans="3:27" hidden="1" outlineLevel="1" x14ac:dyDescent="0.3">
      <c r="C989" s="21" t="s">
        <v>39</v>
      </c>
      <c r="D989" s="19">
        <f>分布式光伏电站IRR汇总!$B$15</f>
        <v>0.25900000000000006</v>
      </c>
      <c r="F989" s="4" t="s">
        <v>20</v>
      </c>
      <c r="G989" s="33">
        <f>SUM(H990:V990)</f>
        <v>4.8064680728129838</v>
      </c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 spans="3:27" hidden="1" outlineLevel="1" x14ac:dyDescent="0.3">
      <c r="C990" s="21" t="s">
        <v>40</v>
      </c>
      <c r="D990" s="19">
        <f>分布式光伏电站IRR汇总!$B$16</f>
        <v>7.400000000000001E-2</v>
      </c>
      <c r="F990" s="7" t="s">
        <v>21</v>
      </c>
      <c r="G990" s="33"/>
      <c r="H990" s="33">
        <f>(H988-H981-H983)*G976</f>
        <v>0.51468714707102814</v>
      </c>
      <c r="I990" s="33">
        <f>(I988-I981-I983)*G976</f>
        <v>0.47746687483872213</v>
      </c>
      <c r="J990" s="33">
        <f>(J988-J981-J983)*G976</f>
        <v>0.44292868743410657</v>
      </c>
      <c r="K990" s="33">
        <f>(K988-K981-K983)*G976</f>
        <v>0.41087991578045685</v>
      </c>
      <c r="L990" s="33">
        <f>(L988-L981-L983)*G976</f>
        <v>0.38114169327892511</v>
      </c>
      <c r="M990" s="33">
        <f>(M988-M981-M983)*G976</f>
        <v>0.35354796943341532</v>
      </c>
      <c r="N990" s="33">
        <f>(N988-N981-N983)*G976</f>
        <v>0.32794459381213803</v>
      </c>
      <c r="O990" s="33">
        <f>(O988-O981-O983)*G976</f>
        <v>0.30418846534003408</v>
      </c>
      <c r="P990" s="33">
        <f>(P988-P981-P983)*G976</f>
        <v>0.28214674227188163</v>
      </c>
      <c r="Q990" s="33">
        <f>(Q988-Q981-Q983)*G976</f>
        <v>0.2616961085263198</v>
      </c>
      <c r="R990" s="33">
        <f>(R988-R981-R983)*G976</f>
        <v>0.24272209236799036</v>
      </c>
      <c r="S990" s="33">
        <f>(S988-S981-S983)*G976</f>
        <v>0.2251184337101895</v>
      </c>
      <c r="T990" s="33">
        <f>(T988-T981-T983)*G976</f>
        <v>0.20878649657538365</v>
      </c>
      <c r="U990" s="33">
        <f>(U988-U981-U983)*G976</f>
        <v>0.1936347234970886</v>
      </c>
      <c r="V990" s="33">
        <f>(V988-V981-V983)*G976</f>
        <v>0.17957812887530497</v>
      </c>
      <c r="W990" s="33">
        <f>(W988-W981-W983)*G976</f>
        <v>0.1665378285101464</v>
      </c>
      <c r="X990" s="33">
        <f>(X988-X981-X983)*G976</f>
        <v>0.15444060273567173</v>
      </c>
      <c r="Y990" s="33">
        <f>(Y988-Y981-Y983)*G976</f>
        <v>0.14321849075929302</v>
      </c>
      <c r="Z990" s="33">
        <f>(Z988-Z981-Z983)*G976</f>
        <v>0.13280841398246129</v>
      </c>
      <c r="AA990" s="33">
        <f>(AA988-AA981-AA983)*G976</f>
        <v>0.1231518262365843</v>
      </c>
    </row>
    <row r="991" spans="3:27" hidden="1" outlineLevel="1" x14ac:dyDescent="0.3">
      <c r="C991" s="21" t="s">
        <v>41</v>
      </c>
      <c r="D991" s="19">
        <f>分布式光伏电站IRR汇总!$B$17</f>
        <v>0.222</v>
      </c>
      <c r="F991" s="10" t="s">
        <v>22</v>
      </c>
      <c r="G991" s="33">
        <f>-G979</f>
        <v>-24.611999999999995</v>
      </c>
      <c r="H991" s="33">
        <f t="shared" ref="H991:AA991" si="330">H988-H990-H983</f>
        <v>2.636650226259813</v>
      </c>
      <c r="I991" s="33">
        <f t="shared" si="330"/>
        <v>2.4535116385785294</v>
      </c>
      <c r="J991" s="33">
        <f t="shared" si="330"/>
        <v>2.2830954212391075</v>
      </c>
      <c r="K991" s="33">
        <f t="shared" si="330"/>
        <v>2.1245176528897707</v>
      </c>
      <c r="L991" s="33">
        <f t="shared" si="330"/>
        <v>1.9769558326857475</v>
      </c>
      <c r="M991" s="33">
        <f t="shared" si="330"/>
        <v>1.8396446118974159</v>
      </c>
      <c r="N991" s="33">
        <f t="shared" si="330"/>
        <v>1.7118718221814326</v>
      </c>
      <c r="O991" s="33">
        <f t="shared" si="330"/>
        <v>1.5929747798939515</v>
      </c>
      <c r="P991" s="33">
        <f t="shared" si="330"/>
        <v>1.4823368472584946</v>
      </c>
      <c r="Q991" s="33">
        <f t="shared" si="330"/>
        <v>1.3793842325348937</v>
      </c>
      <c r="R991" s="33">
        <f t="shared" si="330"/>
        <v>1.2835830125768068</v>
      </c>
      <c r="S991" s="33">
        <f t="shared" si="330"/>
        <v>1.1944363623201346</v>
      </c>
      <c r="T991" s="33">
        <f t="shared" si="330"/>
        <v>1.1114819768192035</v>
      </c>
      <c r="U991" s="33">
        <f t="shared" si="330"/>
        <v>1.0342896724473898</v>
      </c>
      <c r="V991" s="33">
        <f t="shared" si="330"/>
        <v>0.96245915480920829</v>
      </c>
      <c r="W991" s="33">
        <f t="shared" si="330"/>
        <v>0.89561794177650766</v>
      </c>
      <c r="X991" s="33">
        <f t="shared" si="330"/>
        <v>0.8334194308668923</v>
      </c>
      <c r="Y991" s="33">
        <f t="shared" si="330"/>
        <v>0.77554110093196982</v>
      </c>
      <c r="Z991" s="33">
        <f t="shared" si="330"/>
        <v>0.72168283882036577</v>
      </c>
      <c r="AA991" s="33">
        <f t="shared" si="330"/>
        <v>0.67156538232936225</v>
      </c>
    </row>
    <row r="992" spans="3:27" ht="13.5" hidden="1" outlineLevel="1" thickBot="1" x14ac:dyDescent="0.35">
      <c r="C992" s="21" t="s">
        <v>74</v>
      </c>
      <c r="D992" s="19">
        <f>分布式光伏电站IRR汇总!$B$18</f>
        <v>0.4</v>
      </c>
      <c r="F992" s="3" t="s">
        <v>61</v>
      </c>
      <c r="G992" s="35">
        <f>SUM(G991:AA991)/G979</f>
        <v>0.17686575406781269</v>
      </c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3:27" ht="13.5" hidden="1" outlineLevel="1" thickTop="1" x14ac:dyDescent="0.3">
      <c r="C993" s="18" t="s">
        <v>58</v>
      </c>
      <c r="D993" s="19">
        <f>分布式光伏电站IRR汇总!$B$19</f>
        <v>0.86599999999999999</v>
      </c>
    </row>
    <row r="994" spans="3:27" hidden="1" outlineLevel="1" x14ac:dyDescent="0.3">
      <c r="C994" s="18" t="s">
        <v>62</v>
      </c>
      <c r="D994" s="19">
        <f>分布式光伏电站IRR汇总!$B$20</f>
        <v>20</v>
      </c>
      <c r="F994" s="13" t="s">
        <v>25</v>
      </c>
      <c r="G994" s="14">
        <v>0</v>
      </c>
    </row>
    <row r="995" spans="3:27" hidden="1" outlineLevel="1" x14ac:dyDescent="0.3">
      <c r="C995" s="18" t="s">
        <v>59</v>
      </c>
      <c r="D995" s="52">
        <f>分布式光伏电站IRR汇总!$B$21</f>
        <v>0.02</v>
      </c>
      <c r="F995" s="13" t="s">
        <v>26</v>
      </c>
      <c r="G995" s="14">
        <v>0.25</v>
      </c>
      <c r="Q995" s="15"/>
    </row>
    <row r="996" spans="3:27" hidden="1" outlineLevel="1" x14ac:dyDescent="0.3">
      <c r="C996" s="18" t="s">
        <v>60</v>
      </c>
      <c r="D996" s="52">
        <f>分布式光伏电站IRR汇总!$B$22</f>
        <v>4.4999999999999997E-3</v>
      </c>
      <c r="F996" s="1" t="s">
        <v>44</v>
      </c>
      <c r="G996" s="4"/>
      <c r="H996" s="5">
        <v>1</v>
      </c>
      <c r="I996" s="5">
        <v>2</v>
      </c>
      <c r="J996" s="5">
        <v>3</v>
      </c>
      <c r="K996" s="5">
        <v>4</v>
      </c>
      <c r="L996" s="5">
        <v>5</v>
      </c>
      <c r="M996" s="5">
        <v>6</v>
      </c>
      <c r="N996" s="5">
        <v>7</v>
      </c>
      <c r="O996" s="5">
        <v>8</v>
      </c>
      <c r="P996" s="5">
        <v>9</v>
      </c>
      <c r="Q996" s="5">
        <v>10</v>
      </c>
      <c r="R996" s="5">
        <v>11</v>
      </c>
      <c r="S996" s="5">
        <v>12</v>
      </c>
      <c r="T996" s="5">
        <v>13</v>
      </c>
      <c r="U996" s="5">
        <v>14</v>
      </c>
      <c r="V996" s="5">
        <v>15</v>
      </c>
      <c r="W996" s="5">
        <v>16</v>
      </c>
      <c r="X996" s="5">
        <v>17</v>
      </c>
      <c r="Y996" s="5">
        <v>18</v>
      </c>
      <c r="Z996" s="5">
        <v>19</v>
      </c>
      <c r="AA996" s="5">
        <v>20</v>
      </c>
    </row>
    <row r="997" spans="3:27" hidden="1" outlineLevel="1" x14ac:dyDescent="0.3">
      <c r="C997" s="18" t="s">
        <v>28</v>
      </c>
      <c r="D997" s="29">
        <f>分布式光伏电站IRR汇总!$B$23</f>
        <v>0.04</v>
      </c>
      <c r="F997" s="16"/>
      <c r="G997" s="2" t="s">
        <v>0</v>
      </c>
      <c r="H997" s="2" t="s">
        <v>1</v>
      </c>
      <c r="I997" s="2" t="s">
        <v>2</v>
      </c>
      <c r="J997" s="2" t="s">
        <v>3</v>
      </c>
      <c r="K997" s="2" t="s">
        <v>4</v>
      </c>
      <c r="L997" s="2" t="s">
        <v>5</v>
      </c>
      <c r="M997" s="2" t="s">
        <v>6</v>
      </c>
      <c r="N997" s="2" t="s">
        <v>7</v>
      </c>
      <c r="O997" s="2" t="s">
        <v>8</v>
      </c>
      <c r="P997" s="2" t="s">
        <v>9</v>
      </c>
      <c r="Q997" s="2" t="s">
        <v>10</v>
      </c>
      <c r="R997" s="2" t="s">
        <v>11</v>
      </c>
      <c r="S997" s="2" t="s">
        <v>12</v>
      </c>
      <c r="T997" s="2" t="s">
        <v>13</v>
      </c>
      <c r="U997" s="2" t="s">
        <v>45</v>
      </c>
      <c r="V997" s="2" t="s">
        <v>46</v>
      </c>
      <c r="W997" s="2" t="s">
        <v>47</v>
      </c>
      <c r="X997" s="2" t="s">
        <v>48</v>
      </c>
      <c r="Y997" s="2" t="s">
        <v>49</v>
      </c>
      <c r="Z997" s="2" t="s">
        <v>50</v>
      </c>
      <c r="AA997" s="2" t="s">
        <v>51</v>
      </c>
    </row>
    <row r="998" spans="3:27" hidden="1" outlineLevel="1" x14ac:dyDescent="0.3">
      <c r="C998" s="18" t="s">
        <v>43</v>
      </c>
      <c r="D998" s="19">
        <f>分布式光伏电站IRR汇总!$B$24</f>
        <v>0.05</v>
      </c>
      <c r="F998" s="6" t="s">
        <v>14</v>
      </c>
      <c r="G998" s="33">
        <f>D1000</f>
        <v>24.611999999999995</v>
      </c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 spans="3:27" hidden="1" outlineLevel="1" x14ac:dyDescent="0.3">
      <c r="C999" s="18" t="s">
        <v>126</v>
      </c>
      <c r="D999" s="28">
        <f>Backup分地区光伏小时数及电价!E22</f>
        <v>1332</v>
      </c>
      <c r="F999" s="6" t="s">
        <v>15</v>
      </c>
      <c r="G999" s="33">
        <f>SUM(H1000:AA1000)</f>
        <v>23.381399999999985</v>
      </c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 spans="3:27" hidden="1" outlineLevel="1" x14ac:dyDescent="0.3">
      <c r="C1000" s="24" t="s">
        <v>14</v>
      </c>
      <c r="D1000" s="30">
        <f>D976*D981</f>
        <v>24.611999999999995</v>
      </c>
      <c r="F1000" s="7" t="s">
        <v>16</v>
      </c>
      <c r="G1000" s="33"/>
      <c r="H1000" s="33">
        <f>D1000*(1-D998)/D994/((1+G994)^H996)</f>
        <v>1.1690699999999996</v>
      </c>
      <c r="I1000" s="33">
        <f>D1000*(1-D998)/D994/((1+G994)^I996)</f>
        <v>1.1690699999999996</v>
      </c>
      <c r="J1000" s="33">
        <f>D1000*(1-D998)/D994/((1+G994)^J996)</f>
        <v>1.1690699999999996</v>
      </c>
      <c r="K1000" s="33">
        <f>D1000*(1-D998)/D994/((1+G994)^K996)</f>
        <v>1.1690699999999996</v>
      </c>
      <c r="L1000" s="33">
        <f>D1000*(1-D998)/D994/((1+G994)^L996)</f>
        <v>1.1690699999999996</v>
      </c>
      <c r="M1000" s="33">
        <f>D1000*(1-D998)/D994/((1+G994)^M996)</f>
        <v>1.1690699999999996</v>
      </c>
      <c r="N1000" s="33">
        <f>D1000*(1-D998)/D994/((1+G994)^N996)</f>
        <v>1.1690699999999996</v>
      </c>
      <c r="O1000" s="33">
        <f>D1000*(1-D998)/D994/((1+G994)^O996)</f>
        <v>1.1690699999999996</v>
      </c>
      <c r="P1000" s="33">
        <f>D1000*(1-D998)/D994/((1+G994)^P996)</f>
        <v>1.1690699999999996</v>
      </c>
      <c r="Q1000" s="33">
        <f>D1000*(1-D998)/D994/((1+G994)^Q996)</f>
        <v>1.1690699999999996</v>
      </c>
      <c r="R1000" s="33">
        <f>D1000*(1-D998)/D994/((1+G994)^R996)</f>
        <v>1.1690699999999996</v>
      </c>
      <c r="S1000" s="33">
        <f>D1000*(1-D998)/D994/((1+G994)^S996)</f>
        <v>1.1690699999999996</v>
      </c>
      <c r="T1000" s="33">
        <f>D1000*(1-D998)/D994/((1+G994)^T996)</f>
        <v>1.1690699999999996</v>
      </c>
      <c r="U1000" s="33">
        <f>D1000*(1-D998)/D994/((1+G994)^U996)</f>
        <v>1.1690699999999996</v>
      </c>
      <c r="V1000" s="33">
        <f>D1000*(1-D998)/D994/((1+G994)^V996)</f>
        <v>1.1690699999999996</v>
      </c>
      <c r="W1000" s="33">
        <f>D1000*(1-D998)/D994/((1+G994)^W996)</f>
        <v>1.1690699999999996</v>
      </c>
      <c r="X1000" s="33">
        <f>D1000*(1-D998)/D994/((1+G994)^X996)</f>
        <v>1.1690699999999996</v>
      </c>
      <c r="Y1000" s="33">
        <f>D1000*(1-D998)/D994/((1+G994)^Y996)</f>
        <v>1.1690699999999996</v>
      </c>
      <c r="Z1000" s="33">
        <f>D1000*(1-D998)/D994/((1+G994)^Z996)</f>
        <v>1.1690699999999996</v>
      </c>
      <c r="AA1000" s="33">
        <f>D1000*(1-D998)/D994/((1+G994)^AA996)</f>
        <v>1.1690699999999996</v>
      </c>
    </row>
    <row r="1001" spans="3:27" hidden="1" outlineLevel="1" x14ac:dyDescent="0.3">
      <c r="C1001" s="18" t="s">
        <v>29</v>
      </c>
      <c r="D1001" s="29">
        <v>0.35980000000000001</v>
      </c>
      <c r="F1001" s="6" t="s">
        <v>17</v>
      </c>
      <c r="G1001" s="33">
        <f>SUM(H1002:AA1002)</f>
        <v>4.8000000000000025</v>
      </c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  <row r="1002" spans="3:27" hidden="1" outlineLevel="1" x14ac:dyDescent="0.3">
      <c r="C1002" s="18" t="s">
        <v>30</v>
      </c>
      <c r="D1002" s="31">
        <f>Backup分地区光伏小时数及电价!I22</f>
        <v>0.53252500000000003</v>
      </c>
      <c r="F1002" s="7" t="s">
        <v>18</v>
      </c>
      <c r="G1002" s="33"/>
      <c r="H1002" s="33">
        <f>D997*D976/((1+G994)^H996)</f>
        <v>0.24</v>
      </c>
      <c r="I1002" s="33">
        <f>D997*D976/((1+G994)^I996)</f>
        <v>0.24</v>
      </c>
      <c r="J1002" s="33">
        <f>D997*D976/((1+G994)^J996)</f>
        <v>0.24</v>
      </c>
      <c r="K1002" s="33">
        <f>D997*D976/((1+G994)^K996)</f>
        <v>0.24</v>
      </c>
      <c r="L1002" s="33">
        <f>D997*D976/((1+G994)^L996)</f>
        <v>0.24</v>
      </c>
      <c r="M1002" s="33">
        <f>D997*D976/((1+G994)^M996)</f>
        <v>0.24</v>
      </c>
      <c r="N1002" s="33">
        <f>D997*D976/((1+G994)^N996)</f>
        <v>0.24</v>
      </c>
      <c r="O1002" s="33">
        <f>D997*D976/((1+G994)^O996)</f>
        <v>0.24</v>
      </c>
      <c r="P1002" s="33">
        <f>D997*D976/((1+G994)^P996)</f>
        <v>0.24</v>
      </c>
      <c r="Q1002" s="33">
        <f>D997*D976/((1+G994)^Q996)</f>
        <v>0.24</v>
      </c>
      <c r="R1002" s="33">
        <f>D997*D976/((1+G994)^R996)</f>
        <v>0.24</v>
      </c>
      <c r="S1002" s="33">
        <f>D997*D976/((1+G994)^S996)</f>
        <v>0.24</v>
      </c>
      <c r="T1002" s="33">
        <f>D997*D976/((1+G994)^T996)</f>
        <v>0.24</v>
      </c>
      <c r="U1002" s="33">
        <f>D997*D976/((1+G994)^U996)</f>
        <v>0.24</v>
      </c>
      <c r="V1002" s="33">
        <f>D997*D976/((1+G994)^V996)</f>
        <v>0.24</v>
      </c>
      <c r="W1002" s="33">
        <f>D997*D976/((1+G994)^W996)</f>
        <v>0.24</v>
      </c>
      <c r="X1002" s="33">
        <f>D997*D976/((1+G994)^X996)</f>
        <v>0.24</v>
      </c>
      <c r="Y1002" s="33">
        <f>D997*D976/((1+G994)^Y996)</f>
        <v>0.24</v>
      </c>
      <c r="Z1002" s="33">
        <f>D997*D976/((1+G994)^Z996)</f>
        <v>0.24</v>
      </c>
      <c r="AA1002" s="33">
        <f>D997*D976/((1+G994)^AA996)</f>
        <v>0.24</v>
      </c>
    </row>
    <row r="1003" spans="3:27" hidden="1" outlineLevel="1" x14ac:dyDescent="0.3">
      <c r="C1003" s="18" t="s">
        <v>70</v>
      </c>
      <c r="D1003" s="32">
        <f>分布式光伏电站IRR汇总!$B$27</f>
        <v>1</v>
      </c>
      <c r="F1003" s="6" t="s">
        <v>19</v>
      </c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>
        <f>D997*D1000/((1+G994)^AA996)</f>
        <v>0.9844799999999998</v>
      </c>
    </row>
    <row r="1004" spans="3:27" hidden="1" outlineLevel="1" x14ac:dyDescent="0.3">
      <c r="C1004" s="18" t="s">
        <v>69</v>
      </c>
      <c r="D1004" s="31">
        <f>D1003*D1002</f>
        <v>0.53252500000000003</v>
      </c>
      <c r="F1004" s="8" t="s">
        <v>64</v>
      </c>
      <c r="G1004" s="33">
        <f>SUM(H1005:AA1005)</f>
        <v>130007.4705555746</v>
      </c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</row>
    <row r="1005" spans="3:27" hidden="1" outlineLevel="1" x14ac:dyDescent="0.3">
      <c r="C1005" s="18" t="s">
        <v>31</v>
      </c>
      <c r="D1005" s="27">
        <v>0</v>
      </c>
      <c r="F1005" s="9" t="s">
        <v>65</v>
      </c>
      <c r="G1005" s="33"/>
      <c r="H1005" s="33">
        <f>D976*D993*(1-D995)*D999/((1+G994)^H996)</f>
        <v>6782.6505599999991</v>
      </c>
      <c r="I1005" s="33">
        <f>D976*D993*(1-D995)*(1-D996)^(I996-1)*D999/((1+G994)^I996)</f>
        <v>6752.1286324799994</v>
      </c>
      <c r="J1005" s="33">
        <f>D976*D993*(1-D995)*(1-D996)^(J996-1)*D999/((1+G994)^J996)</f>
        <v>6721.7440536338399</v>
      </c>
      <c r="K1005" s="33">
        <f>D976*D993*(1-D995)*(1-D996)^(K996-1)*D999/((1+G994)^K996)</f>
        <v>6691.4962053924883</v>
      </c>
      <c r="L1005" s="33">
        <f>D976*D993*(1-D995)*(1-D996)^(L996-1)*D999/((1+G994)^L996)</f>
        <v>6661.3844724682222</v>
      </c>
      <c r="M1005" s="33">
        <f>D976*D993*(1-D995)*(1-D996)^(M996-1)*D999/((1+G994)^M996)</f>
        <v>6631.408242342116</v>
      </c>
      <c r="N1005" s="33">
        <f>D976*D993*(1-D995)*(1-D996)^(N996-1)*D999/((1+G994)^N996)</f>
        <v>6601.5669052515768</v>
      </c>
      <c r="O1005" s="33">
        <f>D976*D993*(1-D995)*(1-D996)^(O996-1)*D999/((1+G994)^O996)</f>
        <v>6571.8598541779447</v>
      </c>
      <c r="P1005" s="33">
        <f>D976*D993*(1-D995)*(1-D996)^(P996-1)*D999/((1+G994)^P996)</f>
        <v>6542.2864848341442</v>
      </c>
      <c r="Q1005" s="33">
        <f>D976*D993*(1-D995)*(1-D996)^(Q996-1)*D999/((1+G994)^Q996)</f>
        <v>6512.8461956523915</v>
      </c>
      <c r="R1005" s="33">
        <f>D976*D993*(1-D995)*(1-D996)^(R996-1)*D999/((1+G994)^R996)</f>
        <v>6483.5383877719569</v>
      </c>
      <c r="S1005" s="33">
        <f>D976*D993*(1-D995)*(1-D996)^(S996-1)*D999/((1+G994)^S996)</f>
        <v>6454.3624650269821</v>
      </c>
      <c r="T1005" s="33">
        <f>D976*D993*(1-D995)*(1-D996)^(T996-1)*D999/((1+G994)^T996)</f>
        <v>6425.3178339343622</v>
      </c>
      <c r="U1005" s="33">
        <f>D976*D993*(1-D995)*(1-D996)^(U996-1)*D999/((1+G994)^U996)</f>
        <v>6396.4039036816575</v>
      </c>
      <c r="V1005" s="33">
        <f>D976*D993*(1-D995)*(1-D996)^(V996-1)*D999/((1+G994)^V996)</f>
        <v>6367.6200861150892</v>
      </c>
      <c r="W1005" s="33">
        <f>D976*D993*(1-D995)*(1-D996)^(W996-1)*D999/((1+G994)^W996)</f>
        <v>6338.9657957275731</v>
      </c>
      <c r="X1005" s="33">
        <f>D976*D993*(1-D995)*(1-D996)^(X996-1)*D999/((1+G994)^X996)</f>
        <v>6310.4404496467987</v>
      </c>
      <c r="Y1005" s="33">
        <f>D976*D993*(1-D995)*(1-D996)^(Y996-1)*D999/((1+G994)^Y996)</f>
        <v>6282.0434676233881</v>
      </c>
      <c r="Z1005" s="33">
        <f>D976*D993*(1-D995)*(1-D996)^(Z996-1)*D999/((1+G994)^Z996)</f>
        <v>6253.7742720190845</v>
      </c>
      <c r="AA1005" s="33">
        <f>D976*D993*(1-D995)*(1-D996)^(AA996-1)*D999/((1+G994)^AA996)</f>
        <v>6225.6322877949988</v>
      </c>
    </row>
    <row r="1006" spans="3:27" hidden="1" outlineLevel="1" x14ac:dyDescent="0.3">
      <c r="F1006" s="4" t="s">
        <v>66</v>
      </c>
      <c r="G1006" s="33">
        <f>SUM(H1007:AA1007)</f>
        <v>69.232228257607375</v>
      </c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</row>
    <row r="1007" spans="3:27" hidden="1" outlineLevel="1" x14ac:dyDescent="0.3">
      <c r="F1007" s="7" t="s">
        <v>67</v>
      </c>
      <c r="G1007" s="33"/>
      <c r="H1007" s="33">
        <f>H1005*D1004/1000</f>
        <v>3.6119309894639997</v>
      </c>
      <c r="I1007" s="33">
        <f>I1005*D1004/1000</f>
        <v>3.5956773000114115</v>
      </c>
      <c r="J1007" s="33">
        <f>J1005*D1004/1000</f>
        <v>3.5794967521613605</v>
      </c>
      <c r="K1007" s="33">
        <f>K1005*D1004/1000</f>
        <v>3.5633890167766351</v>
      </c>
      <c r="L1007" s="33">
        <f>L1005*D1004/1000</f>
        <v>3.5473537662011405</v>
      </c>
      <c r="M1007" s="33">
        <f>M1005*D1004/1000</f>
        <v>3.5313906742532355</v>
      </c>
      <c r="N1007" s="33">
        <f>N1005*D1004/1000</f>
        <v>3.5154994162190962</v>
      </c>
      <c r="O1007" s="33">
        <f>O1005*D1004/1000</f>
        <v>3.49967966884611</v>
      </c>
      <c r="P1007" s="33">
        <f>P1005*D1004/1000</f>
        <v>3.4839311103363029</v>
      </c>
      <c r="Q1007" s="33">
        <f>Q1005*D1004/1000</f>
        <v>3.4682534203397899</v>
      </c>
      <c r="R1007" s="33">
        <f>R1005*D1004/1000</f>
        <v>3.4526462799482616</v>
      </c>
      <c r="S1007" s="33">
        <f>S1005*D1004/1000</f>
        <v>3.4371093716884937</v>
      </c>
      <c r="T1007" s="33">
        <f>T1005*D1004/1000</f>
        <v>3.4216423795158963</v>
      </c>
      <c r="U1007" s="33">
        <f>U1005*D1004/1000</f>
        <v>3.406244988808075</v>
      </c>
      <c r="V1007" s="33">
        <f>V1005*D1004/1000</f>
        <v>3.390916886358438</v>
      </c>
      <c r="W1007" s="33">
        <f>W1005*D1004/1000</f>
        <v>3.3756577603698261</v>
      </c>
      <c r="X1007" s="33">
        <f>X1005*D1004/1000</f>
        <v>3.3604673004481613</v>
      </c>
      <c r="Y1007" s="33">
        <f>Y1005*D1004/1000</f>
        <v>3.3453451975961448</v>
      </c>
      <c r="Z1007" s="33">
        <f>Z1005*D1004/1000</f>
        <v>3.3302911442069631</v>
      </c>
      <c r="AA1007" s="33">
        <f>AA1005*D1004/1000</f>
        <v>3.3153048340580318</v>
      </c>
    </row>
    <row r="1008" spans="3:27" hidden="1" outlineLevel="1" x14ac:dyDescent="0.3">
      <c r="F1008" s="4" t="s">
        <v>20</v>
      </c>
      <c r="G1008" s="33">
        <f>SUM(H1009:AA1009)</f>
        <v>10.262707064401845</v>
      </c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</row>
    <row r="1009" spans="2:27" hidden="1" outlineLevel="1" x14ac:dyDescent="0.3">
      <c r="F1009" s="7" t="s">
        <v>21</v>
      </c>
      <c r="G1009" s="33"/>
      <c r="H1009" s="33">
        <f>(H1007-H1000-H1002)*G995</f>
        <v>0.55071524736599997</v>
      </c>
      <c r="I1009" s="33">
        <f>(I1007-I1000-I1002)*G995</f>
        <v>0.54665182500285292</v>
      </c>
      <c r="J1009" s="33">
        <f>(J1007-J1000-J1002)*G995</f>
        <v>0.54260668804034018</v>
      </c>
      <c r="K1009" s="33">
        <f>(K1007-K1000-K1002)*G995</f>
        <v>0.53857975419415882</v>
      </c>
      <c r="L1009" s="33">
        <f>(L1007-L1000-L1002)*G995</f>
        <v>0.53457094155028528</v>
      </c>
      <c r="M1009" s="33">
        <f>(M1007-M1000-M1002)*G995</f>
        <v>0.53058016856330892</v>
      </c>
      <c r="N1009" s="33">
        <f>(N1007-N1000-N1002)*G995</f>
        <v>0.52660735405477421</v>
      </c>
      <c r="O1009" s="33">
        <f>(O1007-O1000-O1002)*G995</f>
        <v>0.52265241721152766</v>
      </c>
      <c r="P1009" s="33">
        <f>(P1007-P1000-P1002)*G995</f>
        <v>0.51871527758407576</v>
      </c>
      <c r="Q1009" s="33">
        <f>(Q1007-Q1000-Q1002)*G995</f>
        <v>0.51479585508494763</v>
      </c>
      <c r="R1009" s="33">
        <f>(R1007-R1000-R1002)*G995</f>
        <v>0.51089406998706544</v>
      </c>
      <c r="S1009" s="33">
        <f>(S1007-S1000-S1002)*G995</f>
        <v>0.50700984292212348</v>
      </c>
      <c r="T1009" s="33">
        <f>(T1007-T1000-T1002)*G995</f>
        <v>0.50314309487897413</v>
      </c>
      <c r="U1009" s="33">
        <f>(U1007-U1000-U1002)*G995</f>
        <v>0.49929374720201886</v>
      </c>
      <c r="V1009" s="33">
        <f>(V1007-V1000-V1002)*G995</f>
        <v>0.4954617215896096</v>
      </c>
      <c r="W1009" s="33">
        <f>(W1007-W1000-W1002)*G995</f>
        <v>0.49164694009245663</v>
      </c>
      <c r="X1009" s="33">
        <f>(X1007-X1000-X1002)*G995</f>
        <v>0.48784932511204043</v>
      </c>
      <c r="Y1009" s="33">
        <f>(Y1007-Y1000-Y1002)*G995</f>
        <v>0.4840687993990363</v>
      </c>
      <c r="Z1009" s="33">
        <f>(Z1007-Z1000-Z1002)*G995</f>
        <v>0.48030528605174089</v>
      </c>
      <c r="AA1009" s="33">
        <f>(AA1007-AA1000-AA1002)*G995</f>
        <v>0.47655870851450804</v>
      </c>
    </row>
    <row r="1010" spans="2:27" hidden="1" outlineLevel="1" x14ac:dyDescent="0.3">
      <c r="F1010" s="10" t="s">
        <v>22</v>
      </c>
      <c r="G1010" s="33">
        <f>-G998</f>
        <v>-24.611999999999995</v>
      </c>
      <c r="H1010" s="33">
        <f>H1007-H1009-H1002</f>
        <v>2.8212157420979995</v>
      </c>
      <c r="I1010" s="33">
        <f t="shared" ref="I1010" si="331">I1007-I1009-I1002</f>
        <v>2.8090254750085588</v>
      </c>
      <c r="J1010" s="33">
        <f t="shared" ref="J1010" si="332">J1007-J1009-J1002</f>
        <v>2.7968900641210199</v>
      </c>
      <c r="K1010" s="33">
        <f t="shared" ref="K1010" si="333">K1007-K1009-K1002</f>
        <v>2.7848092625824759</v>
      </c>
      <c r="L1010" s="33">
        <f t="shared" ref="L1010" si="334">L1007-L1009-L1002</f>
        <v>2.7727828246508555</v>
      </c>
      <c r="M1010" s="33">
        <f t="shared" ref="M1010" si="335">M1007-M1009-M1002</f>
        <v>2.7608105056899266</v>
      </c>
      <c r="N1010" s="33">
        <f t="shared" ref="N1010" si="336">N1007-N1009-N1002</f>
        <v>2.7488920621643222</v>
      </c>
      <c r="O1010" s="33">
        <f t="shared" ref="O1010" si="337">O1007-O1009-O1002</f>
        <v>2.7370272516345819</v>
      </c>
      <c r="P1010" s="33">
        <f t="shared" ref="P1010" si="338">P1007-P1009-P1002</f>
        <v>2.7252158327522267</v>
      </c>
      <c r="Q1010" s="33">
        <f t="shared" ref="Q1010" si="339">Q1007-Q1009-Q1002</f>
        <v>2.7134575652548421</v>
      </c>
      <c r="R1010" s="33">
        <f t="shared" ref="R1010" si="340">R1007-R1009-R1002</f>
        <v>2.7017522099611959</v>
      </c>
      <c r="S1010" s="33">
        <f t="shared" ref="S1010" si="341">S1007-S1009-S1002</f>
        <v>2.6900995287663703</v>
      </c>
      <c r="T1010" s="33">
        <f t="shared" ref="T1010" si="342">T1007-T1009-T1002</f>
        <v>2.6784992846369224</v>
      </c>
      <c r="U1010" s="33">
        <f t="shared" ref="U1010" si="343">U1007-U1009-U1002</f>
        <v>2.6669512416060561</v>
      </c>
      <c r="V1010" s="33">
        <f t="shared" ref="V1010" si="344">V1007-V1009-V1002</f>
        <v>2.6554551647688287</v>
      </c>
      <c r="W1010" s="33">
        <f t="shared" ref="W1010" si="345">W1007-W1009-W1002</f>
        <v>2.6440108202773693</v>
      </c>
      <c r="X1010" s="33">
        <f t="shared" ref="X1010" si="346">X1007-X1009-X1002</f>
        <v>2.632617975336121</v>
      </c>
      <c r="Y1010" s="33">
        <f t="shared" ref="Y1010" si="347">Y1007-Y1009-Y1002</f>
        <v>2.6212763981971081</v>
      </c>
      <c r="Z1010" s="33">
        <f t="shared" ref="Z1010" si="348">Z1007-Z1009-Z1002</f>
        <v>2.6099858581552224</v>
      </c>
      <c r="AA1010" s="33">
        <f t="shared" ref="AA1010" si="349">AA1007-AA1009-AA1002</f>
        <v>2.5987461255435234</v>
      </c>
    </row>
    <row r="1011" spans="2:27" ht="13.5" hidden="1" outlineLevel="1" thickBot="1" x14ac:dyDescent="0.35">
      <c r="F1011" s="3" t="s">
        <v>68</v>
      </c>
      <c r="G1011" s="40">
        <f>IRR(G1010:AA1010)</f>
        <v>9.2340545037206789E-2</v>
      </c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 spans="2:27" ht="13.5" collapsed="1" thickTop="1" x14ac:dyDescent="0.3"/>
    <row r="1013" spans="2:27" x14ac:dyDescent="0.3">
      <c r="B1013" s="11" t="s">
        <v>164</v>
      </c>
      <c r="C1013" s="11" t="s">
        <v>52</v>
      </c>
    </row>
    <row r="1014" spans="2:27" x14ac:dyDescent="0.3">
      <c r="C1014" s="11" t="s">
        <v>141</v>
      </c>
      <c r="D1014" s="54">
        <f>D1045</f>
        <v>1265</v>
      </c>
    </row>
    <row r="1015" spans="2:27" x14ac:dyDescent="0.3">
      <c r="C1015" s="16" t="s">
        <v>78</v>
      </c>
      <c r="D1015" s="37">
        <f>(G1044+G1047+G1054)/G1050*1000</f>
        <v>0.35400533447974003</v>
      </c>
    </row>
    <row r="1016" spans="2:27" x14ac:dyDescent="0.3">
      <c r="C1016" s="13" t="s">
        <v>77</v>
      </c>
      <c r="D1016" s="39">
        <f>(G1025+G1028+G1035)/G1031*1000</f>
        <v>0.51219877208413311</v>
      </c>
    </row>
    <row r="1017" spans="2:27" x14ac:dyDescent="0.3">
      <c r="C1017" s="13" t="s">
        <v>61</v>
      </c>
      <c r="D1017" s="36">
        <f>G1038</f>
        <v>0.43987232447519364</v>
      </c>
    </row>
    <row r="1018" spans="2:27" x14ac:dyDescent="0.3">
      <c r="C1018" s="13" t="s">
        <v>73</v>
      </c>
      <c r="D1018" s="25">
        <f>SUM(G1037:AA1037)</f>
        <v>10.826137649983464</v>
      </c>
    </row>
    <row r="1019" spans="2:27" ht="13.5" thickBot="1" x14ac:dyDescent="0.35">
      <c r="C1019" s="23" t="s">
        <v>68</v>
      </c>
      <c r="D1019" s="26">
        <f>G1057</f>
        <v>0.12337944138227996</v>
      </c>
    </row>
    <row r="1020" spans="2:27" ht="13.5" hidden="1" outlineLevel="1" thickTop="1" x14ac:dyDescent="0.3">
      <c r="E1020" s="20"/>
      <c r="F1020" s="38" t="s">
        <v>75</v>
      </c>
    </row>
    <row r="1021" spans="2:27" hidden="1" outlineLevel="1" x14ac:dyDescent="0.3">
      <c r="C1021" s="11" t="s">
        <v>71</v>
      </c>
      <c r="F1021" s="13" t="s">
        <v>25</v>
      </c>
      <c r="G1021" s="14">
        <v>7.0000000000000007E-2</v>
      </c>
    </row>
    <row r="1022" spans="2:27" hidden="1" outlineLevel="1" x14ac:dyDescent="0.3">
      <c r="C1022" s="18" t="s">
        <v>53</v>
      </c>
      <c r="D1022" s="19">
        <f>分布式光伏电站IRR汇总!$B$2</f>
        <v>6</v>
      </c>
      <c r="F1022" s="13" t="s">
        <v>26</v>
      </c>
      <c r="G1022" s="14">
        <v>0.25</v>
      </c>
    </row>
    <row r="1023" spans="2:27" hidden="1" outlineLevel="1" x14ac:dyDescent="0.3">
      <c r="C1023" s="18" t="s">
        <v>56</v>
      </c>
      <c r="D1023" s="19">
        <f>分布式光伏电站IRR汇总!$B$3</f>
        <v>120</v>
      </c>
      <c r="F1023" s="1" t="s">
        <v>44</v>
      </c>
      <c r="G1023" s="4"/>
      <c r="H1023" s="5">
        <v>1</v>
      </c>
      <c r="I1023" s="5">
        <v>2</v>
      </c>
      <c r="J1023" s="5">
        <v>3</v>
      </c>
      <c r="K1023" s="5">
        <v>4</v>
      </c>
      <c r="L1023" s="5">
        <v>5</v>
      </c>
      <c r="M1023" s="5">
        <v>6</v>
      </c>
      <c r="N1023" s="5">
        <v>7</v>
      </c>
      <c r="O1023" s="5">
        <v>8</v>
      </c>
      <c r="P1023" s="5">
        <v>9</v>
      </c>
      <c r="Q1023" s="5">
        <v>10</v>
      </c>
      <c r="R1023" s="5">
        <v>11</v>
      </c>
      <c r="S1023" s="5">
        <v>12</v>
      </c>
      <c r="T1023" s="5">
        <v>13</v>
      </c>
      <c r="U1023" s="5">
        <v>14</v>
      </c>
      <c r="V1023" s="5">
        <v>15</v>
      </c>
      <c r="W1023" s="5">
        <v>16</v>
      </c>
      <c r="X1023" s="5">
        <v>17</v>
      </c>
      <c r="Y1023" s="5">
        <v>18</v>
      </c>
      <c r="Z1023" s="5">
        <v>19</v>
      </c>
      <c r="AA1023" s="5">
        <v>20</v>
      </c>
    </row>
    <row r="1024" spans="2:27" hidden="1" outlineLevel="1" x14ac:dyDescent="0.3">
      <c r="C1024" s="18" t="s">
        <v>57</v>
      </c>
      <c r="D1024" s="19">
        <f>分布式光伏电站IRR汇总!$B$4</f>
        <v>3</v>
      </c>
      <c r="F1024" s="16"/>
      <c r="G1024" s="2" t="s">
        <v>0</v>
      </c>
      <c r="H1024" s="2" t="s">
        <v>1</v>
      </c>
      <c r="I1024" s="2" t="s">
        <v>2</v>
      </c>
      <c r="J1024" s="2" t="s">
        <v>3</v>
      </c>
      <c r="K1024" s="2" t="s">
        <v>4</v>
      </c>
      <c r="L1024" s="2" t="s">
        <v>5</v>
      </c>
      <c r="M1024" s="2" t="s">
        <v>6</v>
      </c>
      <c r="N1024" s="2" t="s">
        <v>7</v>
      </c>
      <c r="O1024" s="2" t="s">
        <v>8</v>
      </c>
      <c r="P1024" s="2" t="s">
        <v>9</v>
      </c>
      <c r="Q1024" s="2" t="s">
        <v>10</v>
      </c>
      <c r="R1024" s="2" t="s">
        <v>11</v>
      </c>
      <c r="S1024" s="2" t="s">
        <v>12</v>
      </c>
      <c r="T1024" s="2" t="s">
        <v>13</v>
      </c>
      <c r="U1024" s="2" t="s">
        <v>45</v>
      </c>
      <c r="V1024" s="2" t="s">
        <v>46</v>
      </c>
      <c r="W1024" s="2" t="s">
        <v>47</v>
      </c>
      <c r="X1024" s="2" t="s">
        <v>48</v>
      </c>
      <c r="Y1024" s="2" t="s">
        <v>49</v>
      </c>
      <c r="Z1024" s="2" t="s">
        <v>50</v>
      </c>
      <c r="AA1024" s="2" t="s">
        <v>127</v>
      </c>
    </row>
    <row r="1025" spans="3:27" hidden="1" outlineLevel="1" x14ac:dyDescent="0.3">
      <c r="C1025" s="18" t="s">
        <v>54</v>
      </c>
      <c r="D1025" s="19">
        <f>分布式光伏电站IRR汇总!$B$5</f>
        <v>5</v>
      </c>
      <c r="F1025" s="6" t="s">
        <v>14</v>
      </c>
      <c r="G1025" s="33">
        <f>D1046</f>
        <v>24.611999999999995</v>
      </c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</row>
    <row r="1026" spans="3:27" hidden="1" outlineLevel="1" x14ac:dyDescent="0.3">
      <c r="C1026" s="18" t="s">
        <v>55</v>
      </c>
      <c r="D1026" s="19">
        <f>分布式光伏电站IRR汇总!$B$6</f>
        <v>15</v>
      </c>
      <c r="F1026" s="6" t="s">
        <v>15</v>
      </c>
      <c r="G1026" s="33">
        <f>SUM(H1027:AA1027)</f>
        <v>12.385144234005573</v>
      </c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</row>
    <row r="1027" spans="3:27" hidden="1" outlineLevel="1" x14ac:dyDescent="0.3">
      <c r="C1027" s="18" t="s">
        <v>42</v>
      </c>
      <c r="D1027" s="19">
        <f>分布式光伏电站IRR汇总!$B$7</f>
        <v>4.1019999999999994</v>
      </c>
      <c r="F1027" s="7" t="s">
        <v>16</v>
      </c>
      <c r="G1027" s="33"/>
      <c r="H1027" s="33">
        <f>D1046*(1-D1044)/D1040/((1+G1021)^H1023)</f>
        <v>1.0925887850467286</v>
      </c>
      <c r="I1027" s="33">
        <f>D1046*(1-D1044)/D1040/((1+G1021)^I1023)</f>
        <v>1.0211110140623632</v>
      </c>
      <c r="J1027" s="33">
        <f>D1046*(1-D1044)/D1040/((1+G1021)^J1023)</f>
        <v>0.95430935893678792</v>
      </c>
      <c r="K1027" s="33">
        <f>D1046*(1-D1044)/D1040/((1+G1021)^K1023)</f>
        <v>0.89187790554839996</v>
      </c>
      <c r="L1027" s="33">
        <f>D1046*(1-D1044)/D1040/((1+G1021)^L1023)</f>
        <v>0.83353075284897193</v>
      </c>
      <c r="M1027" s="33">
        <f>D1046*(1-D1044)/D1040/((1+G1021)^M1023)</f>
        <v>0.77900070359717</v>
      </c>
      <c r="N1027" s="33">
        <f>D1046*(1-D1044)/D1040/((1+G1021)^N1023)</f>
        <v>0.72803804074501866</v>
      </c>
      <c r="O1027" s="33">
        <f>D1046*(1-D1044)/D1040/((1+G1021)^O1023)</f>
        <v>0.6804093838738493</v>
      </c>
      <c r="P1027" s="33">
        <f>D1046*(1-D1044)/D1040/((1+G1021)^P1023)</f>
        <v>0.63589662044284967</v>
      </c>
      <c r="Q1027" s="33">
        <f>D1046*(1-D1044)/D1040/((1+G1021)^Q1023)</f>
        <v>0.59429590695593437</v>
      </c>
      <c r="R1027" s="33">
        <f>D1046*(1-D1044)/D1040/((1+G1021)^R1023)</f>
        <v>0.55541673547283577</v>
      </c>
      <c r="S1027" s="33">
        <f>D1046*(1-D1044)/D1040/((1+G1021)^S1023)</f>
        <v>0.51908106118956621</v>
      </c>
      <c r="T1027" s="33">
        <f>D1046*(1-D1044)/D1040/((1+G1021)^T1023)</f>
        <v>0.4851224870930525</v>
      </c>
      <c r="U1027" s="33">
        <f>D1046*(1-D1044)/D1040/((1+G1021)^U1023)</f>
        <v>0.45338550195612387</v>
      </c>
      <c r="V1027" s="33">
        <f>D1046*(1-D1044)/D1040/((1+G1021)^V1023)</f>
        <v>0.4237247681832933</v>
      </c>
      <c r="W1027" s="33">
        <f>D1046*(1-D1044)/D1040/((1+G1021)^W1023)</f>
        <v>0.39600445624606856</v>
      </c>
      <c r="X1027" s="33">
        <f>D1046*(1-D1044)/D1040/((1+G1021)^X1023)</f>
        <v>0.37009762265987711</v>
      </c>
      <c r="Y1027" s="33">
        <f>D1046*(1-D1044)/D1040/((1+G1021)^Y1023)</f>
        <v>0.34588562865409078</v>
      </c>
      <c r="Z1027" s="33">
        <f>D1046*(1-D1044)/D1040/((1+G1021)^Z1023)</f>
        <v>0.323257596872982</v>
      </c>
      <c r="AA1027" s="33">
        <f>D1046*(1-D1044)/D1040/((1+G1021)^AA1023)</f>
        <v>0.30210990361960938</v>
      </c>
    </row>
    <row r="1028" spans="3:27" hidden="1" outlineLevel="1" x14ac:dyDescent="0.3">
      <c r="C1028" s="21" t="s">
        <v>32</v>
      </c>
      <c r="D1028" s="19">
        <f>分布式光伏电站IRR汇总!$B$8</f>
        <v>1.8870000000000002</v>
      </c>
      <c r="F1028" s="6" t="s">
        <v>17</v>
      </c>
      <c r="G1028" s="33">
        <f>SUM(H1029:AA1029)</f>
        <v>2.5425634189238777</v>
      </c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</row>
    <row r="1029" spans="3:27" hidden="1" outlineLevel="1" x14ac:dyDescent="0.3">
      <c r="C1029" s="21" t="s">
        <v>33</v>
      </c>
      <c r="D1029" s="19">
        <f>分布式光伏电站IRR汇总!$B$9</f>
        <v>0.18500000000000003</v>
      </c>
      <c r="F1029" s="7" t="s">
        <v>18</v>
      </c>
      <c r="G1029" s="33"/>
      <c r="H1029" s="33">
        <f>D1043*D1022/((1+G1021)^H1023)</f>
        <v>0.22429906542056072</v>
      </c>
      <c r="I1029" s="33">
        <f>D1043*D1022/((1+G1021)^I1023)</f>
        <v>0.20962529478557079</v>
      </c>
      <c r="J1029" s="33">
        <f>D1043*D1022/((1+G1021)^J1023)</f>
        <v>0.19591149045380446</v>
      </c>
      <c r="K1029" s="33">
        <f>D1043*D1022/((1+G1021)^K1023)</f>
        <v>0.18309485089140604</v>
      </c>
      <c r="L1029" s="33">
        <f>D1043*D1022/((1+G1021)^L1023)</f>
        <v>0.17111668307608041</v>
      </c>
      <c r="M1029" s="33">
        <f>D1043*D1022/((1+G1021)^M1023)</f>
        <v>0.15992213371596301</v>
      </c>
      <c r="N1029" s="33">
        <f>D1043*D1022/((1+G1021)^N1023)</f>
        <v>0.14945993805230187</v>
      </c>
      <c r="O1029" s="33">
        <f>D1043*D1022/((1+G1021)^O1023)</f>
        <v>0.13968218509560923</v>
      </c>
      <c r="P1029" s="33">
        <f>D1043*D1022/((1+G1021)^P1023)</f>
        <v>0.13054409822019553</v>
      </c>
      <c r="Q1029" s="33">
        <f>D1043*D1022/((1+G1021)^Q1023)</f>
        <v>0.12200383011233226</v>
      </c>
      <c r="R1029" s="33">
        <f>D1043*D1022/((1+G1021)^R1023)</f>
        <v>0.1140222711330208</v>
      </c>
      <c r="S1029" s="33">
        <f>D1043*D1022/((1+G1021)^S1023)</f>
        <v>0.10656287021777647</v>
      </c>
      <c r="T1029" s="33">
        <f>D1043*D1022/((1+G1021)^T1023)</f>
        <v>9.9591467493249028E-2</v>
      </c>
      <c r="U1029" s="33">
        <f>D1043*D1022/((1+G1021)^U1023)</f>
        <v>9.3076137844157969E-2</v>
      </c>
      <c r="V1029" s="33">
        <f>D1043*D1022/((1+G1021)^V1023)</f>
        <v>8.6987044714166323E-2</v>
      </c>
      <c r="W1029" s="33">
        <f>D1043*D1022/((1+G1021)^W1023)</f>
        <v>8.1296303471183481E-2</v>
      </c>
      <c r="X1029" s="33">
        <f>D1043*D1022/((1+G1021)^X1023)</f>
        <v>7.5977853711386434E-2</v>
      </c>
      <c r="Y1029" s="33">
        <f>D1043*D1022/((1+G1021)^Y1023)</f>
        <v>7.1007339917183582E-2</v>
      </c>
      <c r="Z1029" s="33">
        <f>D1043*D1022/((1+G1021)^Z1023)</f>
        <v>6.6361999922601472E-2</v>
      </c>
      <c r="AA1029" s="33">
        <f>D1043*D1022/((1+G1021)^AA1023)</f>
        <v>6.2020560675328483E-2</v>
      </c>
    </row>
    <row r="1030" spans="3:27" hidden="1" outlineLevel="1" x14ac:dyDescent="0.3">
      <c r="C1030" s="21" t="s">
        <v>34</v>
      </c>
      <c r="D1030" s="19">
        <f>分布式光伏电站IRR汇总!$B$10</f>
        <v>0.222</v>
      </c>
      <c r="F1030" s="6" t="s">
        <v>19</v>
      </c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>
        <f>D1043*D1046/((1+G1021)^AA1023)</f>
        <v>0.2544083398901974</v>
      </c>
    </row>
    <row r="1031" spans="3:27" hidden="1" outlineLevel="1" x14ac:dyDescent="0.3">
      <c r="C1031" s="21" t="s">
        <v>35</v>
      </c>
      <c r="D1031" s="19">
        <f>分布式光伏电站IRR汇总!$B$11</f>
        <v>0.44400000000000001</v>
      </c>
      <c r="F1031" s="8" t="s">
        <v>64</v>
      </c>
      <c r="G1031" s="33">
        <f>SUM(H1032:AA1032)</f>
        <v>66046.43308663863</v>
      </c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</row>
    <row r="1032" spans="3:27" hidden="1" outlineLevel="1" x14ac:dyDescent="0.3">
      <c r="C1032" s="21" t="s">
        <v>36</v>
      </c>
      <c r="D1032" s="19">
        <f>分布式光伏电站IRR汇总!$B$12</f>
        <v>0.222</v>
      </c>
      <c r="F1032" s="9" t="s">
        <v>65</v>
      </c>
      <c r="G1032" s="33"/>
      <c r="H1032" s="33">
        <f>D1022*D1039*(1-D1041)*D1045/((1+G1021)^H1023)</f>
        <v>6020.0758878504666</v>
      </c>
      <c r="I1032" s="33">
        <f>D1022*D1039*(1-D1041)*(1-D1042)^(I1023-1)*D1045/((1+G1021)^I1023)</f>
        <v>5600.9210713599432</v>
      </c>
      <c r="J1032" s="33">
        <f>D1022*D1039*(1-D1041)*(1-D1042)^(J1023-1)*D1045/((1+G1021)^J1023)</f>
        <v>5210.9503986344143</v>
      </c>
      <c r="K1032" s="33">
        <f>D1022*D1039*(1-D1041)*(1-D1042)^(K1023-1)*D1045/((1+G1021)^K1023)</f>
        <v>4848.1318895706172</v>
      </c>
      <c r="L1032" s="33">
        <f>D1022*D1039*(1-D1041)*(1-D1042)^(L1023-1)*D1045/((1+G1021)^L1023)</f>
        <v>4510.5750430537846</v>
      </c>
      <c r="M1032" s="33">
        <f>D1022*D1039*(1-D1041)*(1-D1042)^(M1023-1)*D1045/((1+G1021)^M1023)</f>
        <v>4196.5209863177979</v>
      </c>
      <c r="N1032" s="33">
        <f>D1022*D1039*(1-D1041)*(1-D1042)^(N1023-1)*D1045/((1+G1021)^N1023)</f>
        <v>3904.333310167633</v>
      </c>
      <c r="O1032" s="33">
        <f>D1022*D1039*(1-D1041)*(1-D1042)^(O1023-1)*D1045/((1+G1021)^O1023)</f>
        <v>3632.4895423101666</v>
      </c>
      <c r="P1032" s="33">
        <f>D1022*D1039*(1-D1041)*(1-D1042)^(P1023-1)*D1045/((1+G1021)^P1023)</f>
        <v>3379.5732143642722</v>
      </c>
      <c r="Q1032" s="33">
        <f>D1022*D1039*(1-D1041)*(1-D1042)^(Q1023-1)*D1045/((1+G1021)^Q1023)</f>
        <v>3144.2664812146108</v>
      </c>
      <c r="R1032" s="33">
        <f>D1022*D1039*(1-D1041)*(1-D1042)^(R1023-1)*D1045/((1+G1021)^R1023)</f>
        <v>2925.3432542515375</v>
      </c>
      <c r="S1032" s="33">
        <f>D1022*D1039*(1-D1041)*(1-D1042)^(S1023-1)*D1045/((1+G1021)^S1023)</f>
        <v>2721.6628127172016</v>
      </c>
      <c r="T1032" s="33">
        <f>D1022*D1039*(1-D1041)*(1-D1042)^(T1023-1)*D1045/((1+G1021)^T1023)</f>
        <v>2532.1638598691352</v>
      </c>
      <c r="U1032" s="33">
        <f>D1022*D1039*(1-D1041)*(1-D1042)^(U1023-1)*D1045/((1+G1021)^U1023)</f>
        <v>2355.858992990396</v>
      </c>
      <c r="V1032" s="33">
        <f>D1022*D1039*(1-D1041)*(1-D1042)^(V1023-1)*D1045/((1+G1021)^V1023)</f>
        <v>2191.8295584317189</v>
      </c>
      <c r="W1032" s="33">
        <f>D1022*D1039*(1-D1041)*(1-D1042)^(W1023-1)*D1045/((1+G1021)^W1023)</f>
        <v>2039.2208648773615</v>
      </c>
      <c r="X1032" s="33">
        <f>D1022*D1039*(1-D1041)*(1-D1042)^(X1023-1)*D1045/((1+G1021)^X1023)</f>
        <v>1897.2377298929098</v>
      </c>
      <c r="Y1032" s="33">
        <f>D1022*D1039*(1-D1041)*(1-D1042)^(Y1023-1)*D1045/((1+G1021)^Y1023)</f>
        <v>1765.1403365498988</v>
      </c>
      <c r="Z1032" s="33">
        <f>D1022*D1039*(1-D1041)*(1-D1042)^(Z1023-1)*D1045/((1+G1021)^Z1023)</f>
        <v>1642.2403785377799</v>
      </c>
      <c r="AA1032" s="33">
        <f>D1022*D1039*(1-D1041)*(1-D1042)^(AA1023-1)*D1045/((1+G1021)^AA1023)</f>
        <v>1527.8974736769721</v>
      </c>
    </row>
    <row r="1033" spans="3:27" hidden="1" outlineLevel="1" x14ac:dyDescent="0.3">
      <c r="C1033" s="21" t="s">
        <v>37</v>
      </c>
      <c r="D1033" s="19">
        <f>分布式光伏电站IRR汇总!$B$13</f>
        <v>0.15</v>
      </c>
      <c r="F1033" s="4" t="s">
        <v>66</v>
      </c>
      <c r="G1033" s="33">
        <f>SUM(H1034:AA1034)</f>
        <v>45.665032207566632</v>
      </c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</row>
    <row r="1034" spans="3:27" hidden="1" outlineLevel="1" x14ac:dyDescent="0.3">
      <c r="C1034" s="21" t="s">
        <v>38</v>
      </c>
      <c r="D1034" s="19">
        <f>分布式光伏电站IRR汇总!$B$14</f>
        <v>3.7000000000000005E-2</v>
      </c>
      <c r="F1034" s="7" t="s">
        <v>67</v>
      </c>
      <c r="G1034" s="33"/>
      <c r="H1034" s="33">
        <f>H1032*D1050/1000</f>
        <v>4.1623286294669164</v>
      </c>
      <c r="I1034" s="33">
        <f>I1032*D1050/1000</f>
        <v>3.8725216361068355</v>
      </c>
      <c r="J1034" s="33">
        <f>J1032*D1050/1000</f>
        <v>3.6028927932190231</v>
      </c>
      <c r="K1034" s="33">
        <f>K1032*D1050/1000</f>
        <v>3.3520371735042414</v>
      </c>
      <c r="L1034" s="33">
        <f>L1032*D1050/1000</f>
        <v>3.1186476693677312</v>
      </c>
      <c r="M1034" s="33">
        <f>M1032*D1050/1000</f>
        <v>2.901508182108016</v>
      </c>
      <c r="N1034" s="33">
        <f>N1032*D1050/1000</f>
        <v>2.6994872853163829</v>
      </c>
      <c r="O1034" s="33">
        <f>O1032*D1050/1000</f>
        <v>2.5115323294695875</v>
      </c>
      <c r="P1034" s="33">
        <f>P1032*D1050/1000</f>
        <v>2.3366639569971728</v>
      </c>
      <c r="Q1034" s="33">
        <f>Q1032*D1050/1000</f>
        <v>2.173970999243632</v>
      </c>
      <c r="R1034" s="33">
        <f>R1032*D1050/1000</f>
        <v>2.022605728735547</v>
      </c>
      <c r="S1034" s="33">
        <f>S1032*D1050/1000</f>
        <v>1.881779442015175</v>
      </c>
      <c r="T1034" s="33">
        <f>T1032*D1050/1000</f>
        <v>1.7507583500243991</v>
      </c>
      <c r="U1034" s="33">
        <f>U1032*D1050/1000</f>
        <v>1.6288597546255037</v>
      </c>
      <c r="V1034" s="33">
        <f>V1032*D1050/1000</f>
        <v>1.5154484913361579</v>
      </c>
      <c r="W1034" s="33">
        <f>W1032*D1050/1000</f>
        <v>1.4099336197431269</v>
      </c>
      <c r="X1034" s="33">
        <f>X1032*D1050/1000</f>
        <v>1.311765344349797</v>
      </c>
      <c r="Y1034" s="33">
        <f>Y1032*D1050/1000</f>
        <v>1.2204321498132924</v>
      </c>
      <c r="Z1034" s="33">
        <f>Z1032*D1050/1000</f>
        <v>1.1354581356440494</v>
      </c>
      <c r="AA1034" s="33">
        <f>AA1032*D1050/1000</f>
        <v>1.0564005364800479</v>
      </c>
    </row>
    <row r="1035" spans="3:27" hidden="1" outlineLevel="1" x14ac:dyDescent="0.3">
      <c r="C1035" s="21" t="s">
        <v>39</v>
      </c>
      <c r="D1035" s="19">
        <f>分布式光伏电站IRR汇总!$B$15</f>
        <v>0.25900000000000006</v>
      </c>
      <c r="F1035" s="4" t="s">
        <v>20</v>
      </c>
      <c r="G1035" s="33">
        <f>SUM(H1036:V1036)</f>
        <v>6.6743385085892957</v>
      </c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</row>
    <row r="1036" spans="3:27" hidden="1" outlineLevel="1" x14ac:dyDescent="0.3">
      <c r="C1036" s="21" t="s">
        <v>40</v>
      </c>
      <c r="D1036" s="19">
        <f>分布式光伏电站IRR汇总!$B$16</f>
        <v>7.400000000000001E-2</v>
      </c>
      <c r="F1036" s="7" t="s">
        <v>21</v>
      </c>
      <c r="G1036" s="33"/>
      <c r="H1036" s="33">
        <f>(H1034-H1027-H1029)*G1022</f>
        <v>0.71136019474990675</v>
      </c>
      <c r="I1036" s="33">
        <f>(I1034-I1027-I1029)*G1022</f>
        <v>0.66044633181472534</v>
      </c>
      <c r="J1036" s="33">
        <f>(J1034-J1027-J1029)*G1022</f>
        <v>0.61316798595710775</v>
      </c>
      <c r="K1036" s="33">
        <f>(K1034-K1027-K1029)*G1022</f>
        <v>0.56926610426610891</v>
      </c>
      <c r="L1036" s="33">
        <f>(L1034-L1027-L1029)*G1022</f>
        <v>0.5285000583606696</v>
      </c>
      <c r="M1036" s="33">
        <f>(M1034-M1027-M1029)*G1022</f>
        <v>0.49064633619872067</v>
      </c>
      <c r="N1036" s="33">
        <f>(N1034-N1027-N1029)*G1022</f>
        <v>0.45549732662976561</v>
      </c>
      <c r="O1036" s="33">
        <f>(O1034-O1027-O1029)*G1022</f>
        <v>0.42286019012503229</v>
      </c>
      <c r="P1036" s="33">
        <f>(P1034-P1027-P1029)*G1022</f>
        <v>0.39255580958353187</v>
      </c>
      <c r="Q1036" s="33">
        <f>(Q1034-Q1027-Q1029)*G1022</f>
        <v>0.36441781554384134</v>
      </c>
      <c r="R1036" s="33">
        <f>(R1034-R1027-R1029)*G1022</f>
        <v>0.33829168053242265</v>
      </c>
      <c r="S1036" s="33">
        <f>(S1034-S1027-S1029)*G1022</f>
        <v>0.31403387765195806</v>
      </c>
      <c r="T1036" s="33">
        <f>(T1034-T1027-T1029)*G1022</f>
        <v>0.29151109885952436</v>
      </c>
      <c r="U1036" s="33">
        <f>(U1034-U1027-U1029)*G1022</f>
        <v>0.27059952870630544</v>
      </c>
      <c r="V1036" s="33">
        <f>(V1034-V1027-V1029)*G1022</f>
        <v>0.2511841696096746</v>
      </c>
      <c r="W1036" s="33">
        <f>(W1034-W1027-W1029)*G1022</f>
        <v>0.23315821500646874</v>
      </c>
      <c r="X1036" s="33">
        <f>(X1034-X1027-X1029)*G1022</f>
        <v>0.21642246699463336</v>
      </c>
      <c r="Y1036" s="33">
        <f>(Y1034-Y1027-Y1029)*G1022</f>
        <v>0.20088479531050452</v>
      </c>
      <c r="Z1036" s="33">
        <f>(Z1034-Z1027-Z1029)*G1022</f>
        <v>0.18645963471211646</v>
      </c>
      <c r="AA1036" s="33">
        <f>(AA1034-AA1027-AA1029)*G1022</f>
        <v>0.17306751804627754</v>
      </c>
    </row>
    <row r="1037" spans="3:27" hidden="1" outlineLevel="1" x14ac:dyDescent="0.3">
      <c r="C1037" s="21" t="s">
        <v>41</v>
      </c>
      <c r="D1037" s="19">
        <f>分布式光伏电站IRR汇总!$B$17</f>
        <v>0.222</v>
      </c>
      <c r="F1037" s="10" t="s">
        <v>22</v>
      </c>
      <c r="G1037" s="33">
        <f>-G1025</f>
        <v>-24.611999999999995</v>
      </c>
      <c r="H1037" s="33">
        <f t="shared" ref="H1037:AA1037" si="350">H1034-H1036-H1029</f>
        <v>3.2266693692964488</v>
      </c>
      <c r="I1037" s="33">
        <f t="shared" si="350"/>
        <v>3.0024500095065392</v>
      </c>
      <c r="J1037" s="33">
        <f t="shared" si="350"/>
        <v>2.793813316808111</v>
      </c>
      <c r="K1037" s="33">
        <f t="shared" si="350"/>
        <v>2.5996762183467266</v>
      </c>
      <c r="L1037" s="33">
        <f t="shared" si="350"/>
        <v>2.4190309279309812</v>
      </c>
      <c r="M1037" s="33">
        <f t="shared" si="350"/>
        <v>2.2509397121933321</v>
      </c>
      <c r="N1037" s="33">
        <f t="shared" si="350"/>
        <v>2.0945300206343154</v>
      </c>
      <c r="O1037" s="33">
        <f t="shared" si="350"/>
        <v>1.9489899542489462</v>
      </c>
      <c r="P1037" s="33">
        <f t="shared" si="350"/>
        <v>1.8135640491934453</v>
      </c>
      <c r="Q1037" s="33">
        <f t="shared" si="350"/>
        <v>1.6875493535874584</v>
      </c>
      <c r="R1037" s="33">
        <f t="shared" si="350"/>
        <v>1.5702917770701035</v>
      </c>
      <c r="S1037" s="33">
        <f t="shared" si="350"/>
        <v>1.4611826941454404</v>
      </c>
      <c r="T1037" s="33">
        <f t="shared" si="350"/>
        <v>1.3596557836716257</v>
      </c>
      <c r="U1037" s="33">
        <f t="shared" si="350"/>
        <v>1.2651840880750402</v>
      </c>
      <c r="V1037" s="33">
        <f t="shared" si="350"/>
        <v>1.177277277012317</v>
      </c>
      <c r="W1037" s="33">
        <f t="shared" si="350"/>
        <v>1.0954791012654745</v>
      </c>
      <c r="X1037" s="33">
        <f t="shared" si="350"/>
        <v>1.0193650236437772</v>
      </c>
      <c r="Y1037" s="33">
        <f t="shared" si="350"/>
        <v>0.94854001458560422</v>
      </c>
      <c r="Z1037" s="33">
        <f t="shared" si="350"/>
        <v>0.88263650100933144</v>
      </c>
      <c r="AA1037" s="33">
        <f t="shared" si="350"/>
        <v>0.82131245775844197</v>
      </c>
    </row>
    <row r="1038" spans="3:27" ht="13.5" hidden="1" outlineLevel="1" thickBot="1" x14ac:dyDescent="0.35">
      <c r="C1038" s="21" t="s">
        <v>74</v>
      </c>
      <c r="D1038" s="19">
        <f>分布式光伏电站IRR汇总!$B$18</f>
        <v>0.4</v>
      </c>
      <c r="F1038" s="3" t="s">
        <v>61</v>
      </c>
      <c r="G1038" s="35">
        <f>SUM(G1037:AA1037)/G1025</f>
        <v>0.43987232447519364</v>
      </c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 spans="3:27" ht="13.5" hidden="1" outlineLevel="1" thickTop="1" x14ac:dyDescent="0.3">
      <c r="C1039" s="18" t="s">
        <v>58</v>
      </c>
      <c r="D1039" s="19">
        <f>分布式光伏电站IRR汇总!$B$19</f>
        <v>0.86599999999999999</v>
      </c>
    </row>
    <row r="1040" spans="3:27" hidden="1" outlineLevel="1" x14ac:dyDescent="0.3">
      <c r="C1040" s="18" t="s">
        <v>62</v>
      </c>
      <c r="D1040" s="19">
        <f>分布式光伏电站IRR汇总!$B$20</f>
        <v>20</v>
      </c>
      <c r="F1040" s="13" t="s">
        <v>25</v>
      </c>
      <c r="G1040" s="14">
        <v>0</v>
      </c>
    </row>
    <row r="1041" spans="3:27" hidden="1" outlineLevel="1" x14ac:dyDescent="0.3">
      <c r="C1041" s="18" t="s">
        <v>59</v>
      </c>
      <c r="D1041" s="52">
        <f>分布式光伏电站IRR汇总!$B$21</f>
        <v>0.02</v>
      </c>
      <c r="F1041" s="13" t="s">
        <v>26</v>
      </c>
      <c r="G1041" s="14">
        <v>0.25</v>
      </c>
      <c r="Q1041" s="15"/>
    </row>
    <row r="1042" spans="3:27" hidden="1" outlineLevel="1" x14ac:dyDescent="0.3">
      <c r="C1042" s="18" t="s">
        <v>60</v>
      </c>
      <c r="D1042" s="52">
        <f>分布式光伏电站IRR汇总!$B$22</f>
        <v>4.4999999999999997E-3</v>
      </c>
      <c r="F1042" s="1" t="s">
        <v>44</v>
      </c>
      <c r="G1042" s="4"/>
      <c r="H1042" s="5">
        <v>1</v>
      </c>
      <c r="I1042" s="5">
        <v>2</v>
      </c>
      <c r="J1042" s="5">
        <v>3</v>
      </c>
      <c r="K1042" s="5">
        <v>4</v>
      </c>
      <c r="L1042" s="5">
        <v>5</v>
      </c>
      <c r="M1042" s="5">
        <v>6</v>
      </c>
      <c r="N1042" s="5">
        <v>7</v>
      </c>
      <c r="O1042" s="5">
        <v>8</v>
      </c>
      <c r="P1042" s="5">
        <v>9</v>
      </c>
      <c r="Q1042" s="5">
        <v>10</v>
      </c>
      <c r="R1042" s="5">
        <v>11</v>
      </c>
      <c r="S1042" s="5">
        <v>12</v>
      </c>
      <c r="T1042" s="5">
        <v>13</v>
      </c>
      <c r="U1042" s="5">
        <v>14</v>
      </c>
      <c r="V1042" s="5">
        <v>15</v>
      </c>
      <c r="W1042" s="5">
        <v>16</v>
      </c>
      <c r="X1042" s="5">
        <v>17</v>
      </c>
      <c r="Y1042" s="5">
        <v>18</v>
      </c>
      <c r="Z1042" s="5">
        <v>19</v>
      </c>
      <c r="AA1042" s="5">
        <v>20</v>
      </c>
    </row>
    <row r="1043" spans="3:27" hidden="1" outlineLevel="1" x14ac:dyDescent="0.3">
      <c r="C1043" s="18" t="s">
        <v>28</v>
      </c>
      <c r="D1043" s="29">
        <f>分布式光伏电站IRR汇总!$B$23</f>
        <v>0.04</v>
      </c>
      <c r="F1043" s="16"/>
      <c r="G1043" s="2" t="s">
        <v>0</v>
      </c>
      <c r="H1043" s="2" t="s">
        <v>1</v>
      </c>
      <c r="I1043" s="2" t="s">
        <v>2</v>
      </c>
      <c r="J1043" s="2" t="s">
        <v>3</v>
      </c>
      <c r="K1043" s="2" t="s">
        <v>4</v>
      </c>
      <c r="L1043" s="2" t="s">
        <v>5</v>
      </c>
      <c r="M1043" s="2" t="s">
        <v>6</v>
      </c>
      <c r="N1043" s="2" t="s">
        <v>7</v>
      </c>
      <c r="O1043" s="2" t="s">
        <v>8</v>
      </c>
      <c r="P1043" s="2" t="s">
        <v>9</v>
      </c>
      <c r="Q1043" s="2" t="s">
        <v>10</v>
      </c>
      <c r="R1043" s="2" t="s">
        <v>11</v>
      </c>
      <c r="S1043" s="2" t="s">
        <v>12</v>
      </c>
      <c r="T1043" s="2" t="s">
        <v>13</v>
      </c>
      <c r="U1043" s="2" t="s">
        <v>45</v>
      </c>
      <c r="V1043" s="2" t="s">
        <v>46</v>
      </c>
      <c r="W1043" s="2" t="s">
        <v>47</v>
      </c>
      <c r="X1043" s="2" t="s">
        <v>48</v>
      </c>
      <c r="Y1043" s="2" t="s">
        <v>49</v>
      </c>
      <c r="Z1043" s="2" t="s">
        <v>50</v>
      </c>
      <c r="AA1043" s="2" t="s">
        <v>51</v>
      </c>
    </row>
    <row r="1044" spans="3:27" hidden="1" outlineLevel="1" x14ac:dyDescent="0.3">
      <c r="C1044" s="18" t="s">
        <v>43</v>
      </c>
      <c r="D1044" s="19">
        <f>分布式光伏电站IRR汇总!$B$24</f>
        <v>0.05</v>
      </c>
      <c r="F1044" s="6" t="s">
        <v>14</v>
      </c>
      <c r="G1044" s="33">
        <f>D1046</f>
        <v>24.611999999999995</v>
      </c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</row>
    <row r="1045" spans="3:27" hidden="1" outlineLevel="1" x14ac:dyDescent="0.3">
      <c r="C1045" s="18" t="s">
        <v>126</v>
      </c>
      <c r="D1045" s="28">
        <f>Backup分地区光伏小时数及电价!E23</f>
        <v>1265</v>
      </c>
      <c r="F1045" s="6" t="s">
        <v>15</v>
      </c>
      <c r="G1045" s="33">
        <f>SUM(H1046:AA1046)</f>
        <v>23.381399999999985</v>
      </c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</row>
    <row r="1046" spans="3:27" hidden="1" outlineLevel="1" x14ac:dyDescent="0.3">
      <c r="C1046" s="24" t="s">
        <v>14</v>
      </c>
      <c r="D1046" s="30">
        <f>D1022*D1027</f>
        <v>24.611999999999995</v>
      </c>
      <c r="F1046" s="7" t="s">
        <v>16</v>
      </c>
      <c r="G1046" s="33"/>
      <c r="H1046" s="33">
        <f>D1046*(1-D1044)/D1040/((1+G1040)^H1042)</f>
        <v>1.1690699999999996</v>
      </c>
      <c r="I1046" s="33">
        <f>D1046*(1-D1044)/D1040/((1+G1040)^I1042)</f>
        <v>1.1690699999999996</v>
      </c>
      <c r="J1046" s="33">
        <f>D1046*(1-D1044)/D1040/((1+G1040)^J1042)</f>
        <v>1.1690699999999996</v>
      </c>
      <c r="K1046" s="33">
        <f>D1046*(1-D1044)/D1040/((1+G1040)^K1042)</f>
        <v>1.1690699999999996</v>
      </c>
      <c r="L1046" s="33">
        <f>D1046*(1-D1044)/D1040/((1+G1040)^L1042)</f>
        <v>1.1690699999999996</v>
      </c>
      <c r="M1046" s="33">
        <f>D1046*(1-D1044)/D1040/((1+G1040)^M1042)</f>
        <v>1.1690699999999996</v>
      </c>
      <c r="N1046" s="33">
        <f>D1046*(1-D1044)/D1040/((1+G1040)^N1042)</f>
        <v>1.1690699999999996</v>
      </c>
      <c r="O1046" s="33">
        <f>D1046*(1-D1044)/D1040/((1+G1040)^O1042)</f>
        <v>1.1690699999999996</v>
      </c>
      <c r="P1046" s="33">
        <f>D1046*(1-D1044)/D1040/((1+G1040)^P1042)</f>
        <v>1.1690699999999996</v>
      </c>
      <c r="Q1046" s="33">
        <f>D1046*(1-D1044)/D1040/((1+G1040)^Q1042)</f>
        <v>1.1690699999999996</v>
      </c>
      <c r="R1046" s="33">
        <f>D1046*(1-D1044)/D1040/((1+G1040)^R1042)</f>
        <v>1.1690699999999996</v>
      </c>
      <c r="S1046" s="33">
        <f>D1046*(1-D1044)/D1040/((1+G1040)^S1042)</f>
        <v>1.1690699999999996</v>
      </c>
      <c r="T1046" s="33">
        <f>D1046*(1-D1044)/D1040/((1+G1040)^T1042)</f>
        <v>1.1690699999999996</v>
      </c>
      <c r="U1046" s="33">
        <f>D1046*(1-D1044)/D1040/((1+G1040)^U1042)</f>
        <v>1.1690699999999996</v>
      </c>
      <c r="V1046" s="33">
        <f>D1046*(1-D1044)/D1040/((1+G1040)^V1042)</f>
        <v>1.1690699999999996</v>
      </c>
      <c r="W1046" s="33">
        <f>D1046*(1-D1044)/D1040/((1+G1040)^W1042)</f>
        <v>1.1690699999999996</v>
      </c>
      <c r="X1046" s="33">
        <f>D1046*(1-D1044)/D1040/((1+G1040)^X1042)</f>
        <v>1.1690699999999996</v>
      </c>
      <c r="Y1046" s="33">
        <f>D1046*(1-D1044)/D1040/((1+G1040)^Y1042)</f>
        <v>1.1690699999999996</v>
      </c>
      <c r="Z1046" s="33">
        <f>D1046*(1-D1044)/D1040/((1+G1040)^Z1042)</f>
        <v>1.1690699999999996</v>
      </c>
      <c r="AA1046" s="33">
        <f>D1046*(1-D1044)/D1040/((1+G1040)^AA1042)</f>
        <v>1.1690699999999996</v>
      </c>
    </row>
    <row r="1047" spans="3:27" hidden="1" outlineLevel="1" x14ac:dyDescent="0.3">
      <c r="C1047" s="18" t="s">
        <v>29</v>
      </c>
      <c r="D1047" s="29">
        <v>0.35980000000000001</v>
      </c>
      <c r="F1047" s="6" t="s">
        <v>17</v>
      </c>
      <c r="G1047" s="33">
        <f>SUM(H1048:AA1048)</f>
        <v>4.8000000000000025</v>
      </c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</row>
    <row r="1048" spans="3:27" hidden="1" outlineLevel="1" x14ac:dyDescent="0.3">
      <c r="C1048" s="18" t="s">
        <v>30</v>
      </c>
      <c r="D1048" s="31">
        <f>Backup分地区光伏小时数及电价!I23</f>
        <v>0.69140800000000002</v>
      </c>
      <c r="F1048" s="7" t="s">
        <v>18</v>
      </c>
      <c r="G1048" s="33"/>
      <c r="H1048" s="33">
        <f>D1043*D1022/((1+G1040)^H1042)</f>
        <v>0.24</v>
      </c>
      <c r="I1048" s="33">
        <f>D1043*D1022/((1+G1040)^I1042)</f>
        <v>0.24</v>
      </c>
      <c r="J1048" s="33">
        <f>D1043*D1022/((1+G1040)^J1042)</f>
        <v>0.24</v>
      </c>
      <c r="K1048" s="33">
        <f>D1043*D1022/((1+G1040)^K1042)</f>
        <v>0.24</v>
      </c>
      <c r="L1048" s="33">
        <f>D1043*D1022/((1+G1040)^L1042)</f>
        <v>0.24</v>
      </c>
      <c r="M1048" s="33">
        <f>D1043*D1022/((1+G1040)^M1042)</f>
        <v>0.24</v>
      </c>
      <c r="N1048" s="33">
        <f>D1043*D1022/((1+G1040)^N1042)</f>
        <v>0.24</v>
      </c>
      <c r="O1048" s="33">
        <f>D1043*D1022/((1+G1040)^O1042)</f>
        <v>0.24</v>
      </c>
      <c r="P1048" s="33">
        <f>D1043*D1022/((1+G1040)^P1042)</f>
        <v>0.24</v>
      </c>
      <c r="Q1048" s="33">
        <f>D1043*D1022/((1+G1040)^Q1042)</f>
        <v>0.24</v>
      </c>
      <c r="R1048" s="33">
        <f>D1043*D1022/((1+G1040)^R1042)</f>
        <v>0.24</v>
      </c>
      <c r="S1048" s="33">
        <f>D1043*D1022/((1+G1040)^S1042)</f>
        <v>0.24</v>
      </c>
      <c r="T1048" s="33">
        <f>D1043*D1022/((1+G1040)^T1042)</f>
        <v>0.24</v>
      </c>
      <c r="U1048" s="33">
        <f>D1043*D1022/((1+G1040)^U1042)</f>
        <v>0.24</v>
      </c>
      <c r="V1048" s="33">
        <f>D1043*D1022/((1+G1040)^V1042)</f>
        <v>0.24</v>
      </c>
      <c r="W1048" s="33">
        <f>D1043*D1022/((1+G1040)^W1042)</f>
        <v>0.24</v>
      </c>
      <c r="X1048" s="33">
        <f>D1043*D1022/((1+G1040)^X1042)</f>
        <v>0.24</v>
      </c>
      <c r="Y1048" s="33">
        <f>D1043*D1022/((1+G1040)^Y1042)</f>
        <v>0.24</v>
      </c>
      <c r="Z1048" s="33">
        <f>D1043*D1022/((1+G1040)^Z1042)</f>
        <v>0.24</v>
      </c>
      <c r="AA1048" s="33">
        <f>D1043*D1022/((1+G1040)^AA1042)</f>
        <v>0.24</v>
      </c>
    </row>
    <row r="1049" spans="3:27" hidden="1" outlineLevel="1" x14ac:dyDescent="0.3">
      <c r="C1049" s="18" t="s">
        <v>70</v>
      </c>
      <c r="D1049" s="32">
        <f>分布式光伏电站IRR汇总!$B$27</f>
        <v>1</v>
      </c>
      <c r="F1049" s="6" t="s">
        <v>19</v>
      </c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>
        <f>D1043*D1046/((1+G1040)^AA1042)</f>
        <v>0.9844799999999998</v>
      </c>
    </row>
    <row r="1050" spans="3:27" hidden="1" outlineLevel="1" x14ac:dyDescent="0.3">
      <c r="C1050" s="18" t="s">
        <v>69</v>
      </c>
      <c r="D1050" s="31">
        <f>D1049*D1048</f>
        <v>0.69140800000000002</v>
      </c>
      <c r="F1050" s="8" t="s">
        <v>64</v>
      </c>
      <c r="G1050" s="33">
        <f>SUM(H1051:AA1051)</f>
        <v>123468.05574534679</v>
      </c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</row>
    <row r="1051" spans="3:27" hidden="1" outlineLevel="1" x14ac:dyDescent="0.3">
      <c r="C1051" s="18" t="s">
        <v>31</v>
      </c>
      <c r="D1051" s="27">
        <v>0</v>
      </c>
      <c r="F1051" s="9" t="s">
        <v>65</v>
      </c>
      <c r="G1051" s="33"/>
      <c r="H1051" s="33">
        <f>D1022*D1039*(1-D1041)*D1045/((1+G1040)^H1042)</f>
        <v>6441.4811999999993</v>
      </c>
      <c r="I1051" s="33">
        <f>D1022*D1039*(1-D1041)*(1-D1042)^(I1042-1)*D1045/((1+G1040)^I1042)</f>
        <v>6412.4945345999995</v>
      </c>
      <c r="J1051" s="33">
        <f>D1022*D1039*(1-D1041)*(1-D1042)^(J1042-1)*D1045/((1+G1040)^J1042)</f>
        <v>6383.6383091942998</v>
      </c>
      <c r="K1051" s="33">
        <f>D1022*D1039*(1-D1041)*(1-D1042)^(K1042-1)*D1045/((1+G1040)^K1042)</f>
        <v>6354.911936802926</v>
      </c>
      <c r="L1051" s="33">
        <f>D1022*D1039*(1-D1041)*(1-D1042)^(L1042-1)*D1045/((1+G1040)^L1042)</f>
        <v>6326.3148330873137</v>
      </c>
      <c r="M1051" s="33">
        <f>D1022*D1039*(1-D1041)*(1-D1042)^(M1042-1)*D1045/((1+G1040)^M1042)</f>
        <v>6297.8464163384215</v>
      </c>
      <c r="N1051" s="33">
        <f>D1022*D1039*(1-D1041)*(1-D1042)^(N1042-1)*D1045/((1+G1040)^N1042)</f>
        <v>6269.5061074648984</v>
      </c>
      <c r="O1051" s="33">
        <f>D1022*D1039*(1-D1041)*(1-D1042)^(O1042-1)*D1045/((1+G1040)^O1042)</f>
        <v>6241.2933299813058</v>
      </c>
      <c r="P1051" s="33">
        <f>D1022*D1039*(1-D1041)*(1-D1042)^(P1042-1)*D1045/((1+G1040)^P1042)</f>
        <v>6213.2075099963913</v>
      </c>
      <c r="Q1051" s="33">
        <f>D1022*D1039*(1-D1041)*(1-D1042)^(Q1042-1)*D1045/((1+G1040)^Q1042)</f>
        <v>6185.2480762014084</v>
      </c>
      <c r="R1051" s="33">
        <f>D1022*D1039*(1-D1041)*(1-D1042)^(R1042-1)*D1045/((1+G1040)^R1042)</f>
        <v>6157.4144598585026</v>
      </c>
      <c r="S1051" s="33">
        <f>D1022*D1039*(1-D1041)*(1-D1042)^(S1042-1)*D1045/((1+G1040)^S1042)</f>
        <v>6129.7060947891387</v>
      </c>
      <c r="T1051" s="33">
        <f>D1022*D1039*(1-D1041)*(1-D1042)^(T1042-1)*D1045/((1+G1040)^T1042)</f>
        <v>6102.1224173625887</v>
      </c>
      <c r="U1051" s="33">
        <f>D1022*D1039*(1-D1041)*(1-D1042)^(U1042-1)*D1045/((1+G1040)^U1042)</f>
        <v>6074.6628664844566</v>
      </c>
      <c r="V1051" s="33">
        <f>D1022*D1039*(1-D1041)*(1-D1042)^(V1042-1)*D1045/((1+G1040)^V1042)</f>
        <v>6047.3268835852768</v>
      </c>
      <c r="W1051" s="33">
        <f>D1022*D1039*(1-D1041)*(1-D1042)^(W1042-1)*D1045/((1+G1040)^W1042)</f>
        <v>6020.1139126091439</v>
      </c>
      <c r="X1051" s="33">
        <f>D1022*D1039*(1-D1041)*(1-D1042)^(X1042-1)*D1045/((1+G1040)^X1042)</f>
        <v>5993.0234000024029</v>
      </c>
      <c r="Y1051" s="33">
        <f>D1022*D1039*(1-D1041)*(1-D1042)^(Y1042-1)*D1045/((1+G1040)^Y1042)</f>
        <v>5966.0547947023924</v>
      </c>
      <c r="Z1051" s="33">
        <f>D1022*D1039*(1-D1041)*(1-D1042)^(Z1042-1)*D1045/((1+G1040)^Z1042)</f>
        <v>5939.2075481262327</v>
      </c>
      <c r="AA1051" s="33">
        <f>D1022*D1039*(1-D1041)*(1-D1042)^(AA1042-1)*D1045/((1+G1040)^AA1042)</f>
        <v>5912.4811141596656</v>
      </c>
    </row>
    <row r="1052" spans="3:27" hidden="1" outlineLevel="1" x14ac:dyDescent="0.3">
      <c r="F1052" s="4" t="s">
        <v>66</v>
      </c>
      <c r="G1052" s="33">
        <f>SUM(H1053:AA1053)</f>
        <v>85.366801486778726</v>
      </c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</row>
    <row r="1053" spans="3:27" hidden="1" outlineLevel="1" x14ac:dyDescent="0.3">
      <c r="F1053" s="7" t="s">
        <v>67</v>
      </c>
      <c r="G1053" s="33"/>
      <c r="H1053" s="33">
        <f>H1051*D1050/1000</f>
        <v>4.4536916335296004</v>
      </c>
      <c r="I1053" s="33">
        <f>I1051*D1050/1000</f>
        <v>4.4336500211787166</v>
      </c>
      <c r="J1053" s="33">
        <f>J1051*D1050/1000</f>
        <v>4.413698596083413</v>
      </c>
      <c r="K1053" s="33">
        <f>K1051*D1050/1000</f>
        <v>4.3938369524010374</v>
      </c>
      <c r="L1053" s="33">
        <f>L1051*D1050/1000</f>
        <v>4.3740646861152337</v>
      </c>
      <c r="M1053" s="33">
        <f>M1051*D1050/1000</f>
        <v>4.3543813950277155</v>
      </c>
      <c r="N1053" s="33">
        <f>N1051*D1050/1000</f>
        <v>4.334786678750091</v>
      </c>
      <c r="O1053" s="33">
        <f>O1051*D1050/1000</f>
        <v>4.315280138695714</v>
      </c>
      <c r="P1053" s="33">
        <f>P1051*D1050/1000</f>
        <v>4.2958613780715851</v>
      </c>
      <c r="Q1053" s="33">
        <f>Q1051*D1050/1000</f>
        <v>4.2765300018702641</v>
      </c>
      <c r="R1053" s="33">
        <f>R1051*D1050/1000</f>
        <v>4.2572856168618474</v>
      </c>
      <c r="S1053" s="33">
        <f>S1051*D1050/1000</f>
        <v>4.2381278315859694</v>
      </c>
      <c r="T1053" s="33">
        <f>T1051*D1050/1000</f>
        <v>4.2190562563438325</v>
      </c>
      <c r="U1053" s="33">
        <f>U1051*D1050/1000</f>
        <v>4.2000705031902852</v>
      </c>
      <c r="V1053" s="33">
        <f>V1051*D1050/1000</f>
        <v>4.1811701859259296</v>
      </c>
      <c r="W1053" s="33">
        <f>W1051*D1050/1000</f>
        <v>4.1623549200892631</v>
      </c>
      <c r="X1053" s="33">
        <f>X1051*D1050/1000</f>
        <v>4.1436243229488614</v>
      </c>
      <c r="Y1053" s="33">
        <f>Y1051*D1050/1000</f>
        <v>4.1249780134955918</v>
      </c>
      <c r="Z1053" s="33">
        <f>Z1051*D1050/1000</f>
        <v>4.106415612434863</v>
      </c>
      <c r="AA1053" s="33">
        <f>AA1051*D1050/1000</f>
        <v>4.0879367421789059</v>
      </c>
    </row>
    <row r="1054" spans="3:27" hidden="1" outlineLevel="1" x14ac:dyDescent="0.3">
      <c r="F1054" s="4" t="s">
        <v>20</v>
      </c>
      <c r="G1054" s="33">
        <f>SUM(H1055:AA1055)</f>
        <v>14.296350371694681</v>
      </c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</row>
    <row r="1055" spans="3:27" hidden="1" outlineLevel="1" x14ac:dyDescent="0.3">
      <c r="F1055" s="7" t="s">
        <v>21</v>
      </c>
      <c r="G1055" s="33"/>
      <c r="H1055" s="33">
        <f>(H1053-H1046-H1048)*G1041</f>
        <v>0.76115540838240014</v>
      </c>
      <c r="I1055" s="33">
        <f>(I1053-I1046-I1048)*G1041</f>
        <v>0.75614500529467921</v>
      </c>
      <c r="J1055" s="33">
        <f>(J1053-J1046-J1048)*G1041</f>
        <v>0.75115714902085329</v>
      </c>
      <c r="K1055" s="33">
        <f>(K1053-K1046-K1048)*G1041</f>
        <v>0.74619173810025941</v>
      </c>
      <c r="L1055" s="33">
        <f>(L1053-L1046-L1048)*G1041</f>
        <v>0.74124867152880847</v>
      </c>
      <c r="M1055" s="33">
        <f>(M1053-M1046-M1048)*G1041</f>
        <v>0.73632784875692892</v>
      </c>
      <c r="N1055" s="33">
        <f>(N1053-N1046-N1048)*G1041</f>
        <v>0.73142916968752281</v>
      </c>
      <c r="O1055" s="33">
        <f>(O1053-O1046-O1048)*G1041</f>
        <v>0.72655253467392855</v>
      </c>
      <c r="P1055" s="33">
        <f>(P1053-P1046-P1048)*G1041</f>
        <v>0.72169784451789631</v>
      </c>
      <c r="Q1055" s="33">
        <f>(Q1053-Q1046-Q1048)*G1041</f>
        <v>0.71686500046756607</v>
      </c>
      <c r="R1055" s="33">
        <f>(R1053-R1046-R1048)*G1041</f>
        <v>0.71205390421546189</v>
      </c>
      <c r="S1055" s="33">
        <f>(S1053-S1046-S1048)*G1041</f>
        <v>0.70726445789649239</v>
      </c>
      <c r="T1055" s="33">
        <f>(T1053-T1046-T1048)*G1041</f>
        <v>0.70249656408595818</v>
      </c>
      <c r="U1055" s="33">
        <f>(U1053-U1046-U1048)*G1041</f>
        <v>0.69775012579757134</v>
      </c>
      <c r="V1055" s="33">
        <f>(V1053-V1046-V1048)*G1041</f>
        <v>0.69302504648148244</v>
      </c>
      <c r="W1055" s="33">
        <f>(W1053-W1046-W1048)*G1041</f>
        <v>0.68832123002231582</v>
      </c>
      <c r="X1055" s="33">
        <f>(X1053-X1046-X1048)*G1041</f>
        <v>0.6836385807372154</v>
      </c>
      <c r="Y1055" s="33">
        <f>(Y1053-Y1046-Y1048)*G1041</f>
        <v>0.67897700337389799</v>
      </c>
      <c r="Z1055" s="33">
        <f>(Z1053-Z1046-Z1048)*G1041</f>
        <v>0.67433640310871579</v>
      </c>
      <c r="AA1055" s="33">
        <f>(AA1053-AA1046-AA1048)*G1041</f>
        <v>0.66971668554472652</v>
      </c>
    </row>
    <row r="1056" spans="3:27" hidden="1" outlineLevel="1" x14ac:dyDescent="0.3">
      <c r="F1056" s="10" t="s">
        <v>22</v>
      </c>
      <c r="G1056" s="33">
        <f>-G1044</f>
        <v>-24.611999999999995</v>
      </c>
      <c r="H1056" s="33">
        <f>H1053-H1055-H1048</f>
        <v>3.4525362251471998</v>
      </c>
      <c r="I1056" s="33">
        <f t="shared" ref="I1056" si="351">I1053-I1055-I1048</f>
        <v>3.437505015884037</v>
      </c>
      <c r="J1056" s="33">
        <f t="shared" ref="J1056" si="352">J1053-J1055-J1048</f>
        <v>3.4225414470625593</v>
      </c>
      <c r="K1056" s="33">
        <f t="shared" ref="K1056" si="353">K1053-K1055-K1048</f>
        <v>3.4076452143007776</v>
      </c>
      <c r="L1056" s="33">
        <f t="shared" ref="L1056" si="354">L1053-L1055-L1048</f>
        <v>3.3928160145864252</v>
      </c>
      <c r="M1056" s="33">
        <f t="shared" ref="M1056" si="355">M1053-M1055-M1048</f>
        <v>3.3780535462707864</v>
      </c>
      <c r="N1056" s="33">
        <f t="shared" ref="N1056" si="356">N1053-N1055-N1048</f>
        <v>3.3633575090625678</v>
      </c>
      <c r="O1056" s="33">
        <f t="shared" ref="O1056" si="357">O1053-O1055-O1048</f>
        <v>3.3487276040217857</v>
      </c>
      <c r="P1056" s="33">
        <f t="shared" ref="P1056" si="358">P1053-P1055-P1048</f>
        <v>3.3341635335536886</v>
      </c>
      <c r="Q1056" s="33">
        <f t="shared" ref="Q1056" si="359">Q1053-Q1055-Q1048</f>
        <v>3.319665001402698</v>
      </c>
      <c r="R1056" s="33">
        <f t="shared" ref="R1056" si="360">R1053-R1055-R1048</f>
        <v>3.3052317126463855</v>
      </c>
      <c r="S1056" s="33">
        <f t="shared" ref="S1056" si="361">S1053-S1055-S1048</f>
        <v>3.2908633736894766</v>
      </c>
      <c r="T1056" s="33">
        <f t="shared" ref="T1056" si="362">T1053-T1055-T1048</f>
        <v>3.2765596922578739</v>
      </c>
      <c r="U1056" s="33">
        <f t="shared" ref="U1056" si="363">U1053-U1055-U1048</f>
        <v>3.2623203773927134</v>
      </c>
      <c r="V1056" s="33">
        <f t="shared" ref="V1056" si="364">V1053-V1055-V1048</f>
        <v>3.2481451394444472</v>
      </c>
      <c r="W1056" s="33">
        <f t="shared" ref="W1056" si="365">W1053-W1055-W1048</f>
        <v>3.2340336900669469</v>
      </c>
      <c r="X1056" s="33">
        <f t="shared" ref="X1056" si="366">X1053-X1055-X1048</f>
        <v>3.2199857422116462</v>
      </c>
      <c r="Y1056" s="33">
        <f t="shared" ref="Y1056" si="367">Y1053-Y1055-Y1048</f>
        <v>3.2060010101216934</v>
      </c>
      <c r="Z1056" s="33">
        <f t="shared" ref="Z1056" si="368">Z1053-Z1055-Z1048</f>
        <v>3.1920792093261472</v>
      </c>
      <c r="AA1056" s="33">
        <f t="shared" ref="AA1056" si="369">AA1053-AA1055-AA1048</f>
        <v>3.1782200566341796</v>
      </c>
    </row>
    <row r="1057" spans="2:27" ht="13.5" hidden="1" outlineLevel="1" thickBot="1" x14ac:dyDescent="0.35">
      <c r="F1057" s="3" t="s">
        <v>68</v>
      </c>
      <c r="G1057" s="40">
        <f>IRR(G1056:AA1056)</f>
        <v>0.12337944138227996</v>
      </c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 spans="2:27" ht="13.5" collapsed="1" thickTop="1" x14ac:dyDescent="0.3"/>
    <row r="1059" spans="2:27" x14ac:dyDescent="0.3">
      <c r="B1059" s="11" t="s">
        <v>165</v>
      </c>
      <c r="C1059" s="11" t="s">
        <v>52</v>
      </c>
    </row>
    <row r="1060" spans="2:27" x14ac:dyDescent="0.3">
      <c r="C1060" s="11" t="s">
        <v>141</v>
      </c>
      <c r="D1060" s="54">
        <f>D1091</f>
        <v>1242</v>
      </c>
    </row>
    <row r="1061" spans="2:27" x14ac:dyDescent="0.3">
      <c r="C1061" s="16" t="s">
        <v>78</v>
      </c>
      <c r="D1061" s="37">
        <f>(G1090+G1093+G1100)/G1096*1000</f>
        <v>0.38956707585899453</v>
      </c>
    </row>
    <row r="1062" spans="2:27" x14ac:dyDescent="0.3">
      <c r="C1062" s="13" t="s">
        <v>77</v>
      </c>
      <c r="D1062" s="39">
        <f>(G1071+G1074+G1081)/G1077*1000</f>
        <v>0.54679375711674683</v>
      </c>
    </row>
    <row r="1063" spans="2:27" x14ac:dyDescent="0.3">
      <c r="C1063" s="13" t="s">
        <v>61</v>
      </c>
      <c r="D1063" s="36">
        <f>G1084</f>
        <v>0.6691405831433197</v>
      </c>
    </row>
    <row r="1064" spans="2:27" x14ac:dyDescent="0.3">
      <c r="C1064" s="13" t="s">
        <v>73</v>
      </c>
      <c r="D1064" s="25">
        <f>SUM(G1083:AA1083)</f>
        <v>16.468888032323381</v>
      </c>
    </row>
    <row r="1065" spans="2:27" ht="13.5" thickBot="1" x14ac:dyDescent="0.35">
      <c r="C1065" s="23" t="s">
        <v>68</v>
      </c>
      <c r="D1065" s="26">
        <f>G1103</f>
        <v>0.14900503451136715</v>
      </c>
    </row>
    <row r="1066" spans="2:27" ht="13.5" hidden="1" outlineLevel="1" thickTop="1" x14ac:dyDescent="0.3">
      <c r="E1066" s="20"/>
      <c r="F1066" s="38" t="s">
        <v>75</v>
      </c>
    </row>
    <row r="1067" spans="2:27" hidden="1" outlineLevel="1" x14ac:dyDescent="0.3">
      <c r="C1067" s="11" t="s">
        <v>71</v>
      </c>
      <c r="F1067" s="13" t="s">
        <v>25</v>
      </c>
      <c r="G1067" s="14">
        <v>7.0000000000000007E-2</v>
      </c>
    </row>
    <row r="1068" spans="2:27" hidden="1" outlineLevel="1" x14ac:dyDescent="0.3">
      <c r="C1068" s="18" t="s">
        <v>53</v>
      </c>
      <c r="D1068" s="19">
        <f>分布式光伏电站IRR汇总!$B$2</f>
        <v>6</v>
      </c>
      <c r="F1068" s="13" t="s">
        <v>26</v>
      </c>
      <c r="G1068" s="14">
        <v>0.25</v>
      </c>
    </row>
    <row r="1069" spans="2:27" hidden="1" outlineLevel="1" x14ac:dyDescent="0.3">
      <c r="C1069" s="18" t="s">
        <v>56</v>
      </c>
      <c r="D1069" s="19">
        <f>分布式光伏电站IRR汇总!$B$3</f>
        <v>120</v>
      </c>
      <c r="F1069" s="1" t="s">
        <v>44</v>
      </c>
      <c r="G1069" s="4"/>
      <c r="H1069" s="5">
        <v>1</v>
      </c>
      <c r="I1069" s="5">
        <v>2</v>
      </c>
      <c r="J1069" s="5">
        <v>3</v>
      </c>
      <c r="K1069" s="5">
        <v>4</v>
      </c>
      <c r="L1069" s="5">
        <v>5</v>
      </c>
      <c r="M1069" s="5">
        <v>6</v>
      </c>
      <c r="N1069" s="5">
        <v>7</v>
      </c>
      <c r="O1069" s="5">
        <v>8</v>
      </c>
      <c r="P1069" s="5">
        <v>9</v>
      </c>
      <c r="Q1069" s="5">
        <v>10</v>
      </c>
      <c r="R1069" s="5">
        <v>11</v>
      </c>
      <c r="S1069" s="5">
        <v>12</v>
      </c>
      <c r="T1069" s="5">
        <v>13</v>
      </c>
      <c r="U1069" s="5">
        <v>14</v>
      </c>
      <c r="V1069" s="5">
        <v>15</v>
      </c>
      <c r="W1069" s="5">
        <v>16</v>
      </c>
      <c r="X1069" s="5">
        <v>17</v>
      </c>
      <c r="Y1069" s="5">
        <v>18</v>
      </c>
      <c r="Z1069" s="5">
        <v>19</v>
      </c>
      <c r="AA1069" s="5">
        <v>20</v>
      </c>
    </row>
    <row r="1070" spans="2:27" hidden="1" outlineLevel="1" x14ac:dyDescent="0.3">
      <c r="C1070" s="18" t="s">
        <v>57</v>
      </c>
      <c r="D1070" s="19">
        <f>分布式光伏电站IRR汇总!$B$4</f>
        <v>3</v>
      </c>
      <c r="F1070" s="16"/>
      <c r="G1070" s="2" t="s">
        <v>0</v>
      </c>
      <c r="H1070" s="2" t="s">
        <v>1</v>
      </c>
      <c r="I1070" s="2" t="s">
        <v>2</v>
      </c>
      <c r="J1070" s="2" t="s">
        <v>3</v>
      </c>
      <c r="K1070" s="2" t="s">
        <v>4</v>
      </c>
      <c r="L1070" s="2" t="s">
        <v>5</v>
      </c>
      <c r="M1070" s="2" t="s">
        <v>6</v>
      </c>
      <c r="N1070" s="2" t="s">
        <v>7</v>
      </c>
      <c r="O1070" s="2" t="s">
        <v>8</v>
      </c>
      <c r="P1070" s="2" t="s">
        <v>9</v>
      </c>
      <c r="Q1070" s="2" t="s">
        <v>10</v>
      </c>
      <c r="R1070" s="2" t="s">
        <v>11</v>
      </c>
      <c r="S1070" s="2" t="s">
        <v>12</v>
      </c>
      <c r="T1070" s="2" t="s">
        <v>13</v>
      </c>
      <c r="U1070" s="2" t="s">
        <v>45</v>
      </c>
      <c r="V1070" s="2" t="s">
        <v>46</v>
      </c>
      <c r="W1070" s="2" t="s">
        <v>47</v>
      </c>
      <c r="X1070" s="2" t="s">
        <v>48</v>
      </c>
      <c r="Y1070" s="2" t="s">
        <v>49</v>
      </c>
      <c r="Z1070" s="2" t="s">
        <v>50</v>
      </c>
      <c r="AA1070" s="2" t="s">
        <v>127</v>
      </c>
    </row>
    <row r="1071" spans="2:27" hidden="1" outlineLevel="1" x14ac:dyDescent="0.3">
      <c r="C1071" s="18" t="s">
        <v>54</v>
      </c>
      <c r="D1071" s="19">
        <f>分布式光伏电站IRR汇总!$B$5</f>
        <v>5</v>
      </c>
      <c r="F1071" s="6" t="s">
        <v>14</v>
      </c>
      <c r="G1071" s="33">
        <f>D1092</f>
        <v>24.611999999999995</v>
      </c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</row>
    <row r="1072" spans="2:27" hidden="1" outlineLevel="1" x14ac:dyDescent="0.3">
      <c r="C1072" s="18" t="s">
        <v>55</v>
      </c>
      <c r="D1072" s="19">
        <f>分布式光伏电站IRR汇总!$B$6</f>
        <v>15</v>
      </c>
      <c r="F1072" s="6" t="s">
        <v>15</v>
      </c>
      <c r="G1072" s="33">
        <f>SUM(H1073:AA1073)</f>
        <v>12.385144234005573</v>
      </c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</row>
    <row r="1073" spans="3:27" hidden="1" outlineLevel="1" x14ac:dyDescent="0.3">
      <c r="C1073" s="18" t="s">
        <v>42</v>
      </c>
      <c r="D1073" s="19">
        <f>分布式光伏电站IRR汇总!$B$7</f>
        <v>4.1019999999999994</v>
      </c>
      <c r="F1073" s="7" t="s">
        <v>16</v>
      </c>
      <c r="G1073" s="33"/>
      <c r="H1073" s="33">
        <f>D1092*(1-D1090)/D1086/((1+G1067)^H1069)</f>
        <v>1.0925887850467286</v>
      </c>
      <c r="I1073" s="33">
        <f>D1092*(1-D1090)/D1086/((1+G1067)^I1069)</f>
        <v>1.0211110140623632</v>
      </c>
      <c r="J1073" s="33">
        <f>D1092*(1-D1090)/D1086/((1+G1067)^J1069)</f>
        <v>0.95430935893678792</v>
      </c>
      <c r="K1073" s="33">
        <f>D1092*(1-D1090)/D1086/((1+G1067)^K1069)</f>
        <v>0.89187790554839996</v>
      </c>
      <c r="L1073" s="33">
        <f>D1092*(1-D1090)/D1086/((1+G1067)^L1069)</f>
        <v>0.83353075284897193</v>
      </c>
      <c r="M1073" s="33">
        <f>D1092*(1-D1090)/D1086/((1+G1067)^M1069)</f>
        <v>0.77900070359717</v>
      </c>
      <c r="N1073" s="33">
        <f>D1092*(1-D1090)/D1086/((1+G1067)^N1069)</f>
        <v>0.72803804074501866</v>
      </c>
      <c r="O1073" s="33">
        <f>D1092*(1-D1090)/D1086/((1+G1067)^O1069)</f>
        <v>0.6804093838738493</v>
      </c>
      <c r="P1073" s="33">
        <f>D1092*(1-D1090)/D1086/((1+G1067)^P1069)</f>
        <v>0.63589662044284967</v>
      </c>
      <c r="Q1073" s="33">
        <f>D1092*(1-D1090)/D1086/((1+G1067)^Q1069)</f>
        <v>0.59429590695593437</v>
      </c>
      <c r="R1073" s="33">
        <f>D1092*(1-D1090)/D1086/((1+G1067)^R1069)</f>
        <v>0.55541673547283577</v>
      </c>
      <c r="S1073" s="33">
        <f>D1092*(1-D1090)/D1086/((1+G1067)^S1069)</f>
        <v>0.51908106118956621</v>
      </c>
      <c r="T1073" s="33">
        <f>D1092*(1-D1090)/D1086/((1+G1067)^T1069)</f>
        <v>0.4851224870930525</v>
      </c>
      <c r="U1073" s="33">
        <f>D1092*(1-D1090)/D1086/((1+G1067)^U1069)</f>
        <v>0.45338550195612387</v>
      </c>
      <c r="V1073" s="33">
        <f>D1092*(1-D1090)/D1086/((1+G1067)^V1069)</f>
        <v>0.4237247681832933</v>
      </c>
      <c r="W1073" s="33">
        <f>D1092*(1-D1090)/D1086/((1+G1067)^W1069)</f>
        <v>0.39600445624606856</v>
      </c>
      <c r="X1073" s="33">
        <f>D1092*(1-D1090)/D1086/((1+G1067)^X1069)</f>
        <v>0.37009762265987711</v>
      </c>
      <c r="Y1073" s="33">
        <f>D1092*(1-D1090)/D1086/((1+G1067)^Y1069)</f>
        <v>0.34588562865409078</v>
      </c>
      <c r="Z1073" s="33">
        <f>D1092*(1-D1090)/D1086/((1+G1067)^Z1069)</f>
        <v>0.323257596872982</v>
      </c>
      <c r="AA1073" s="33">
        <f>D1092*(1-D1090)/D1086/((1+G1067)^AA1069)</f>
        <v>0.30210990361960938</v>
      </c>
    </row>
    <row r="1074" spans="3:27" hidden="1" outlineLevel="1" x14ac:dyDescent="0.3">
      <c r="C1074" s="21" t="s">
        <v>32</v>
      </c>
      <c r="D1074" s="19">
        <f>分布式光伏电站IRR汇总!$B$8</f>
        <v>1.8870000000000002</v>
      </c>
      <c r="F1074" s="6" t="s">
        <v>17</v>
      </c>
      <c r="G1074" s="33">
        <f>SUM(H1075:AA1075)</f>
        <v>2.5425634189238777</v>
      </c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</row>
    <row r="1075" spans="3:27" hidden="1" outlineLevel="1" x14ac:dyDescent="0.3">
      <c r="C1075" s="21" t="s">
        <v>33</v>
      </c>
      <c r="D1075" s="19">
        <f>分布式光伏电站IRR汇总!$B$9</f>
        <v>0.18500000000000003</v>
      </c>
      <c r="F1075" s="7" t="s">
        <v>18</v>
      </c>
      <c r="G1075" s="33"/>
      <c r="H1075" s="33">
        <f>D1089*D1068/((1+G1067)^H1069)</f>
        <v>0.22429906542056072</v>
      </c>
      <c r="I1075" s="33">
        <f>D1089*D1068/((1+G1067)^I1069)</f>
        <v>0.20962529478557079</v>
      </c>
      <c r="J1075" s="33">
        <f>D1089*D1068/((1+G1067)^J1069)</f>
        <v>0.19591149045380446</v>
      </c>
      <c r="K1075" s="33">
        <f>D1089*D1068/((1+G1067)^K1069)</f>
        <v>0.18309485089140604</v>
      </c>
      <c r="L1075" s="33">
        <f>D1089*D1068/((1+G1067)^L1069)</f>
        <v>0.17111668307608041</v>
      </c>
      <c r="M1075" s="33">
        <f>D1089*D1068/((1+G1067)^M1069)</f>
        <v>0.15992213371596301</v>
      </c>
      <c r="N1075" s="33">
        <f>D1089*D1068/((1+G1067)^N1069)</f>
        <v>0.14945993805230187</v>
      </c>
      <c r="O1075" s="33">
        <f>D1089*D1068/((1+G1067)^O1069)</f>
        <v>0.13968218509560923</v>
      </c>
      <c r="P1075" s="33">
        <f>D1089*D1068/((1+G1067)^P1069)</f>
        <v>0.13054409822019553</v>
      </c>
      <c r="Q1075" s="33">
        <f>D1089*D1068/((1+G1067)^Q1069)</f>
        <v>0.12200383011233226</v>
      </c>
      <c r="R1075" s="33">
        <f>D1089*D1068/((1+G1067)^R1069)</f>
        <v>0.1140222711330208</v>
      </c>
      <c r="S1075" s="33">
        <f>D1089*D1068/((1+G1067)^S1069)</f>
        <v>0.10656287021777647</v>
      </c>
      <c r="T1075" s="33">
        <f>D1089*D1068/((1+G1067)^T1069)</f>
        <v>9.9591467493249028E-2</v>
      </c>
      <c r="U1075" s="33">
        <f>D1089*D1068/((1+G1067)^U1069)</f>
        <v>9.3076137844157969E-2</v>
      </c>
      <c r="V1075" s="33">
        <f>D1089*D1068/((1+G1067)^V1069)</f>
        <v>8.6987044714166323E-2</v>
      </c>
      <c r="W1075" s="33">
        <f>D1089*D1068/((1+G1067)^W1069)</f>
        <v>8.1296303471183481E-2</v>
      </c>
      <c r="X1075" s="33">
        <f>D1089*D1068/((1+G1067)^X1069)</f>
        <v>7.5977853711386434E-2</v>
      </c>
      <c r="Y1075" s="33">
        <f>D1089*D1068/((1+G1067)^Y1069)</f>
        <v>7.1007339917183582E-2</v>
      </c>
      <c r="Z1075" s="33">
        <f>D1089*D1068/((1+G1067)^Z1069)</f>
        <v>6.6361999922601472E-2</v>
      </c>
      <c r="AA1075" s="33">
        <f>D1089*D1068/((1+G1067)^AA1069)</f>
        <v>6.2020560675328483E-2</v>
      </c>
    </row>
    <row r="1076" spans="3:27" hidden="1" outlineLevel="1" x14ac:dyDescent="0.3">
      <c r="C1076" s="21" t="s">
        <v>34</v>
      </c>
      <c r="D1076" s="19">
        <f>分布式光伏电站IRR汇总!$B$10</f>
        <v>0.222</v>
      </c>
      <c r="F1076" s="6" t="s">
        <v>19</v>
      </c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3">
        <f>D1089*D1092/((1+G1067)^AA1069)</f>
        <v>0.2544083398901974</v>
      </c>
    </row>
    <row r="1077" spans="3:27" hidden="1" outlineLevel="1" x14ac:dyDescent="0.3">
      <c r="C1077" s="21" t="s">
        <v>35</v>
      </c>
      <c r="D1077" s="19">
        <f>分布式光伏电站IRR汇总!$B$11</f>
        <v>0.44400000000000001</v>
      </c>
      <c r="F1077" s="8" t="s">
        <v>64</v>
      </c>
      <c r="G1077" s="33">
        <f>SUM(H1078:AA1078)</f>
        <v>64845.588848699736</v>
      </c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</row>
    <row r="1078" spans="3:27" hidden="1" outlineLevel="1" x14ac:dyDescent="0.3">
      <c r="C1078" s="21" t="s">
        <v>36</v>
      </c>
      <c r="D1078" s="19">
        <f>分布式光伏电站IRR汇总!$B$12</f>
        <v>0.222</v>
      </c>
      <c r="F1078" s="9" t="s">
        <v>65</v>
      </c>
      <c r="G1078" s="33"/>
      <c r="H1078" s="33">
        <f>D1068*D1085*(1-D1087)*D1091/((1+G1067)^H1069)</f>
        <v>5910.6199626168218</v>
      </c>
      <c r="I1078" s="33">
        <f>D1068*D1085*(1-D1087)*(1-D1088)^(I1069-1)*D1091/((1+G1067)^I1069)</f>
        <v>5499.0861427897626</v>
      </c>
      <c r="J1078" s="33">
        <f>D1068*D1085*(1-D1087)*(1-D1088)^(J1069-1)*D1091/((1+G1067)^J1069)</f>
        <v>5116.2058459319705</v>
      </c>
      <c r="K1078" s="33">
        <f>D1068*D1085*(1-D1087)*(1-D1088)^(K1069-1)*D1091/((1+G1067)^K1069)</f>
        <v>4759.9840370329703</v>
      </c>
      <c r="L1078" s="33">
        <f>D1068*D1085*(1-D1087)*(1-D1088)^(L1069-1)*D1091/((1+G1067)^L1069)</f>
        <v>4428.5645877255338</v>
      </c>
      <c r="M1078" s="33">
        <f>D1068*D1085*(1-D1087)*(1-D1088)^(M1069-1)*D1091/((1+G1067)^M1069)</f>
        <v>4120.2206047483833</v>
      </c>
      <c r="N1078" s="33">
        <f>D1068*D1085*(1-D1087)*(1-D1088)^(N1069-1)*D1091/((1+G1067)^N1069)</f>
        <v>3833.345431800949</v>
      </c>
      <c r="O1078" s="33">
        <f>D1068*D1085*(1-D1087)*(1-D1088)^(O1069-1)*D1091/((1+G1067)^O1069)</f>
        <v>3566.4442779045276</v>
      </c>
      <c r="P1078" s="33">
        <f>D1068*D1085*(1-D1087)*(1-D1088)^(P1069-1)*D1091/((1+G1067)^P1069)</f>
        <v>3318.126428648558</v>
      </c>
      <c r="Q1078" s="33">
        <f>D1068*D1085*(1-D1087)*(1-D1088)^(Q1069-1)*D1091/((1+G1067)^Q1069)</f>
        <v>3087.0979997379814</v>
      </c>
      <c r="R1078" s="33">
        <f>D1068*D1085*(1-D1087)*(1-D1088)^(R1069-1)*D1091/((1+G1067)^R1069)</f>
        <v>2872.1551950833277</v>
      </c>
      <c r="S1078" s="33">
        <f>D1068*D1085*(1-D1087)*(1-D1088)^(S1069-1)*D1091/((1+G1067)^S1069)</f>
        <v>2672.1780343041619</v>
      </c>
      <c r="T1078" s="33">
        <f>D1068*D1085*(1-D1087)*(1-D1088)^(T1069-1)*D1091/((1+G1067)^T1069)</f>
        <v>2486.1245169624235</v>
      </c>
      <c r="U1078" s="33">
        <f>D1068*D1085*(1-D1087)*(1-D1088)^(U1069-1)*D1091/((1+G1067)^U1069)</f>
        <v>2313.0251931178436</v>
      </c>
      <c r="V1078" s="33">
        <f>D1068*D1085*(1-D1087)*(1-D1088)^(V1069-1)*D1091/((1+G1067)^V1069)</f>
        <v>2151.9781119147783</v>
      </c>
      <c r="W1078" s="33">
        <f>D1068*D1085*(1-D1087)*(1-D1088)^(W1069-1)*D1091/((1+G1067)^W1069)</f>
        <v>2002.1441218795912</v>
      </c>
      <c r="X1078" s="33">
        <f>D1068*D1085*(1-D1087)*(1-D1088)^(X1069-1)*D1091/((1+G1067)^X1069)</f>
        <v>1862.7424984403112</v>
      </c>
      <c r="Y1078" s="33">
        <f>D1068*D1085*(1-D1087)*(1-D1088)^(Y1069-1)*D1091/((1+G1067)^Y1069)</f>
        <v>1733.0468758853551</v>
      </c>
      <c r="Z1078" s="33">
        <f>D1068*D1085*(1-D1087)*(1-D1088)^(Z1069-1)*D1091/((1+G1067)^Z1069)</f>
        <v>1612.3814625643656</v>
      </c>
      <c r="AA1078" s="33">
        <f>D1068*D1085*(1-D1087)*(1-D1088)^(AA1069-1)*D1091/((1+G1067)^AA1069)</f>
        <v>1500.1175196101178</v>
      </c>
    </row>
    <row r="1079" spans="3:27" hidden="1" outlineLevel="1" x14ac:dyDescent="0.3">
      <c r="C1079" s="21" t="s">
        <v>37</v>
      </c>
      <c r="D1079" s="19">
        <f>分布式光伏电站IRR汇总!$B$13</f>
        <v>0.15</v>
      </c>
      <c r="F1079" s="4" t="s">
        <v>66</v>
      </c>
      <c r="G1079" s="33">
        <f>SUM(H1080:AA1080)</f>
        <v>53.188699384019841</v>
      </c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3"/>
    </row>
    <row r="1080" spans="3:27" hidden="1" outlineLevel="1" x14ac:dyDescent="0.3">
      <c r="C1080" s="21" t="s">
        <v>38</v>
      </c>
      <c r="D1080" s="19">
        <f>分布式光伏电站IRR汇总!$B$14</f>
        <v>3.7000000000000005E-2</v>
      </c>
      <c r="F1080" s="7" t="s">
        <v>67</v>
      </c>
      <c r="G1080" s="33"/>
      <c r="H1080" s="33">
        <f>H1078*D1096/1000</f>
        <v>4.8481044577809644</v>
      </c>
      <c r="I1080" s="33">
        <f>I1078*D1096/1000</f>
        <v>4.510549521234533</v>
      </c>
      <c r="J1080" s="33">
        <f>J1078*D1096/1000</f>
        <v>4.1964972414850257</v>
      </c>
      <c r="K1080" s="33">
        <f>K1078*D1096/1000</f>
        <v>3.9043112185965834</v>
      </c>
      <c r="L1080" s="33">
        <f>L1078*D1096/1000</f>
        <v>3.6324689888905586</v>
      </c>
      <c r="M1080" s="33">
        <f>M1078*D1096/1000</f>
        <v>3.3795540920005158</v>
      </c>
      <c r="N1080" s="33">
        <f>N1078*D1096/1000</f>
        <v>3.1442486902677698</v>
      </c>
      <c r="O1080" s="33">
        <f>O1078*D1096/1000</f>
        <v>2.9253267020201537</v>
      </c>
      <c r="P1080" s="33">
        <f>P1078*D1096/1000</f>
        <v>2.7216474129542645</v>
      </c>
      <c r="Q1080" s="33">
        <f>Q1078*D1096/1000</f>
        <v>2.5321495323326833</v>
      </c>
      <c r="R1080" s="33">
        <f>R1078*D1096/1000</f>
        <v>2.3558456630254079</v>
      </c>
      <c r="S1080" s="33">
        <f>S1078*D1096/1000</f>
        <v>2.191817156581116</v>
      </c>
      <c r="T1080" s="33">
        <f>T1078*D1096/1000</f>
        <v>2.0392093265200941</v>
      </c>
      <c r="U1080" s="33">
        <f>U1078*D1096/1000</f>
        <v>1.8972269949072462</v>
      </c>
      <c r="V1080" s="33">
        <f>V1078*D1096/1000</f>
        <v>1.7651303490001526</v>
      </c>
      <c r="W1080" s="33">
        <f>W1078*D1096/1000</f>
        <v>1.6422310863828529</v>
      </c>
      <c r="X1080" s="33">
        <f>X1078*D1096/1000</f>
        <v>1.5278888284991869</v>
      </c>
      <c r="Y1080" s="33">
        <f>Y1078*D1096/1000</f>
        <v>1.4215077838980756</v>
      </c>
      <c r="Z1080" s="33">
        <f>Z1078*D1096/1000</f>
        <v>1.3225336438042377</v>
      </c>
      <c r="AA1080" s="33">
        <f>AA1078*D1096/1000</f>
        <v>1.2304506938384285</v>
      </c>
    </row>
    <row r="1081" spans="3:27" hidden="1" outlineLevel="1" x14ac:dyDescent="0.3">
      <c r="C1081" s="21" t="s">
        <v>39</v>
      </c>
      <c r="D1081" s="19">
        <f>分布式光伏电站IRR汇总!$B$15</f>
        <v>0.25900000000000006</v>
      </c>
      <c r="F1081" s="4" t="s">
        <v>20</v>
      </c>
      <c r="G1081" s="33">
        <f>SUM(H1082:V1082)</f>
        <v>8.3025997401044815</v>
      </c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</row>
    <row r="1082" spans="3:27" hidden="1" outlineLevel="1" x14ac:dyDescent="0.3">
      <c r="C1082" s="21" t="s">
        <v>40</v>
      </c>
      <c r="D1082" s="19">
        <f>分布式光伏电站IRR汇总!$B$16</f>
        <v>7.400000000000001E-2</v>
      </c>
      <c r="F1082" s="7" t="s">
        <v>21</v>
      </c>
      <c r="G1082" s="33"/>
      <c r="H1082" s="33">
        <f>(H1080-H1073-H1075)*G1068</f>
        <v>0.88280415182841876</v>
      </c>
      <c r="I1082" s="33">
        <f>(I1080-I1073-I1075)*G1068</f>
        <v>0.81995330309664971</v>
      </c>
      <c r="J1082" s="33">
        <f>(J1080-J1073-J1075)*G1068</f>
        <v>0.76156909802360828</v>
      </c>
      <c r="K1082" s="33">
        <f>(K1080-K1073-K1075)*G1068</f>
        <v>0.70733461553919441</v>
      </c>
      <c r="L1082" s="33">
        <f>(L1080-L1073-L1075)*G1068</f>
        <v>0.65695538824137656</v>
      </c>
      <c r="M1082" s="33">
        <f>(M1080-M1073-M1075)*G1068</f>
        <v>0.61015781367184563</v>
      </c>
      <c r="N1082" s="33">
        <f>(N1080-N1073-N1075)*G1068</f>
        <v>0.56668767786761232</v>
      </c>
      <c r="O1082" s="33">
        <f>(O1080-O1073-O1075)*G1068</f>
        <v>0.52630878326267383</v>
      </c>
      <c r="P1082" s="33">
        <f>(P1080-P1073-P1075)*G1068</f>
        <v>0.4888016735728048</v>
      </c>
      <c r="Q1082" s="33">
        <f>(Q1080-Q1073-Q1075)*G1068</f>
        <v>0.45396244881610415</v>
      </c>
      <c r="R1082" s="33">
        <f>(R1080-R1073-R1075)*G1068</f>
        <v>0.42160166410488786</v>
      </c>
      <c r="S1082" s="33">
        <f>(S1080-S1073-S1075)*G1068</f>
        <v>0.39154330629344331</v>
      </c>
      <c r="T1082" s="33">
        <f>(T1080-T1073-T1075)*G1068</f>
        <v>0.36362384298344813</v>
      </c>
      <c r="U1082" s="33">
        <f>(U1080-U1073-U1075)*G1068</f>
        <v>0.33769133877674107</v>
      </c>
      <c r="V1082" s="33">
        <f>(V1080-V1073-V1075)*G1068</f>
        <v>0.31360463402567329</v>
      </c>
      <c r="W1082" s="33">
        <f>(W1080-W1073-W1075)*G1068</f>
        <v>0.2912325816664002</v>
      </c>
      <c r="X1082" s="33">
        <f>(X1080-X1073-X1075)*G1068</f>
        <v>0.27045333803198085</v>
      </c>
      <c r="Y1082" s="33">
        <f>(Y1080-Y1073-Y1075)*G1068</f>
        <v>0.25115370383170033</v>
      </c>
      <c r="Z1082" s="33">
        <f>(Z1080-Z1073-Z1075)*G1068</f>
        <v>0.23322851175216353</v>
      </c>
      <c r="AA1082" s="33">
        <f>(AA1080-AA1073-AA1075)*G1068</f>
        <v>0.21658005738587269</v>
      </c>
    </row>
    <row r="1083" spans="3:27" hidden="1" outlineLevel="1" x14ac:dyDescent="0.3">
      <c r="C1083" s="21" t="s">
        <v>41</v>
      </c>
      <c r="D1083" s="19">
        <f>分布式光伏电站IRR汇总!$B$17</f>
        <v>0.222</v>
      </c>
      <c r="F1083" s="10" t="s">
        <v>22</v>
      </c>
      <c r="G1083" s="33">
        <f>-G1071</f>
        <v>-24.611999999999995</v>
      </c>
      <c r="H1083" s="33">
        <f t="shared" ref="H1083:AA1083" si="370">H1080-H1082-H1075</f>
        <v>3.7410012405319848</v>
      </c>
      <c r="I1083" s="33">
        <f t="shared" si="370"/>
        <v>3.4809709233523121</v>
      </c>
      <c r="J1083" s="33">
        <f t="shared" si="370"/>
        <v>3.2390166530076128</v>
      </c>
      <c r="K1083" s="33">
        <f t="shared" si="370"/>
        <v>3.0138817521659833</v>
      </c>
      <c r="L1083" s="33">
        <f t="shared" si="370"/>
        <v>2.8043969175731016</v>
      </c>
      <c r="M1083" s="33">
        <f t="shared" si="370"/>
        <v>2.6094741446127072</v>
      </c>
      <c r="N1083" s="33">
        <f t="shared" si="370"/>
        <v>2.4281010743478557</v>
      </c>
      <c r="O1083" s="33">
        <f t="shared" si="370"/>
        <v>2.2593357336618705</v>
      </c>
      <c r="P1083" s="33">
        <f t="shared" si="370"/>
        <v>2.1023016411612643</v>
      </c>
      <c r="Q1083" s="33">
        <f t="shared" si="370"/>
        <v>1.9561832534042469</v>
      </c>
      <c r="R1083" s="33">
        <f t="shared" si="370"/>
        <v>1.8202217277874992</v>
      </c>
      <c r="S1083" s="33">
        <f t="shared" si="370"/>
        <v>1.6937109800698962</v>
      </c>
      <c r="T1083" s="33">
        <f t="shared" si="370"/>
        <v>1.575994016043397</v>
      </c>
      <c r="U1083" s="33">
        <f t="shared" si="370"/>
        <v>1.4664595182863471</v>
      </c>
      <c r="V1083" s="33">
        <f t="shared" si="370"/>
        <v>1.3645386702603131</v>
      </c>
      <c r="W1083" s="33">
        <f t="shared" si="370"/>
        <v>1.2697022012452692</v>
      </c>
      <c r="X1083" s="33">
        <f t="shared" si="370"/>
        <v>1.1814576367558196</v>
      </c>
      <c r="Y1083" s="33">
        <f t="shared" si="370"/>
        <v>1.0993467401491919</v>
      </c>
      <c r="Z1083" s="33">
        <f t="shared" si="370"/>
        <v>1.0229431321294726</v>
      </c>
      <c r="AA1083" s="33">
        <f t="shared" si="370"/>
        <v>0.95185007577722736</v>
      </c>
    </row>
    <row r="1084" spans="3:27" ht="13.5" hidden="1" outlineLevel="1" thickBot="1" x14ac:dyDescent="0.35">
      <c r="C1084" s="21" t="s">
        <v>74</v>
      </c>
      <c r="D1084" s="19">
        <f>分布式光伏电站IRR汇总!$B$18</f>
        <v>0.4</v>
      </c>
      <c r="F1084" s="3" t="s">
        <v>61</v>
      </c>
      <c r="G1084" s="35">
        <f>SUM(G1083:AA1083)/G1071</f>
        <v>0.6691405831433197</v>
      </c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 spans="3:27" ht="13.5" hidden="1" outlineLevel="1" thickTop="1" x14ac:dyDescent="0.3">
      <c r="C1085" s="18" t="s">
        <v>58</v>
      </c>
      <c r="D1085" s="19">
        <f>分布式光伏电站IRR汇总!$B$19</f>
        <v>0.86599999999999999</v>
      </c>
    </row>
    <row r="1086" spans="3:27" hidden="1" outlineLevel="1" x14ac:dyDescent="0.3">
      <c r="C1086" s="18" t="s">
        <v>62</v>
      </c>
      <c r="D1086" s="19">
        <f>分布式光伏电站IRR汇总!$B$20</f>
        <v>20</v>
      </c>
      <c r="F1086" s="13" t="s">
        <v>25</v>
      </c>
      <c r="G1086" s="14">
        <v>0</v>
      </c>
    </row>
    <row r="1087" spans="3:27" hidden="1" outlineLevel="1" x14ac:dyDescent="0.3">
      <c r="C1087" s="18" t="s">
        <v>59</v>
      </c>
      <c r="D1087" s="52">
        <f>分布式光伏电站IRR汇总!$B$21</f>
        <v>0.02</v>
      </c>
      <c r="F1087" s="13" t="s">
        <v>26</v>
      </c>
      <c r="G1087" s="14">
        <v>0.25</v>
      </c>
      <c r="Q1087" s="15"/>
    </row>
    <row r="1088" spans="3:27" hidden="1" outlineLevel="1" x14ac:dyDescent="0.3">
      <c r="C1088" s="18" t="s">
        <v>60</v>
      </c>
      <c r="D1088" s="52">
        <f>分布式光伏电站IRR汇总!$B$22</f>
        <v>4.4999999999999997E-3</v>
      </c>
      <c r="F1088" s="1" t="s">
        <v>44</v>
      </c>
      <c r="G1088" s="4"/>
      <c r="H1088" s="5">
        <v>1</v>
      </c>
      <c r="I1088" s="5">
        <v>2</v>
      </c>
      <c r="J1088" s="5">
        <v>3</v>
      </c>
      <c r="K1088" s="5">
        <v>4</v>
      </c>
      <c r="L1088" s="5">
        <v>5</v>
      </c>
      <c r="M1088" s="5">
        <v>6</v>
      </c>
      <c r="N1088" s="5">
        <v>7</v>
      </c>
      <c r="O1088" s="5">
        <v>8</v>
      </c>
      <c r="P1088" s="5">
        <v>9</v>
      </c>
      <c r="Q1088" s="5">
        <v>10</v>
      </c>
      <c r="R1088" s="5">
        <v>11</v>
      </c>
      <c r="S1088" s="5">
        <v>12</v>
      </c>
      <c r="T1088" s="5">
        <v>13</v>
      </c>
      <c r="U1088" s="5">
        <v>14</v>
      </c>
      <c r="V1088" s="5">
        <v>15</v>
      </c>
      <c r="W1088" s="5">
        <v>16</v>
      </c>
      <c r="X1088" s="5">
        <v>17</v>
      </c>
      <c r="Y1088" s="5">
        <v>18</v>
      </c>
      <c r="Z1088" s="5">
        <v>19</v>
      </c>
      <c r="AA1088" s="5">
        <v>20</v>
      </c>
    </row>
    <row r="1089" spans="3:27" hidden="1" outlineLevel="1" x14ac:dyDescent="0.3">
      <c r="C1089" s="18" t="s">
        <v>28</v>
      </c>
      <c r="D1089" s="29">
        <f>分布式光伏电站IRR汇总!$B$23</f>
        <v>0.04</v>
      </c>
      <c r="F1089" s="16"/>
      <c r="G1089" s="2" t="s">
        <v>0</v>
      </c>
      <c r="H1089" s="2" t="s">
        <v>1</v>
      </c>
      <c r="I1089" s="2" t="s">
        <v>2</v>
      </c>
      <c r="J1089" s="2" t="s">
        <v>3</v>
      </c>
      <c r="K1089" s="2" t="s">
        <v>4</v>
      </c>
      <c r="L1089" s="2" t="s">
        <v>5</v>
      </c>
      <c r="M1089" s="2" t="s">
        <v>6</v>
      </c>
      <c r="N1089" s="2" t="s">
        <v>7</v>
      </c>
      <c r="O1089" s="2" t="s">
        <v>8</v>
      </c>
      <c r="P1089" s="2" t="s">
        <v>9</v>
      </c>
      <c r="Q1089" s="2" t="s">
        <v>10</v>
      </c>
      <c r="R1089" s="2" t="s">
        <v>11</v>
      </c>
      <c r="S1089" s="2" t="s">
        <v>12</v>
      </c>
      <c r="T1089" s="2" t="s">
        <v>13</v>
      </c>
      <c r="U1089" s="2" t="s">
        <v>45</v>
      </c>
      <c r="V1089" s="2" t="s">
        <v>46</v>
      </c>
      <c r="W1089" s="2" t="s">
        <v>47</v>
      </c>
      <c r="X1089" s="2" t="s">
        <v>48</v>
      </c>
      <c r="Y1089" s="2" t="s">
        <v>49</v>
      </c>
      <c r="Z1089" s="2" t="s">
        <v>50</v>
      </c>
      <c r="AA1089" s="2" t="s">
        <v>51</v>
      </c>
    </row>
    <row r="1090" spans="3:27" hidden="1" outlineLevel="1" x14ac:dyDescent="0.3">
      <c r="C1090" s="18" t="s">
        <v>43</v>
      </c>
      <c r="D1090" s="19">
        <f>分布式光伏电站IRR汇总!$B$24</f>
        <v>0.05</v>
      </c>
      <c r="F1090" s="6" t="s">
        <v>14</v>
      </c>
      <c r="G1090" s="33">
        <f>D1092</f>
        <v>24.611999999999995</v>
      </c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3"/>
    </row>
    <row r="1091" spans="3:27" hidden="1" outlineLevel="1" x14ac:dyDescent="0.3">
      <c r="C1091" s="18" t="s">
        <v>126</v>
      </c>
      <c r="D1091" s="28">
        <f>Backup分地区光伏小时数及电价!E24</f>
        <v>1242</v>
      </c>
      <c r="F1091" s="6" t="s">
        <v>15</v>
      </c>
      <c r="G1091" s="33">
        <f>SUM(H1092:AA1092)</f>
        <v>23.381399999999985</v>
      </c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/>
    </row>
    <row r="1092" spans="3:27" hidden="1" outlineLevel="1" x14ac:dyDescent="0.3">
      <c r="C1092" s="24" t="s">
        <v>14</v>
      </c>
      <c r="D1092" s="30">
        <f>D1068*D1073</f>
        <v>24.611999999999995</v>
      </c>
      <c r="F1092" s="7" t="s">
        <v>16</v>
      </c>
      <c r="G1092" s="33"/>
      <c r="H1092" s="33">
        <f>D1092*(1-D1090)/D1086/((1+G1086)^H1088)</f>
        <v>1.1690699999999996</v>
      </c>
      <c r="I1092" s="33">
        <f>D1092*(1-D1090)/D1086/((1+G1086)^I1088)</f>
        <v>1.1690699999999996</v>
      </c>
      <c r="J1092" s="33">
        <f>D1092*(1-D1090)/D1086/((1+G1086)^J1088)</f>
        <v>1.1690699999999996</v>
      </c>
      <c r="K1092" s="33">
        <f>D1092*(1-D1090)/D1086/((1+G1086)^K1088)</f>
        <v>1.1690699999999996</v>
      </c>
      <c r="L1092" s="33">
        <f>D1092*(1-D1090)/D1086/((1+G1086)^L1088)</f>
        <v>1.1690699999999996</v>
      </c>
      <c r="M1092" s="33">
        <f>D1092*(1-D1090)/D1086/((1+G1086)^M1088)</f>
        <v>1.1690699999999996</v>
      </c>
      <c r="N1092" s="33">
        <f>D1092*(1-D1090)/D1086/((1+G1086)^N1088)</f>
        <v>1.1690699999999996</v>
      </c>
      <c r="O1092" s="33">
        <f>D1092*(1-D1090)/D1086/((1+G1086)^O1088)</f>
        <v>1.1690699999999996</v>
      </c>
      <c r="P1092" s="33">
        <f>D1092*(1-D1090)/D1086/((1+G1086)^P1088)</f>
        <v>1.1690699999999996</v>
      </c>
      <c r="Q1092" s="33">
        <f>D1092*(1-D1090)/D1086/((1+G1086)^Q1088)</f>
        <v>1.1690699999999996</v>
      </c>
      <c r="R1092" s="33">
        <f>D1092*(1-D1090)/D1086/((1+G1086)^R1088)</f>
        <v>1.1690699999999996</v>
      </c>
      <c r="S1092" s="33">
        <f>D1092*(1-D1090)/D1086/((1+G1086)^S1088)</f>
        <v>1.1690699999999996</v>
      </c>
      <c r="T1092" s="33">
        <f>D1092*(1-D1090)/D1086/((1+G1086)^T1088)</f>
        <v>1.1690699999999996</v>
      </c>
      <c r="U1092" s="33">
        <f>D1092*(1-D1090)/D1086/((1+G1086)^U1088)</f>
        <v>1.1690699999999996</v>
      </c>
      <c r="V1092" s="33">
        <f>D1092*(1-D1090)/D1086/((1+G1086)^V1088)</f>
        <v>1.1690699999999996</v>
      </c>
      <c r="W1092" s="33">
        <f>D1092*(1-D1090)/D1086/((1+G1086)^W1088)</f>
        <v>1.1690699999999996</v>
      </c>
      <c r="X1092" s="33">
        <f>D1092*(1-D1090)/D1086/((1+G1086)^X1088)</f>
        <v>1.1690699999999996</v>
      </c>
      <c r="Y1092" s="33">
        <f>D1092*(1-D1090)/D1086/((1+G1086)^Y1088)</f>
        <v>1.1690699999999996</v>
      </c>
      <c r="Z1092" s="33">
        <f>D1092*(1-D1090)/D1086/((1+G1086)^Z1088)</f>
        <v>1.1690699999999996</v>
      </c>
      <c r="AA1092" s="33">
        <f>D1092*(1-D1090)/D1086/((1+G1086)^AA1088)</f>
        <v>1.1690699999999996</v>
      </c>
    </row>
    <row r="1093" spans="3:27" hidden="1" outlineLevel="1" x14ac:dyDescent="0.3">
      <c r="C1093" s="18" t="s">
        <v>29</v>
      </c>
      <c r="D1093" s="29">
        <v>0.35980000000000001</v>
      </c>
      <c r="F1093" s="6" t="s">
        <v>17</v>
      </c>
      <c r="G1093" s="33">
        <f>SUM(H1094:AA1094)</f>
        <v>4.8000000000000025</v>
      </c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</row>
    <row r="1094" spans="3:27" hidden="1" outlineLevel="1" x14ac:dyDescent="0.3">
      <c r="C1094" s="18" t="s">
        <v>30</v>
      </c>
      <c r="D1094" s="31">
        <f>Backup分地区光伏小时数及电价!I24</f>
        <v>0.82023620000000008</v>
      </c>
      <c r="F1094" s="7" t="s">
        <v>18</v>
      </c>
      <c r="G1094" s="33"/>
      <c r="H1094" s="33">
        <f>D1089*D1068/((1+G1086)^H1088)</f>
        <v>0.24</v>
      </c>
      <c r="I1094" s="33">
        <f>D1089*D1068/((1+G1086)^I1088)</f>
        <v>0.24</v>
      </c>
      <c r="J1094" s="33">
        <f>D1089*D1068/((1+G1086)^J1088)</f>
        <v>0.24</v>
      </c>
      <c r="K1094" s="33">
        <f>D1089*D1068/((1+G1086)^K1088)</f>
        <v>0.24</v>
      </c>
      <c r="L1094" s="33">
        <f>D1089*D1068/((1+G1086)^L1088)</f>
        <v>0.24</v>
      </c>
      <c r="M1094" s="33">
        <f>D1089*D1068/((1+G1086)^M1088)</f>
        <v>0.24</v>
      </c>
      <c r="N1094" s="33">
        <f>D1089*D1068/((1+G1086)^N1088)</f>
        <v>0.24</v>
      </c>
      <c r="O1094" s="33">
        <f>D1089*D1068/((1+G1086)^O1088)</f>
        <v>0.24</v>
      </c>
      <c r="P1094" s="33">
        <f>D1089*D1068/((1+G1086)^P1088)</f>
        <v>0.24</v>
      </c>
      <c r="Q1094" s="33">
        <f>D1089*D1068/((1+G1086)^Q1088)</f>
        <v>0.24</v>
      </c>
      <c r="R1094" s="33">
        <f>D1089*D1068/((1+G1086)^R1088)</f>
        <v>0.24</v>
      </c>
      <c r="S1094" s="33">
        <f>D1089*D1068/((1+G1086)^S1088)</f>
        <v>0.24</v>
      </c>
      <c r="T1094" s="33">
        <f>D1089*D1068/((1+G1086)^T1088)</f>
        <v>0.24</v>
      </c>
      <c r="U1094" s="33">
        <f>D1089*D1068/((1+G1086)^U1088)</f>
        <v>0.24</v>
      </c>
      <c r="V1094" s="33">
        <f>D1089*D1068/((1+G1086)^V1088)</f>
        <v>0.24</v>
      </c>
      <c r="W1094" s="33">
        <f>D1089*D1068/((1+G1086)^W1088)</f>
        <v>0.24</v>
      </c>
      <c r="X1094" s="33">
        <f>D1089*D1068/((1+G1086)^X1088)</f>
        <v>0.24</v>
      </c>
      <c r="Y1094" s="33">
        <f>D1089*D1068/((1+G1086)^Y1088)</f>
        <v>0.24</v>
      </c>
      <c r="Z1094" s="33">
        <f>D1089*D1068/((1+G1086)^Z1088)</f>
        <v>0.24</v>
      </c>
      <c r="AA1094" s="33">
        <f>D1089*D1068/((1+G1086)^AA1088)</f>
        <v>0.24</v>
      </c>
    </row>
    <row r="1095" spans="3:27" hidden="1" outlineLevel="1" x14ac:dyDescent="0.3">
      <c r="C1095" s="18" t="s">
        <v>70</v>
      </c>
      <c r="D1095" s="32">
        <f>分布式光伏电站IRR汇总!$B$27</f>
        <v>1</v>
      </c>
      <c r="F1095" s="6" t="s">
        <v>19</v>
      </c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3">
        <f>D1089*D1092/((1+G1086)^AA1088)</f>
        <v>0.9844799999999998</v>
      </c>
    </row>
    <row r="1096" spans="3:27" hidden="1" outlineLevel="1" x14ac:dyDescent="0.3">
      <c r="C1096" s="18" t="s">
        <v>69</v>
      </c>
      <c r="D1096" s="31">
        <f>D1095*D1094</f>
        <v>0.82023620000000008</v>
      </c>
      <c r="F1096" s="8" t="s">
        <v>64</v>
      </c>
      <c r="G1096" s="33">
        <f>SUM(H1097:AA1097)</f>
        <v>121223.18200452228</v>
      </c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3"/>
    </row>
    <row r="1097" spans="3:27" hidden="1" outlineLevel="1" x14ac:dyDescent="0.3">
      <c r="C1097" s="18" t="s">
        <v>31</v>
      </c>
      <c r="D1097" s="27">
        <v>0</v>
      </c>
      <c r="F1097" s="9" t="s">
        <v>65</v>
      </c>
      <c r="G1097" s="33"/>
      <c r="H1097" s="33">
        <f>D1068*D1085*(1-D1087)*D1091/((1+G1086)^H1088)</f>
        <v>6324.3633599999994</v>
      </c>
      <c r="I1097" s="33">
        <f>D1068*D1085*(1-D1087)*(1-D1088)^(I1088-1)*D1091/((1+G1086)^I1088)</f>
        <v>6295.9037248799996</v>
      </c>
      <c r="J1097" s="33">
        <f>D1068*D1085*(1-D1087)*(1-D1088)^(J1088-1)*D1091/((1+G1086)^J1088)</f>
        <v>6267.5721581180396</v>
      </c>
      <c r="K1097" s="33">
        <f>D1068*D1085*(1-D1087)*(1-D1088)^(K1088-1)*D1091/((1+G1086)^K1088)</f>
        <v>6239.3680834065099</v>
      </c>
      <c r="L1097" s="33">
        <f>D1068*D1085*(1-D1087)*(1-D1088)^(L1088-1)*D1091/((1+G1086)^L1088)</f>
        <v>6211.2909270311802</v>
      </c>
      <c r="M1097" s="33">
        <f>D1068*D1085*(1-D1087)*(1-D1088)^(M1088-1)*D1091/((1+G1086)^M1088)</f>
        <v>6183.3401178595404</v>
      </c>
      <c r="N1097" s="33">
        <f>D1068*D1085*(1-D1087)*(1-D1088)^(N1088-1)*D1091/((1+G1086)^N1088)</f>
        <v>6155.5150873291732</v>
      </c>
      <c r="O1097" s="33">
        <f>D1068*D1085*(1-D1087)*(1-D1088)^(O1088-1)*D1091/((1+G1086)^O1088)</f>
        <v>6127.8152694361916</v>
      </c>
      <c r="P1097" s="33">
        <f>D1068*D1085*(1-D1087)*(1-D1088)^(P1088-1)*D1091/((1+G1086)^P1088)</f>
        <v>6100.2401007237295</v>
      </c>
      <c r="Q1097" s="33">
        <f>D1068*D1085*(1-D1087)*(1-D1088)^(Q1088-1)*D1091/((1+G1086)^Q1088)</f>
        <v>6072.789020270473</v>
      </c>
      <c r="R1097" s="33">
        <f>D1068*D1085*(1-D1087)*(1-D1088)^(R1088-1)*D1091/((1+G1086)^R1088)</f>
        <v>6045.4614696792569</v>
      </c>
      <c r="S1097" s="33">
        <f>D1068*D1085*(1-D1087)*(1-D1088)^(S1088-1)*D1091/((1+G1086)^S1088)</f>
        <v>6018.2568930656998</v>
      </c>
      <c r="T1097" s="33">
        <f>D1068*D1085*(1-D1087)*(1-D1088)^(T1088-1)*D1091/((1+G1086)^T1088)</f>
        <v>5991.1747370469047</v>
      </c>
      <c r="U1097" s="33">
        <f>D1068*D1085*(1-D1087)*(1-D1088)^(U1088-1)*D1091/((1+G1086)^U1088)</f>
        <v>5964.2144507301937</v>
      </c>
      <c r="V1097" s="33">
        <f>D1068*D1085*(1-D1087)*(1-D1088)^(V1088-1)*D1091/((1+G1086)^V1088)</f>
        <v>5937.3754857019076</v>
      </c>
      <c r="W1097" s="33">
        <f>D1068*D1085*(1-D1087)*(1-D1088)^(W1088-1)*D1091/((1+G1086)^W1088)</f>
        <v>5910.6572960162503</v>
      </c>
      <c r="X1097" s="33">
        <f>D1068*D1085*(1-D1087)*(1-D1088)^(X1088-1)*D1091/((1+G1086)^X1088)</f>
        <v>5884.0593381841772</v>
      </c>
      <c r="Y1097" s="33">
        <f>D1068*D1085*(1-D1087)*(1-D1088)^(Y1088-1)*D1091/((1+G1086)^Y1088)</f>
        <v>5857.581071162349</v>
      </c>
      <c r="Z1097" s="33">
        <f>D1068*D1085*(1-D1087)*(1-D1088)^(Z1088-1)*D1091/((1+G1086)^Z1088)</f>
        <v>5831.2219563421195</v>
      </c>
      <c r="AA1097" s="33">
        <f>D1068*D1085*(1-D1087)*(1-D1088)^(AA1088-1)*D1091/((1+G1086)^AA1088)</f>
        <v>5804.9814575385799</v>
      </c>
    </row>
    <row r="1098" spans="3:27" hidden="1" outlineLevel="1" x14ac:dyDescent="0.3">
      <c r="F1098" s="4" t="s">
        <v>66</v>
      </c>
      <c r="G1098" s="33">
        <f>SUM(H1099:AA1099)</f>
        <v>99.431642159297738</v>
      </c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3"/>
    </row>
    <row r="1099" spans="3:27" hidden="1" outlineLevel="1" x14ac:dyDescent="0.3">
      <c r="F1099" s="7" t="s">
        <v>67</v>
      </c>
      <c r="G1099" s="33"/>
      <c r="H1099" s="33">
        <f>H1097*D1096/1000</f>
        <v>5.1874717698256321</v>
      </c>
      <c r="I1099" s="33">
        <f>I1097*D1096/1000</f>
        <v>5.1641281468614171</v>
      </c>
      <c r="J1099" s="33">
        <f>J1097*D1096/1000</f>
        <v>5.1408895702005406</v>
      </c>
      <c r="K1099" s="33">
        <f>K1097*D1096/1000</f>
        <v>5.1177555671346386</v>
      </c>
      <c r="L1099" s="33">
        <f>L1097*D1096/1000</f>
        <v>5.0947256670825327</v>
      </c>
      <c r="M1099" s="33">
        <f>M1097*D1096/1000</f>
        <v>5.0717994015806616</v>
      </c>
      <c r="N1099" s="33">
        <f>N1097*D1096/1000</f>
        <v>5.0489763042735492</v>
      </c>
      <c r="O1099" s="33">
        <f>O1097*D1096/1000</f>
        <v>5.026255910904319</v>
      </c>
      <c r="P1099" s="33">
        <f>P1097*D1096/1000</f>
        <v>5.0036377593052492</v>
      </c>
      <c r="Q1099" s="33">
        <f>Q1097*D1096/1000</f>
        <v>4.9811213893883757</v>
      </c>
      <c r="R1099" s="33">
        <f>R1097*D1096/1000</f>
        <v>4.9587063431361296</v>
      </c>
      <c r="S1099" s="33">
        <f>S1097*D1096/1000</f>
        <v>4.9363921645920161</v>
      </c>
      <c r="T1099" s="33">
        <f>T1097*D1096/1000</f>
        <v>4.9141783998513526</v>
      </c>
      <c r="U1099" s="33">
        <f>U1097*D1096/1000</f>
        <v>4.8920645970520216</v>
      </c>
      <c r="V1099" s="33">
        <f>V1097*D1096/1000</f>
        <v>4.8700503063652878</v>
      </c>
      <c r="W1099" s="33">
        <f>W1097*D1096/1000</f>
        <v>4.8481350799866449</v>
      </c>
      <c r="X1099" s="33">
        <f>X1097*D1096/1000</f>
        <v>4.8263184721267054</v>
      </c>
      <c r="Y1099" s="33">
        <f>Y1097*D1096/1000</f>
        <v>4.8046000390021355</v>
      </c>
      <c r="Z1099" s="33">
        <f>Z1097*D1096/1000</f>
        <v>4.7829793388266264</v>
      </c>
      <c r="AA1099" s="33">
        <f>AA1097*D1096/1000</f>
        <v>4.7614559318019065</v>
      </c>
    </row>
    <row r="1100" spans="3:27" hidden="1" outlineLevel="1" x14ac:dyDescent="0.3">
      <c r="F1100" s="4" t="s">
        <v>20</v>
      </c>
      <c r="G1100" s="33">
        <f>SUM(H1101:AA1101)</f>
        <v>17.812560539824435</v>
      </c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</row>
    <row r="1101" spans="3:27" hidden="1" outlineLevel="1" x14ac:dyDescent="0.3">
      <c r="F1101" s="7" t="s">
        <v>21</v>
      </c>
      <c r="G1101" s="33"/>
      <c r="H1101" s="33">
        <f>(H1099-H1092-H1094)*G1087</f>
        <v>0.94460044245640806</v>
      </c>
      <c r="I1101" s="33">
        <f>(I1099-I1092-I1094)*G1087</f>
        <v>0.93876453671535431</v>
      </c>
      <c r="J1101" s="33">
        <f>(J1099-J1092-J1094)*G1087</f>
        <v>0.9329548925501352</v>
      </c>
      <c r="K1101" s="33">
        <f>(K1099-K1092-K1094)*G1087</f>
        <v>0.9271713917836597</v>
      </c>
      <c r="L1101" s="33">
        <f>(L1099-L1092-L1094)*G1087</f>
        <v>0.92141391677063322</v>
      </c>
      <c r="M1101" s="33">
        <f>(M1099-M1092-M1094)*G1087</f>
        <v>0.91568235039516543</v>
      </c>
      <c r="N1101" s="33">
        <f>(N1099-N1092-N1094)*G1087</f>
        <v>0.90997657606838733</v>
      </c>
      <c r="O1101" s="33">
        <f>(O1099-O1092-O1094)*G1087</f>
        <v>0.90429647772607979</v>
      </c>
      <c r="P1101" s="33">
        <f>(P1099-P1092-P1094)*G1087</f>
        <v>0.89864193982631235</v>
      </c>
      <c r="Q1101" s="33">
        <f>(Q1099-Q1092-Q1094)*G1087</f>
        <v>0.89301284734709396</v>
      </c>
      <c r="R1101" s="33">
        <f>(R1099-R1092-R1094)*G1087</f>
        <v>0.88740908578403244</v>
      </c>
      <c r="S1101" s="33">
        <f>(S1099-S1092-S1094)*G1087</f>
        <v>0.88183054114800408</v>
      </c>
      <c r="T1101" s="33">
        <f>(T1099-T1092-T1094)*G1087</f>
        <v>0.8762770999628382</v>
      </c>
      <c r="U1101" s="33">
        <f>(U1099-U1092-U1094)*G1087</f>
        <v>0.87074864926300544</v>
      </c>
      <c r="V1101" s="33">
        <f>(V1099-V1092-V1094)*G1087</f>
        <v>0.86524507659132199</v>
      </c>
      <c r="W1101" s="33">
        <f>(W1099-W1092-W1094)*G1087</f>
        <v>0.85976626999666128</v>
      </c>
      <c r="X1101" s="33">
        <f>(X1099-X1092-X1094)*G1087</f>
        <v>0.85431211803167639</v>
      </c>
      <c r="Y1101" s="33">
        <f>(Y1099-Y1092-Y1094)*G1087</f>
        <v>0.84888250975053392</v>
      </c>
      <c r="Z1101" s="33">
        <f>(Z1099-Z1092-Z1094)*G1087</f>
        <v>0.84347733470665665</v>
      </c>
      <c r="AA1101" s="33">
        <f>(AA1099-AA1092-AA1094)*G1087</f>
        <v>0.83809648295047667</v>
      </c>
    </row>
    <row r="1102" spans="3:27" hidden="1" outlineLevel="1" x14ac:dyDescent="0.3">
      <c r="F1102" s="10" t="s">
        <v>22</v>
      </c>
      <c r="G1102" s="33">
        <f>-G1090</f>
        <v>-24.611999999999995</v>
      </c>
      <c r="H1102" s="33">
        <f>H1099-H1101-H1094</f>
        <v>4.002871327369224</v>
      </c>
      <c r="I1102" s="33">
        <f t="shared" ref="I1102" si="371">I1099-I1101-I1094</f>
        <v>3.985363610146063</v>
      </c>
      <c r="J1102" s="33">
        <f t="shared" ref="J1102" si="372">J1099-J1101-J1094</f>
        <v>3.9679346776504048</v>
      </c>
      <c r="K1102" s="33">
        <f t="shared" ref="K1102" si="373">K1099-K1101-K1094</f>
        <v>3.9505841753509792</v>
      </c>
      <c r="L1102" s="33">
        <f t="shared" ref="L1102" si="374">L1099-L1101-L1094</f>
        <v>3.9333117503118995</v>
      </c>
      <c r="M1102" s="33">
        <f t="shared" ref="M1102" si="375">M1099-M1101-M1094</f>
        <v>3.9161170511854957</v>
      </c>
      <c r="N1102" s="33">
        <f t="shared" ref="N1102" si="376">N1099-N1101-N1094</f>
        <v>3.8989997282051618</v>
      </c>
      <c r="O1102" s="33">
        <f t="shared" ref="O1102" si="377">O1099-O1101-O1094</f>
        <v>3.8819594331782392</v>
      </c>
      <c r="P1102" s="33">
        <f t="shared" ref="P1102" si="378">P1099-P1101-P1094</f>
        <v>3.8649958194789367</v>
      </c>
      <c r="Q1102" s="33">
        <f t="shared" ref="Q1102" si="379">Q1099-Q1101-Q1094</f>
        <v>3.8481085420412811</v>
      </c>
      <c r="R1102" s="33">
        <f t="shared" ref="R1102" si="380">R1099-R1101-R1094</f>
        <v>3.8312972573520971</v>
      </c>
      <c r="S1102" s="33">
        <f t="shared" ref="S1102" si="381">S1099-S1101-S1094</f>
        <v>3.8145616234440123</v>
      </c>
      <c r="T1102" s="33">
        <f t="shared" ref="T1102" si="382">T1099-T1101-T1094</f>
        <v>3.7979012998885144</v>
      </c>
      <c r="U1102" s="33">
        <f t="shared" ref="U1102" si="383">U1099-U1101-U1094</f>
        <v>3.7813159477890164</v>
      </c>
      <c r="V1102" s="33">
        <f t="shared" ref="V1102" si="384">V1099-V1101-V1094</f>
        <v>3.764805229773966</v>
      </c>
      <c r="W1102" s="33">
        <f t="shared" ref="W1102" si="385">W1099-W1101-W1094</f>
        <v>3.7483688099899837</v>
      </c>
      <c r="X1102" s="33">
        <f t="shared" ref="X1102" si="386">X1099-X1101-X1094</f>
        <v>3.732006354095029</v>
      </c>
      <c r="Y1102" s="33">
        <f t="shared" ref="Y1102" si="387">Y1099-Y1101-Y1094</f>
        <v>3.7157175292516014</v>
      </c>
      <c r="Z1102" s="33">
        <f t="shared" ref="Z1102" si="388">Z1099-Z1101-Z1094</f>
        <v>3.69950200411997</v>
      </c>
      <c r="AA1102" s="33">
        <f t="shared" ref="AA1102" si="389">AA1099-AA1101-AA1094</f>
        <v>3.6833594488514301</v>
      </c>
    </row>
    <row r="1103" spans="3:27" ht="13.5" hidden="1" outlineLevel="1" thickBot="1" x14ac:dyDescent="0.35">
      <c r="F1103" s="3" t="s">
        <v>68</v>
      </c>
      <c r="G1103" s="40">
        <f>IRR(G1102:AA1102)</f>
        <v>0.14900503451136715</v>
      </c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</row>
    <row r="1104" spans="3:27" ht="13.5" collapsed="1" thickTop="1" x14ac:dyDescent="0.3"/>
    <row r="1105" spans="2:27" x14ac:dyDescent="0.3">
      <c r="B1105" s="11" t="s">
        <v>166</v>
      </c>
      <c r="C1105" s="11" t="s">
        <v>52</v>
      </c>
    </row>
    <row r="1106" spans="2:27" x14ac:dyDescent="0.3">
      <c r="C1106" s="11" t="s">
        <v>141</v>
      </c>
      <c r="D1106" s="54">
        <f>D1137</f>
        <v>1225</v>
      </c>
    </row>
    <row r="1107" spans="2:27" x14ac:dyDescent="0.3">
      <c r="C1107" s="16" t="s">
        <v>78</v>
      </c>
      <c r="D1107" s="37">
        <f>(G1136+G1139+G1146)/G1142*1000</f>
        <v>0.35653406290152745</v>
      </c>
    </row>
    <row r="1108" spans="2:27" x14ac:dyDescent="0.3">
      <c r="C1108" s="13" t="s">
        <v>77</v>
      </c>
      <c r="D1108" s="39">
        <f>(G1117+G1120+G1127)/G1123*1000</f>
        <v>0.52110604659866722</v>
      </c>
    </row>
    <row r="1109" spans="2:27" x14ac:dyDescent="0.3">
      <c r="C1109" s="13" t="s">
        <v>61</v>
      </c>
      <c r="D1109" s="36">
        <f>G1130</f>
        <v>0.36946995089824952</v>
      </c>
    </row>
    <row r="1110" spans="2:27" x14ac:dyDescent="0.3">
      <c r="C1110" s="13" t="s">
        <v>73</v>
      </c>
      <c r="D1110" s="25">
        <f>SUM(G1129:AA1129)</f>
        <v>9.0933944315077149</v>
      </c>
    </row>
    <row r="1111" spans="2:27" ht="13.5" thickBot="1" x14ac:dyDescent="0.35">
      <c r="C1111" s="23" t="s">
        <v>68</v>
      </c>
      <c r="D1111" s="26">
        <f>G1149</f>
        <v>0.11527281061031402</v>
      </c>
    </row>
    <row r="1112" spans="2:27" ht="13.5" hidden="1" outlineLevel="1" thickTop="1" x14ac:dyDescent="0.3">
      <c r="E1112" s="20"/>
      <c r="F1112" s="38" t="s">
        <v>75</v>
      </c>
    </row>
    <row r="1113" spans="2:27" hidden="1" outlineLevel="1" x14ac:dyDescent="0.3">
      <c r="C1113" s="11" t="s">
        <v>71</v>
      </c>
      <c r="F1113" s="13" t="s">
        <v>25</v>
      </c>
      <c r="G1113" s="14">
        <v>7.0000000000000007E-2</v>
      </c>
    </row>
    <row r="1114" spans="2:27" hidden="1" outlineLevel="1" x14ac:dyDescent="0.3">
      <c r="C1114" s="18" t="s">
        <v>53</v>
      </c>
      <c r="D1114" s="19">
        <f>分布式光伏电站IRR汇总!$B$2</f>
        <v>6</v>
      </c>
      <c r="F1114" s="13" t="s">
        <v>26</v>
      </c>
      <c r="G1114" s="14">
        <v>0.25</v>
      </c>
    </row>
    <row r="1115" spans="2:27" hidden="1" outlineLevel="1" x14ac:dyDescent="0.3">
      <c r="C1115" s="18" t="s">
        <v>56</v>
      </c>
      <c r="D1115" s="19">
        <f>分布式光伏电站IRR汇总!$B$3</f>
        <v>120</v>
      </c>
      <c r="F1115" s="1" t="s">
        <v>44</v>
      </c>
      <c r="G1115" s="4"/>
      <c r="H1115" s="5">
        <v>1</v>
      </c>
      <c r="I1115" s="5">
        <v>2</v>
      </c>
      <c r="J1115" s="5">
        <v>3</v>
      </c>
      <c r="K1115" s="5">
        <v>4</v>
      </c>
      <c r="L1115" s="5">
        <v>5</v>
      </c>
      <c r="M1115" s="5">
        <v>6</v>
      </c>
      <c r="N1115" s="5">
        <v>7</v>
      </c>
      <c r="O1115" s="5">
        <v>8</v>
      </c>
      <c r="P1115" s="5">
        <v>9</v>
      </c>
      <c r="Q1115" s="5">
        <v>10</v>
      </c>
      <c r="R1115" s="5">
        <v>11</v>
      </c>
      <c r="S1115" s="5">
        <v>12</v>
      </c>
      <c r="T1115" s="5">
        <v>13</v>
      </c>
      <c r="U1115" s="5">
        <v>14</v>
      </c>
      <c r="V1115" s="5">
        <v>15</v>
      </c>
      <c r="W1115" s="5">
        <v>16</v>
      </c>
      <c r="X1115" s="5">
        <v>17</v>
      </c>
      <c r="Y1115" s="5">
        <v>18</v>
      </c>
      <c r="Z1115" s="5">
        <v>19</v>
      </c>
      <c r="AA1115" s="5">
        <v>20</v>
      </c>
    </row>
    <row r="1116" spans="2:27" hidden="1" outlineLevel="1" x14ac:dyDescent="0.3">
      <c r="C1116" s="18" t="s">
        <v>57</v>
      </c>
      <c r="D1116" s="19">
        <f>分布式光伏电站IRR汇总!$B$4</f>
        <v>3</v>
      </c>
      <c r="F1116" s="16"/>
      <c r="G1116" s="2" t="s">
        <v>0</v>
      </c>
      <c r="H1116" s="2" t="s">
        <v>1</v>
      </c>
      <c r="I1116" s="2" t="s">
        <v>2</v>
      </c>
      <c r="J1116" s="2" t="s">
        <v>3</v>
      </c>
      <c r="K1116" s="2" t="s">
        <v>4</v>
      </c>
      <c r="L1116" s="2" t="s">
        <v>5</v>
      </c>
      <c r="M1116" s="2" t="s">
        <v>6</v>
      </c>
      <c r="N1116" s="2" t="s">
        <v>7</v>
      </c>
      <c r="O1116" s="2" t="s">
        <v>8</v>
      </c>
      <c r="P1116" s="2" t="s">
        <v>9</v>
      </c>
      <c r="Q1116" s="2" t="s">
        <v>10</v>
      </c>
      <c r="R1116" s="2" t="s">
        <v>11</v>
      </c>
      <c r="S1116" s="2" t="s">
        <v>12</v>
      </c>
      <c r="T1116" s="2" t="s">
        <v>13</v>
      </c>
      <c r="U1116" s="2" t="s">
        <v>45</v>
      </c>
      <c r="V1116" s="2" t="s">
        <v>46</v>
      </c>
      <c r="W1116" s="2" t="s">
        <v>47</v>
      </c>
      <c r="X1116" s="2" t="s">
        <v>48</v>
      </c>
      <c r="Y1116" s="2" t="s">
        <v>49</v>
      </c>
      <c r="Z1116" s="2" t="s">
        <v>50</v>
      </c>
      <c r="AA1116" s="2" t="s">
        <v>127</v>
      </c>
    </row>
    <row r="1117" spans="2:27" hidden="1" outlineLevel="1" x14ac:dyDescent="0.3">
      <c r="C1117" s="18" t="s">
        <v>54</v>
      </c>
      <c r="D1117" s="19">
        <f>分布式光伏电站IRR汇总!$B$5</f>
        <v>5</v>
      </c>
      <c r="F1117" s="6" t="s">
        <v>14</v>
      </c>
      <c r="G1117" s="33">
        <f>D1138</f>
        <v>24.611999999999995</v>
      </c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</row>
    <row r="1118" spans="2:27" hidden="1" outlineLevel="1" x14ac:dyDescent="0.3">
      <c r="C1118" s="18" t="s">
        <v>55</v>
      </c>
      <c r="D1118" s="19">
        <f>分布式光伏电站IRR汇总!$B$6</f>
        <v>15</v>
      </c>
      <c r="F1118" s="6" t="s">
        <v>15</v>
      </c>
      <c r="G1118" s="33">
        <f>SUM(H1119:AA1119)</f>
        <v>12.385144234005573</v>
      </c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3"/>
    </row>
    <row r="1119" spans="2:27" hidden="1" outlineLevel="1" x14ac:dyDescent="0.3">
      <c r="C1119" s="18" t="s">
        <v>42</v>
      </c>
      <c r="D1119" s="19">
        <f>分布式光伏电站IRR汇总!$B$7</f>
        <v>4.1019999999999994</v>
      </c>
      <c r="F1119" s="7" t="s">
        <v>16</v>
      </c>
      <c r="G1119" s="33"/>
      <c r="H1119" s="33">
        <f>D1138*(1-D1136)/D1132/((1+G1113)^H1115)</f>
        <v>1.0925887850467286</v>
      </c>
      <c r="I1119" s="33">
        <f>D1138*(1-D1136)/D1132/((1+G1113)^I1115)</f>
        <v>1.0211110140623632</v>
      </c>
      <c r="J1119" s="33">
        <f>D1138*(1-D1136)/D1132/((1+G1113)^J1115)</f>
        <v>0.95430935893678792</v>
      </c>
      <c r="K1119" s="33">
        <f>D1138*(1-D1136)/D1132/((1+G1113)^K1115)</f>
        <v>0.89187790554839996</v>
      </c>
      <c r="L1119" s="33">
        <f>D1138*(1-D1136)/D1132/((1+G1113)^L1115)</f>
        <v>0.83353075284897193</v>
      </c>
      <c r="M1119" s="33">
        <f>D1138*(1-D1136)/D1132/((1+G1113)^M1115)</f>
        <v>0.77900070359717</v>
      </c>
      <c r="N1119" s="33">
        <f>D1138*(1-D1136)/D1132/((1+G1113)^N1115)</f>
        <v>0.72803804074501866</v>
      </c>
      <c r="O1119" s="33">
        <f>D1138*(1-D1136)/D1132/((1+G1113)^O1115)</f>
        <v>0.6804093838738493</v>
      </c>
      <c r="P1119" s="33">
        <f>D1138*(1-D1136)/D1132/((1+G1113)^P1115)</f>
        <v>0.63589662044284967</v>
      </c>
      <c r="Q1119" s="33">
        <f>D1138*(1-D1136)/D1132/((1+G1113)^Q1115)</f>
        <v>0.59429590695593437</v>
      </c>
      <c r="R1119" s="33">
        <f>D1138*(1-D1136)/D1132/((1+G1113)^R1115)</f>
        <v>0.55541673547283577</v>
      </c>
      <c r="S1119" s="33">
        <f>D1138*(1-D1136)/D1132/((1+G1113)^S1115)</f>
        <v>0.51908106118956621</v>
      </c>
      <c r="T1119" s="33">
        <f>D1138*(1-D1136)/D1132/((1+G1113)^T1115)</f>
        <v>0.4851224870930525</v>
      </c>
      <c r="U1119" s="33">
        <f>D1138*(1-D1136)/D1132/((1+G1113)^U1115)</f>
        <v>0.45338550195612387</v>
      </c>
      <c r="V1119" s="33">
        <f>D1138*(1-D1136)/D1132/((1+G1113)^V1115)</f>
        <v>0.4237247681832933</v>
      </c>
      <c r="W1119" s="33">
        <f>D1138*(1-D1136)/D1132/((1+G1113)^W1115)</f>
        <v>0.39600445624606856</v>
      </c>
      <c r="X1119" s="33">
        <f>D1138*(1-D1136)/D1132/((1+G1113)^X1115)</f>
        <v>0.37009762265987711</v>
      </c>
      <c r="Y1119" s="33">
        <f>D1138*(1-D1136)/D1132/((1+G1113)^Y1115)</f>
        <v>0.34588562865409078</v>
      </c>
      <c r="Z1119" s="33">
        <f>D1138*(1-D1136)/D1132/((1+G1113)^Z1115)</f>
        <v>0.323257596872982</v>
      </c>
      <c r="AA1119" s="33">
        <f>D1138*(1-D1136)/D1132/((1+G1113)^AA1115)</f>
        <v>0.30210990361960938</v>
      </c>
    </row>
    <row r="1120" spans="2:27" hidden="1" outlineLevel="1" x14ac:dyDescent="0.3">
      <c r="C1120" s="21" t="s">
        <v>32</v>
      </c>
      <c r="D1120" s="19">
        <f>分布式光伏电站IRR汇总!$B$8</f>
        <v>1.8870000000000002</v>
      </c>
      <c r="F1120" s="6" t="s">
        <v>17</v>
      </c>
      <c r="G1120" s="33">
        <f>SUM(H1121:AA1121)</f>
        <v>2.5425634189238777</v>
      </c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</row>
    <row r="1121" spans="3:27" hidden="1" outlineLevel="1" x14ac:dyDescent="0.3">
      <c r="C1121" s="21" t="s">
        <v>33</v>
      </c>
      <c r="D1121" s="19">
        <f>分布式光伏电站IRR汇总!$B$9</f>
        <v>0.18500000000000003</v>
      </c>
      <c r="F1121" s="7" t="s">
        <v>18</v>
      </c>
      <c r="G1121" s="33"/>
      <c r="H1121" s="33">
        <f>D1135*D1114/((1+G1113)^H1115)</f>
        <v>0.22429906542056072</v>
      </c>
      <c r="I1121" s="33">
        <f>D1135*D1114/((1+G1113)^I1115)</f>
        <v>0.20962529478557079</v>
      </c>
      <c r="J1121" s="33">
        <f>D1135*D1114/((1+G1113)^J1115)</f>
        <v>0.19591149045380446</v>
      </c>
      <c r="K1121" s="33">
        <f>D1135*D1114/((1+G1113)^K1115)</f>
        <v>0.18309485089140604</v>
      </c>
      <c r="L1121" s="33">
        <f>D1135*D1114/((1+G1113)^L1115)</f>
        <v>0.17111668307608041</v>
      </c>
      <c r="M1121" s="33">
        <f>D1135*D1114/((1+G1113)^M1115)</f>
        <v>0.15992213371596301</v>
      </c>
      <c r="N1121" s="33">
        <f>D1135*D1114/((1+G1113)^N1115)</f>
        <v>0.14945993805230187</v>
      </c>
      <c r="O1121" s="33">
        <f>D1135*D1114/((1+G1113)^O1115)</f>
        <v>0.13968218509560923</v>
      </c>
      <c r="P1121" s="33">
        <f>D1135*D1114/((1+G1113)^P1115)</f>
        <v>0.13054409822019553</v>
      </c>
      <c r="Q1121" s="33">
        <f>D1135*D1114/((1+G1113)^Q1115)</f>
        <v>0.12200383011233226</v>
      </c>
      <c r="R1121" s="33">
        <f>D1135*D1114/((1+G1113)^R1115)</f>
        <v>0.1140222711330208</v>
      </c>
      <c r="S1121" s="33">
        <f>D1135*D1114/((1+G1113)^S1115)</f>
        <v>0.10656287021777647</v>
      </c>
      <c r="T1121" s="33">
        <f>D1135*D1114/((1+G1113)^T1115)</f>
        <v>9.9591467493249028E-2</v>
      </c>
      <c r="U1121" s="33">
        <f>D1135*D1114/((1+G1113)^U1115)</f>
        <v>9.3076137844157969E-2</v>
      </c>
      <c r="V1121" s="33">
        <f>D1135*D1114/((1+G1113)^V1115)</f>
        <v>8.6987044714166323E-2</v>
      </c>
      <c r="W1121" s="33">
        <f>D1135*D1114/((1+G1113)^W1115)</f>
        <v>8.1296303471183481E-2</v>
      </c>
      <c r="X1121" s="33">
        <f>D1135*D1114/((1+G1113)^X1115)</f>
        <v>7.5977853711386434E-2</v>
      </c>
      <c r="Y1121" s="33">
        <f>D1135*D1114/((1+G1113)^Y1115)</f>
        <v>7.1007339917183582E-2</v>
      </c>
      <c r="Z1121" s="33">
        <f>D1135*D1114/((1+G1113)^Z1115)</f>
        <v>6.6361999922601472E-2</v>
      </c>
      <c r="AA1121" s="33">
        <f>D1135*D1114/((1+G1113)^AA1115)</f>
        <v>6.2020560675328483E-2</v>
      </c>
    </row>
    <row r="1122" spans="3:27" hidden="1" outlineLevel="1" x14ac:dyDescent="0.3">
      <c r="C1122" s="21" t="s">
        <v>34</v>
      </c>
      <c r="D1122" s="19">
        <f>分布式光伏电站IRR汇总!$B$10</f>
        <v>0.222</v>
      </c>
      <c r="F1122" s="6" t="s">
        <v>19</v>
      </c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>
        <f>D1135*D1138/((1+G1113)^AA1115)</f>
        <v>0.2544083398901974</v>
      </c>
    </row>
    <row r="1123" spans="3:27" hidden="1" outlineLevel="1" x14ac:dyDescent="0.3">
      <c r="C1123" s="21" t="s">
        <v>35</v>
      </c>
      <c r="D1123" s="19">
        <f>分布式光伏电站IRR汇总!$B$11</f>
        <v>0.44400000000000001</v>
      </c>
      <c r="F1123" s="8" t="s">
        <v>64</v>
      </c>
      <c r="G1123" s="33">
        <f>SUM(H1124:AA1124)</f>
        <v>63958.008325005765</v>
      </c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</row>
    <row r="1124" spans="3:27" hidden="1" outlineLevel="1" x14ac:dyDescent="0.3">
      <c r="C1124" s="21" t="s">
        <v>36</v>
      </c>
      <c r="D1124" s="19">
        <f>分布式光伏电站IRR汇总!$B$12</f>
        <v>0.222</v>
      </c>
      <c r="F1124" s="9" t="s">
        <v>65</v>
      </c>
      <c r="G1124" s="33"/>
      <c r="H1124" s="33">
        <f>D1114*D1131*(1-D1133)*D1137/((1+G1113)^H1115)</f>
        <v>5829.7177570093445</v>
      </c>
      <c r="I1124" s="33">
        <f>D1114*D1131*(1-D1133)*(1-D1134)^(I1115-1)*D1137/((1+G1113)^I1115)</f>
        <v>5423.8168477596291</v>
      </c>
      <c r="J1124" s="33">
        <f>D1114*D1131*(1-D1133)*(1-D1134)^(J1115-1)*D1137/((1+G1113)^J1115)</f>
        <v>5046.1772634997296</v>
      </c>
      <c r="K1124" s="33">
        <f>D1114*D1131*(1-D1133)*(1-D1134)^(K1115-1)*D1137/((1+G1113)^K1115)</f>
        <v>4694.8312764616649</v>
      </c>
      <c r="L1124" s="33">
        <f>D1114*D1131*(1-D1133)*(1-D1134)^(L1115-1)*D1137/((1+G1113)^L1115)</f>
        <v>4367.9481642220444</v>
      </c>
      <c r="M1124" s="33">
        <f>D1114*D1131*(1-D1133)*(1-D1134)^(M1115-1)*D1137/((1+G1113)^M1115)</f>
        <v>4063.8246705449028</v>
      </c>
      <c r="N1124" s="33">
        <f>D1114*D1131*(1-D1133)*(1-D1134)^(N1115-1)*D1137/((1+G1113)^N1115)</f>
        <v>3780.8761303994866</v>
      </c>
      <c r="O1124" s="33">
        <f>D1114*D1131*(1-D1133)*(1-D1134)^(O1115-1)*D1137/((1+G1113)^O1115)</f>
        <v>3517.628212909055</v>
      </c>
      <c r="P1124" s="33">
        <f>D1114*D1131*(1-D1133)*(1-D1134)^(P1115-1)*D1137/((1+G1113)^P1115)</f>
        <v>3272.7092392065083</v>
      </c>
      <c r="Q1124" s="33">
        <f>D1114*D1131*(1-D1133)*(1-D1134)^(Q1115-1)*D1137/((1+G1113)^Q1115)</f>
        <v>3044.8430351682991</v>
      </c>
      <c r="R1124" s="33">
        <f>D1114*D1131*(1-D1133)*(1-D1134)^(R1115-1)*D1137/((1+G1113)^R1115)</f>
        <v>2832.8422817850856</v>
      </c>
      <c r="S1124" s="33">
        <f>D1114*D1131*(1-D1133)*(1-D1134)^(S1115-1)*D1137/((1+G1113)^S1115)</f>
        <v>2635.6023285206106</v>
      </c>
      <c r="T1124" s="33">
        <f>D1114*D1131*(1-D1133)*(1-D1134)^(T1115-1)*D1137/((1+G1113)^T1115)</f>
        <v>2452.0954374226803</v>
      </c>
      <c r="U1124" s="33">
        <f>D1114*D1131*(1-D1133)*(1-D1134)^(U1115-1)*D1137/((1+G1113)^U1115)</f>
        <v>2281.3654279946522</v>
      </c>
      <c r="V1124" s="33">
        <f>D1114*D1131*(1-D1133)*(1-D1134)^(V1115-1)*D1137/((1+G1113)^V1115)</f>
        <v>2122.5226949239964</v>
      </c>
      <c r="W1124" s="33">
        <f>D1114*D1131*(1-D1133)*(1-D1134)^(W1115-1)*D1137/((1+G1113)^W1115)</f>
        <v>1974.7395727073263</v>
      </c>
      <c r="X1124" s="33">
        <f>D1114*D1131*(1-D1133)*(1-D1134)^(X1115-1)*D1137/((1+G1113)^X1115)</f>
        <v>1837.2460230188258</v>
      </c>
      <c r="Y1124" s="33">
        <f>D1114*D1131*(1-D1133)*(1-D1134)^(Y1115-1)*D1137/((1+G1113)^Y1115)</f>
        <v>1709.3256223506924</v>
      </c>
      <c r="Z1124" s="33">
        <f>D1114*D1131*(1-D1133)*(1-D1134)^(Z1115-1)*D1137/((1+G1113)^Z1115)</f>
        <v>1590.3118290187986</v>
      </c>
      <c r="AA1124" s="33">
        <f>D1114*D1131*(1-D1133)*(1-D1134)^(AA1115-1)*D1137/((1+G1113)^AA1115)</f>
        <v>1479.5845100824433</v>
      </c>
    </row>
    <row r="1125" spans="3:27" hidden="1" outlineLevel="1" x14ac:dyDescent="0.3">
      <c r="C1125" s="21" t="s">
        <v>37</v>
      </c>
      <c r="D1125" s="19">
        <f>分布式光伏电站IRR汇总!$B$13</f>
        <v>0.15</v>
      </c>
      <c r="F1125" s="4" t="s">
        <v>66</v>
      </c>
      <c r="G1125" s="33">
        <f>SUM(H1126:AA1126)</f>
        <v>43.354707916265639</v>
      </c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</row>
    <row r="1126" spans="3:27" hidden="1" outlineLevel="1" x14ac:dyDescent="0.3">
      <c r="C1126" s="21" t="s">
        <v>38</v>
      </c>
      <c r="D1126" s="19">
        <f>分布式光伏电站IRR汇总!$B$14</f>
        <v>3.7000000000000005E-2</v>
      </c>
      <c r="F1126" s="7" t="s">
        <v>67</v>
      </c>
      <c r="G1126" s="33"/>
      <c r="H1126" s="33">
        <f>H1124*D1142/1000</f>
        <v>3.9517445462821108</v>
      </c>
      <c r="I1126" s="33">
        <f>I1124*D1142/1000</f>
        <v>3.6765997157232162</v>
      </c>
      <c r="J1126" s="33">
        <f>J1124*D1142/1000</f>
        <v>3.4206121654228614</v>
      </c>
      <c r="K1126" s="33">
        <f>K1124*D1142/1000</f>
        <v>3.1824480473630454</v>
      </c>
      <c r="L1126" s="33">
        <f>L1124*D1142/1000</f>
        <v>2.9608663842522542</v>
      </c>
      <c r="M1126" s="33">
        <f>M1124*D1142/1000</f>
        <v>2.7547126032926355</v>
      </c>
      <c r="N1126" s="33">
        <f>N1124*D1142/1000</f>
        <v>2.5629125201661855</v>
      </c>
      <c r="O1126" s="33">
        <f>O1124*D1142/1000</f>
        <v>2.3844667418929326</v>
      </c>
      <c r="P1126" s="33">
        <f>P1124*D1142/1000</f>
        <v>2.2184454593966483</v>
      </c>
      <c r="Q1126" s="33">
        <f>Q1124*D1142/1000</f>
        <v>2.0639836026442659</v>
      </c>
      <c r="R1126" s="33">
        <f>R1124*D1142/1000</f>
        <v>1.9202763331143611</v>
      </c>
      <c r="S1126" s="33">
        <f>S1124*D1142/1000</f>
        <v>1.7865748501078007</v>
      </c>
      <c r="T1126" s="33">
        <f>T1124*D1142/1000</f>
        <v>1.6621824890488934</v>
      </c>
      <c r="U1126" s="33">
        <f>U1124*D1142/1000</f>
        <v>1.5464510914468905</v>
      </c>
      <c r="V1126" s="33">
        <f>V1124*D1142/1000</f>
        <v>1.4387776276031583</v>
      </c>
      <c r="W1126" s="33">
        <f>W1124*D1142/1000</f>
        <v>1.3386010544663034</v>
      </c>
      <c r="X1126" s="33">
        <f>X1124*D1142/1000</f>
        <v>1.2453993922628088</v>
      </c>
      <c r="Y1126" s="33">
        <f>Y1124*D1142/1000</f>
        <v>1.1586870046706783</v>
      </c>
      <c r="Z1126" s="33">
        <f>Z1124*D1142/1000</f>
        <v>1.0780120683641687</v>
      </c>
      <c r="AA1126" s="33">
        <f>AA1124*D1142/1000</f>
        <v>1.0029542187444207</v>
      </c>
    </row>
    <row r="1127" spans="3:27" hidden="1" outlineLevel="1" x14ac:dyDescent="0.3">
      <c r="C1127" s="21" t="s">
        <v>39</v>
      </c>
      <c r="D1127" s="19">
        <f>分布式光伏电站IRR汇总!$B$15</f>
        <v>0.25900000000000006</v>
      </c>
      <c r="F1127" s="4" t="s">
        <v>20</v>
      </c>
      <c r="G1127" s="33">
        <f>SUM(H1128:V1128)</f>
        <v>6.1743414476445295</v>
      </c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</row>
    <row r="1128" spans="3:27" hidden="1" outlineLevel="1" x14ac:dyDescent="0.3">
      <c r="C1128" s="21" t="s">
        <v>40</v>
      </c>
      <c r="D1128" s="19">
        <f>分布式光伏电站IRR汇总!$B$16</f>
        <v>7.400000000000001E-2</v>
      </c>
      <c r="F1128" s="7" t="s">
        <v>21</v>
      </c>
      <c r="G1128" s="33"/>
      <c r="H1128" s="33">
        <f>(H1126-H1119-H1121)*G1114</f>
        <v>0.65871417395370535</v>
      </c>
      <c r="I1128" s="33">
        <f>(I1126-I1119-I1121)*G1114</f>
        <v>0.61146585171882051</v>
      </c>
      <c r="J1128" s="33">
        <f>(J1126-J1119-J1121)*G1114</f>
        <v>0.56759782900806721</v>
      </c>
      <c r="K1128" s="33">
        <f>(K1126-K1119-K1121)*G1114</f>
        <v>0.52686882273080993</v>
      </c>
      <c r="L1128" s="33">
        <f>(L1126-L1119-L1121)*G1114</f>
        <v>0.48905473708180042</v>
      </c>
      <c r="M1128" s="33">
        <f>(M1126-M1119-M1121)*G1114</f>
        <v>0.45394744149487559</v>
      </c>
      <c r="N1128" s="33">
        <f>(N1126-N1119-N1121)*G1114</f>
        <v>0.42135363534221626</v>
      </c>
      <c r="O1128" s="33">
        <f>(O1126-O1119-O1121)*G1114</f>
        <v>0.39109379323086857</v>
      </c>
      <c r="P1128" s="33">
        <f>(P1126-P1119-P1121)*G1114</f>
        <v>0.36300118518340074</v>
      </c>
      <c r="Q1128" s="33">
        <f>(Q1126-Q1119-Q1121)*G1114</f>
        <v>0.33692096639399982</v>
      </c>
      <c r="R1128" s="33">
        <f>(R1126-R1119-R1121)*G1114</f>
        <v>0.31270933162712611</v>
      </c>
      <c r="S1128" s="33">
        <f>(S1126-S1119-S1121)*G1114</f>
        <v>0.29023272967511449</v>
      </c>
      <c r="T1128" s="33">
        <f>(T1126-T1119-T1121)*G1114</f>
        <v>0.26936713361564796</v>
      </c>
      <c r="U1128" s="33">
        <f>(U1126-U1119-U1121)*G1114</f>
        <v>0.24999736291165214</v>
      </c>
      <c r="V1128" s="33">
        <f>(V1126-V1119-V1121)*G1114</f>
        <v>0.23201645367642465</v>
      </c>
      <c r="W1128" s="33">
        <f>(W1126-W1119-W1121)*G1114</f>
        <v>0.21532507368726286</v>
      </c>
      <c r="X1128" s="33">
        <f>(X1126-X1119-X1121)*G1114</f>
        <v>0.19983097897288632</v>
      </c>
      <c r="Y1128" s="33">
        <f>(Y1126-Y1119-Y1121)*G1114</f>
        <v>0.18544850902485099</v>
      </c>
      <c r="Z1128" s="33">
        <f>(Z1126-Z1119-Z1121)*G1114</f>
        <v>0.1720981178921463</v>
      </c>
      <c r="AA1128" s="33">
        <f>(AA1126-AA1119-AA1121)*G1114</f>
        <v>0.15970593861237073</v>
      </c>
    </row>
    <row r="1129" spans="3:27" hidden="1" outlineLevel="1" x14ac:dyDescent="0.3">
      <c r="C1129" s="21" t="s">
        <v>41</v>
      </c>
      <c r="D1129" s="19">
        <f>分布式光伏电站IRR汇总!$B$17</f>
        <v>0.222</v>
      </c>
      <c r="F1129" s="10" t="s">
        <v>22</v>
      </c>
      <c r="G1129" s="33">
        <f>-G1117</f>
        <v>-24.611999999999995</v>
      </c>
      <c r="H1129" s="33">
        <f t="shared" ref="H1129:AA1129" si="390">H1126-H1128-H1121</f>
        <v>3.0687313069078446</v>
      </c>
      <c r="I1129" s="33">
        <f t="shared" si="390"/>
        <v>2.8555085692188245</v>
      </c>
      <c r="J1129" s="33">
        <f t="shared" si="390"/>
        <v>2.6571028459609898</v>
      </c>
      <c r="K1129" s="33">
        <f t="shared" si="390"/>
        <v>2.4724843737408295</v>
      </c>
      <c r="L1129" s="33">
        <f t="shared" si="390"/>
        <v>2.3006949640943732</v>
      </c>
      <c r="M1129" s="33">
        <f t="shared" si="390"/>
        <v>2.1408430280817967</v>
      </c>
      <c r="N1129" s="33">
        <f t="shared" si="390"/>
        <v>1.9920989467716677</v>
      </c>
      <c r="O1129" s="33">
        <f t="shared" si="390"/>
        <v>1.8536907635664548</v>
      </c>
      <c r="P1129" s="33">
        <f t="shared" si="390"/>
        <v>1.724900175993052</v>
      </c>
      <c r="Q1129" s="33">
        <f t="shared" si="390"/>
        <v>1.6050588061379338</v>
      </c>
      <c r="R1129" s="33">
        <f t="shared" si="390"/>
        <v>1.4935447303542142</v>
      </c>
      <c r="S1129" s="33">
        <f t="shared" si="390"/>
        <v>1.3897792502149098</v>
      </c>
      <c r="T1129" s="33">
        <f t="shared" si="390"/>
        <v>1.2932238879399964</v>
      </c>
      <c r="U1129" s="33">
        <f t="shared" si="390"/>
        <v>1.2033775906910804</v>
      </c>
      <c r="V1129" s="33">
        <f t="shared" si="390"/>
        <v>1.1197741292125674</v>
      </c>
      <c r="W1129" s="33">
        <f t="shared" si="390"/>
        <v>1.0419796773078569</v>
      </c>
      <c r="X1129" s="33">
        <f t="shared" si="390"/>
        <v>0.96959055957853613</v>
      </c>
      <c r="Y1129" s="33">
        <f t="shared" si="390"/>
        <v>0.90223115572864376</v>
      </c>
      <c r="Z1129" s="33">
        <f t="shared" si="390"/>
        <v>0.83955195054942089</v>
      </c>
      <c r="AA1129" s="33">
        <f t="shared" si="390"/>
        <v>0.78122771945672154</v>
      </c>
    </row>
    <row r="1130" spans="3:27" ht="13.5" hidden="1" outlineLevel="1" thickBot="1" x14ac:dyDescent="0.35">
      <c r="C1130" s="21" t="s">
        <v>74</v>
      </c>
      <c r="D1130" s="19">
        <f>分布式光伏电站IRR汇总!$B$18</f>
        <v>0.4</v>
      </c>
      <c r="F1130" s="3" t="s">
        <v>61</v>
      </c>
      <c r="G1130" s="35">
        <f>SUM(G1129:AA1129)/G1117</f>
        <v>0.36946995089824952</v>
      </c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</row>
    <row r="1131" spans="3:27" ht="13.5" hidden="1" outlineLevel="1" thickTop="1" x14ac:dyDescent="0.3">
      <c r="C1131" s="18" t="s">
        <v>58</v>
      </c>
      <c r="D1131" s="19">
        <f>分布式光伏电站IRR汇总!$B$19</f>
        <v>0.86599999999999999</v>
      </c>
    </row>
    <row r="1132" spans="3:27" hidden="1" outlineLevel="1" x14ac:dyDescent="0.3">
      <c r="C1132" s="18" t="s">
        <v>62</v>
      </c>
      <c r="D1132" s="19">
        <f>分布式光伏电站IRR汇总!$B$20</f>
        <v>20</v>
      </c>
      <c r="F1132" s="13" t="s">
        <v>25</v>
      </c>
      <c r="G1132" s="14">
        <v>0</v>
      </c>
    </row>
    <row r="1133" spans="3:27" hidden="1" outlineLevel="1" x14ac:dyDescent="0.3">
      <c r="C1133" s="18" t="s">
        <v>59</v>
      </c>
      <c r="D1133" s="52">
        <f>分布式光伏电站IRR汇总!$B$21</f>
        <v>0.02</v>
      </c>
      <c r="F1133" s="13" t="s">
        <v>26</v>
      </c>
      <c r="G1133" s="14">
        <v>0.25</v>
      </c>
      <c r="Q1133" s="15"/>
    </row>
    <row r="1134" spans="3:27" hidden="1" outlineLevel="1" x14ac:dyDescent="0.3">
      <c r="C1134" s="18" t="s">
        <v>60</v>
      </c>
      <c r="D1134" s="52">
        <f>分布式光伏电站IRR汇总!$B$22</f>
        <v>4.4999999999999997E-3</v>
      </c>
      <c r="F1134" s="1" t="s">
        <v>44</v>
      </c>
      <c r="G1134" s="4"/>
      <c r="H1134" s="5">
        <v>1</v>
      </c>
      <c r="I1134" s="5">
        <v>2</v>
      </c>
      <c r="J1134" s="5">
        <v>3</v>
      </c>
      <c r="K1134" s="5">
        <v>4</v>
      </c>
      <c r="L1134" s="5">
        <v>5</v>
      </c>
      <c r="M1134" s="5">
        <v>6</v>
      </c>
      <c r="N1134" s="5">
        <v>7</v>
      </c>
      <c r="O1134" s="5">
        <v>8</v>
      </c>
      <c r="P1134" s="5">
        <v>9</v>
      </c>
      <c r="Q1134" s="5">
        <v>10</v>
      </c>
      <c r="R1134" s="5">
        <v>11</v>
      </c>
      <c r="S1134" s="5">
        <v>12</v>
      </c>
      <c r="T1134" s="5">
        <v>13</v>
      </c>
      <c r="U1134" s="5">
        <v>14</v>
      </c>
      <c r="V1134" s="5">
        <v>15</v>
      </c>
      <c r="W1134" s="5">
        <v>16</v>
      </c>
      <c r="X1134" s="5">
        <v>17</v>
      </c>
      <c r="Y1134" s="5">
        <v>18</v>
      </c>
      <c r="Z1134" s="5">
        <v>19</v>
      </c>
      <c r="AA1134" s="5">
        <v>20</v>
      </c>
    </row>
    <row r="1135" spans="3:27" hidden="1" outlineLevel="1" x14ac:dyDescent="0.3">
      <c r="C1135" s="18" t="s">
        <v>28</v>
      </c>
      <c r="D1135" s="29">
        <f>分布式光伏电站IRR汇总!$B$23</f>
        <v>0.04</v>
      </c>
      <c r="F1135" s="16"/>
      <c r="G1135" s="2" t="s">
        <v>0</v>
      </c>
      <c r="H1135" s="2" t="s">
        <v>1</v>
      </c>
      <c r="I1135" s="2" t="s">
        <v>2</v>
      </c>
      <c r="J1135" s="2" t="s">
        <v>3</v>
      </c>
      <c r="K1135" s="2" t="s">
        <v>4</v>
      </c>
      <c r="L1135" s="2" t="s">
        <v>5</v>
      </c>
      <c r="M1135" s="2" t="s">
        <v>6</v>
      </c>
      <c r="N1135" s="2" t="s">
        <v>7</v>
      </c>
      <c r="O1135" s="2" t="s">
        <v>8</v>
      </c>
      <c r="P1135" s="2" t="s">
        <v>9</v>
      </c>
      <c r="Q1135" s="2" t="s">
        <v>10</v>
      </c>
      <c r="R1135" s="2" t="s">
        <v>11</v>
      </c>
      <c r="S1135" s="2" t="s">
        <v>12</v>
      </c>
      <c r="T1135" s="2" t="s">
        <v>13</v>
      </c>
      <c r="U1135" s="2" t="s">
        <v>45</v>
      </c>
      <c r="V1135" s="2" t="s">
        <v>46</v>
      </c>
      <c r="W1135" s="2" t="s">
        <v>47</v>
      </c>
      <c r="X1135" s="2" t="s">
        <v>48</v>
      </c>
      <c r="Y1135" s="2" t="s">
        <v>49</v>
      </c>
      <c r="Z1135" s="2" t="s">
        <v>50</v>
      </c>
      <c r="AA1135" s="2" t="s">
        <v>51</v>
      </c>
    </row>
    <row r="1136" spans="3:27" hidden="1" outlineLevel="1" x14ac:dyDescent="0.3">
      <c r="C1136" s="18" t="s">
        <v>43</v>
      </c>
      <c r="D1136" s="19">
        <f>分布式光伏电站IRR汇总!$B$24</f>
        <v>0.05</v>
      </c>
      <c r="F1136" s="6" t="s">
        <v>14</v>
      </c>
      <c r="G1136" s="33">
        <f>D1138</f>
        <v>24.611999999999995</v>
      </c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  <c r="AA1136" s="33"/>
    </row>
    <row r="1137" spans="2:27" hidden="1" outlineLevel="1" x14ac:dyDescent="0.3">
      <c r="C1137" s="18" t="s">
        <v>126</v>
      </c>
      <c r="D1137" s="28">
        <f>Backup分地区光伏小时数及电价!E25</f>
        <v>1225</v>
      </c>
      <c r="F1137" s="6" t="s">
        <v>15</v>
      </c>
      <c r="G1137" s="33">
        <f>SUM(H1138:AA1138)</f>
        <v>23.381399999999985</v>
      </c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</row>
    <row r="1138" spans="2:27" hidden="1" outlineLevel="1" x14ac:dyDescent="0.3">
      <c r="C1138" s="24" t="s">
        <v>14</v>
      </c>
      <c r="D1138" s="30">
        <f>D1114*D1119</f>
        <v>24.611999999999995</v>
      </c>
      <c r="F1138" s="7" t="s">
        <v>16</v>
      </c>
      <c r="G1138" s="33"/>
      <c r="H1138" s="33">
        <f>D1138*(1-D1136)/D1132/((1+G1132)^H1134)</f>
        <v>1.1690699999999996</v>
      </c>
      <c r="I1138" s="33">
        <f>D1138*(1-D1136)/D1132/((1+G1132)^I1134)</f>
        <v>1.1690699999999996</v>
      </c>
      <c r="J1138" s="33">
        <f>D1138*(1-D1136)/D1132/((1+G1132)^J1134)</f>
        <v>1.1690699999999996</v>
      </c>
      <c r="K1138" s="33">
        <f>D1138*(1-D1136)/D1132/((1+G1132)^K1134)</f>
        <v>1.1690699999999996</v>
      </c>
      <c r="L1138" s="33">
        <f>D1138*(1-D1136)/D1132/((1+G1132)^L1134)</f>
        <v>1.1690699999999996</v>
      </c>
      <c r="M1138" s="33">
        <f>D1138*(1-D1136)/D1132/((1+G1132)^M1134)</f>
        <v>1.1690699999999996</v>
      </c>
      <c r="N1138" s="33">
        <f>D1138*(1-D1136)/D1132/((1+G1132)^N1134)</f>
        <v>1.1690699999999996</v>
      </c>
      <c r="O1138" s="33">
        <f>D1138*(1-D1136)/D1132/((1+G1132)^O1134)</f>
        <v>1.1690699999999996</v>
      </c>
      <c r="P1138" s="33">
        <f>D1138*(1-D1136)/D1132/((1+G1132)^P1134)</f>
        <v>1.1690699999999996</v>
      </c>
      <c r="Q1138" s="33">
        <f>D1138*(1-D1136)/D1132/((1+G1132)^Q1134)</f>
        <v>1.1690699999999996</v>
      </c>
      <c r="R1138" s="33">
        <f>D1138*(1-D1136)/D1132/((1+G1132)^R1134)</f>
        <v>1.1690699999999996</v>
      </c>
      <c r="S1138" s="33">
        <f>D1138*(1-D1136)/D1132/((1+G1132)^S1134)</f>
        <v>1.1690699999999996</v>
      </c>
      <c r="T1138" s="33">
        <f>D1138*(1-D1136)/D1132/((1+G1132)^T1134)</f>
        <v>1.1690699999999996</v>
      </c>
      <c r="U1138" s="33">
        <f>D1138*(1-D1136)/D1132/((1+G1132)^U1134)</f>
        <v>1.1690699999999996</v>
      </c>
      <c r="V1138" s="33">
        <f>D1138*(1-D1136)/D1132/((1+G1132)^V1134)</f>
        <v>1.1690699999999996</v>
      </c>
      <c r="W1138" s="33">
        <f>D1138*(1-D1136)/D1132/((1+G1132)^W1134)</f>
        <v>1.1690699999999996</v>
      </c>
      <c r="X1138" s="33">
        <f>D1138*(1-D1136)/D1132/((1+G1132)^X1134)</f>
        <v>1.1690699999999996</v>
      </c>
      <c r="Y1138" s="33">
        <f>D1138*(1-D1136)/D1132/((1+G1132)^Y1134)</f>
        <v>1.1690699999999996</v>
      </c>
      <c r="Z1138" s="33">
        <f>D1138*(1-D1136)/D1132/((1+G1132)^Z1134)</f>
        <v>1.1690699999999996</v>
      </c>
      <c r="AA1138" s="33">
        <f>D1138*(1-D1136)/D1132/((1+G1132)^AA1134)</f>
        <v>1.1690699999999996</v>
      </c>
    </row>
    <row r="1139" spans="2:27" hidden="1" outlineLevel="1" x14ac:dyDescent="0.3">
      <c r="C1139" s="18" t="s">
        <v>29</v>
      </c>
      <c r="D1139" s="29">
        <v>0.35980000000000001</v>
      </c>
      <c r="F1139" s="6" t="s">
        <v>17</v>
      </c>
      <c r="G1139" s="33">
        <f>SUM(H1140:AA1140)</f>
        <v>4.8000000000000025</v>
      </c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</row>
    <row r="1140" spans="2:27" hidden="1" outlineLevel="1" x14ac:dyDescent="0.3">
      <c r="C1140" s="18" t="s">
        <v>30</v>
      </c>
      <c r="D1140" s="31">
        <f>Backup分地区光伏小时数及电价!I25</f>
        <v>0.67786206999999987</v>
      </c>
      <c r="F1140" s="7" t="s">
        <v>18</v>
      </c>
      <c r="G1140" s="33"/>
      <c r="H1140" s="33">
        <f>D1135*D1114/((1+G1132)^H1134)</f>
        <v>0.24</v>
      </c>
      <c r="I1140" s="33">
        <f>D1135*D1114/((1+G1132)^I1134)</f>
        <v>0.24</v>
      </c>
      <c r="J1140" s="33">
        <f>D1135*D1114/((1+G1132)^J1134)</f>
        <v>0.24</v>
      </c>
      <c r="K1140" s="33">
        <f>D1135*D1114/((1+G1132)^K1134)</f>
        <v>0.24</v>
      </c>
      <c r="L1140" s="33">
        <f>D1135*D1114/((1+G1132)^L1134)</f>
        <v>0.24</v>
      </c>
      <c r="M1140" s="33">
        <f>D1135*D1114/((1+G1132)^M1134)</f>
        <v>0.24</v>
      </c>
      <c r="N1140" s="33">
        <f>D1135*D1114/((1+G1132)^N1134)</f>
        <v>0.24</v>
      </c>
      <c r="O1140" s="33">
        <f>D1135*D1114/((1+G1132)^O1134)</f>
        <v>0.24</v>
      </c>
      <c r="P1140" s="33">
        <f>D1135*D1114/((1+G1132)^P1134)</f>
        <v>0.24</v>
      </c>
      <c r="Q1140" s="33">
        <f>D1135*D1114/((1+G1132)^Q1134)</f>
        <v>0.24</v>
      </c>
      <c r="R1140" s="33">
        <f>D1135*D1114/((1+G1132)^R1134)</f>
        <v>0.24</v>
      </c>
      <c r="S1140" s="33">
        <f>D1135*D1114/((1+G1132)^S1134)</f>
        <v>0.24</v>
      </c>
      <c r="T1140" s="33">
        <f>D1135*D1114/((1+G1132)^T1134)</f>
        <v>0.24</v>
      </c>
      <c r="U1140" s="33">
        <f>D1135*D1114/((1+G1132)^U1134)</f>
        <v>0.24</v>
      </c>
      <c r="V1140" s="33">
        <f>D1135*D1114/((1+G1132)^V1134)</f>
        <v>0.24</v>
      </c>
      <c r="W1140" s="33">
        <f>D1135*D1114/((1+G1132)^W1134)</f>
        <v>0.24</v>
      </c>
      <c r="X1140" s="33">
        <f>D1135*D1114/((1+G1132)^X1134)</f>
        <v>0.24</v>
      </c>
      <c r="Y1140" s="33">
        <f>D1135*D1114/((1+G1132)^Y1134)</f>
        <v>0.24</v>
      </c>
      <c r="Z1140" s="33">
        <f>D1135*D1114/((1+G1132)^Z1134)</f>
        <v>0.24</v>
      </c>
      <c r="AA1140" s="33">
        <f>D1135*D1114/((1+G1132)^AA1134)</f>
        <v>0.24</v>
      </c>
    </row>
    <row r="1141" spans="2:27" hidden="1" outlineLevel="1" x14ac:dyDescent="0.3">
      <c r="C1141" s="18" t="s">
        <v>70</v>
      </c>
      <c r="D1141" s="32">
        <f>分布式光伏电站IRR汇总!$B$27</f>
        <v>1</v>
      </c>
      <c r="F1141" s="6" t="s">
        <v>19</v>
      </c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>
        <f>D1135*D1138/((1+G1132)^AA1134)</f>
        <v>0.9844799999999998</v>
      </c>
    </row>
    <row r="1142" spans="2:27" hidden="1" outlineLevel="1" x14ac:dyDescent="0.3">
      <c r="C1142" s="18" t="s">
        <v>69</v>
      </c>
      <c r="D1142" s="31">
        <f>D1141*D1140</f>
        <v>0.67786206999999987</v>
      </c>
      <c r="F1142" s="8" t="s">
        <v>64</v>
      </c>
      <c r="G1142" s="33">
        <f>SUM(H1143:AA1143)</f>
        <v>119563.92750043463</v>
      </c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  <c r="AA1142" s="33"/>
    </row>
    <row r="1143" spans="2:27" hidden="1" outlineLevel="1" x14ac:dyDescent="0.3">
      <c r="C1143" s="18" t="s">
        <v>31</v>
      </c>
      <c r="D1143" s="27">
        <v>0</v>
      </c>
      <c r="F1143" s="9" t="s">
        <v>65</v>
      </c>
      <c r="G1143" s="33"/>
      <c r="H1143" s="33">
        <f>D1114*D1131*(1-D1133)*D1137/((1+G1132)^H1134)</f>
        <v>6237.7979999999989</v>
      </c>
      <c r="I1143" s="33">
        <f>D1114*D1131*(1-D1133)*(1-D1134)^(I1134-1)*D1137/((1+G1132)^I1134)</f>
        <v>6209.7279089999993</v>
      </c>
      <c r="J1143" s="33">
        <f>D1114*D1131*(1-D1133)*(1-D1134)^(J1134-1)*D1137/((1+G1132)^J1134)</f>
        <v>6181.7841334095001</v>
      </c>
      <c r="K1143" s="33">
        <f>D1114*D1131*(1-D1133)*(1-D1134)^(K1134-1)*D1137/((1+G1132)^K1134)</f>
        <v>6153.9661048091575</v>
      </c>
      <c r="L1143" s="33">
        <f>D1114*D1131*(1-D1133)*(1-D1134)^(L1134-1)*D1137/((1+G1132)^L1134)</f>
        <v>6126.273257337517</v>
      </c>
      <c r="M1143" s="33">
        <f>D1114*D1131*(1-D1133)*(1-D1134)^(M1134-1)*D1137/((1+G1132)^M1134)</f>
        <v>6098.7050276794989</v>
      </c>
      <c r="N1143" s="33">
        <f>D1114*D1131*(1-D1133)*(1-D1134)^(N1134-1)*D1137/((1+G1132)^N1134)</f>
        <v>6071.2608550549412</v>
      </c>
      <c r="O1143" s="33">
        <f>D1114*D1131*(1-D1133)*(1-D1134)^(O1134-1)*D1137/((1+G1132)^O1134)</f>
        <v>6043.9401812071937</v>
      </c>
      <c r="P1143" s="33">
        <f>D1114*D1131*(1-D1133)*(1-D1134)^(P1134-1)*D1137/((1+G1132)^P1134)</f>
        <v>6016.7424503917618</v>
      </c>
      <c r="Q1143" s="33">
        <f>D1114*D1131*(1-D1133)*(1-D1134)^(Q1134-1)*D1137/((1+G1132)^Q1134)</f>
        <v>5989.6671093650002</v>
      </c>
      <c r="R1143" s="33">
        <f>D1114*D1131*(1-D1133)*(1-D1134)^(R1134-1)*D1137/((1+G1132)^R1134)</f>
        <v>5962.713607372858</v>
      </c>
      <c r="S1143" s="33">
        <f>D1114*D1131*(1-D1133)*(1-D1134)^(S1134-1)*D1137/((1+G1132)^S1134)</f>
        <v>5935.88139613968</v>
      </c>
      <c r="T1143" s="33">
        <f>D1114*D1131*(1-D1133)*(1-D1134)^(T1134-1)*D1137/((1+G1132)^T1134)</f>
        <v>5909.169929857052</v>
      </c>
      <c r="U1143" s="33">
        <f>D1114*D1131*(1-D1133)*(1-D1134)^(U1134-1)*D1137/((1+G1132)^U1134)</f>
        <v>5882.5786651726949</v>
      </c>
      <c r="V1143" s="33">
        <f>D1114*D1131*(1-D1133)*(1-D1134)^(V1134-1)*D1137/((1+G1132)^V1134)</f>
        <v>5856.1070611794175</v>
      </c>
      <c r="W1143" s="33">
        <f>D1114*D1131*(1-D1133)*(1-D1134)^(W1134-1)*D1137/((1+G1132)^W1134)</f>
        <v>5829.7545794041116</v>
      </c>
      <c r="X1143" s="33">
        <f>D1114*D1131*(1-D1133)*(1-D1134)^(X1134-1)*D1137/((1+G1132)^X1134)</f>
        <v>5803.5206837967935</v>
      </c>
      <c r="Y1143" s="33">
        <f>D1114*D1131*(1-D1133)*(1-D1134)^(Y1134-1)*D1137/((1+G1132)^Y1134)</f>
        <v>5777.4048407197079</v>
      </c>
      <c r="Z1143" s="33">
        <f>D1114*D1131*(1-D1133)*(1-D1134)^(Z1134-1)*D1137/((1+G1132)^Z1134)</f>
        <v>5751.4065189364701</v>
      </c>
      <c r="AA1143" s="33">
        <f>D1114*D1131*(1-D1133)*(1-D1134)^(AA1134-1)*D1137/((1+G1132)^AA1134)</f>
        <v>5725.5251896012569</v>
      </c>
    </row>
    <row r="1144" spans="2:27" hidden="1" outlineLevel="1" x14ac:dyDescent="0.3">
      <c r="F1144" s="4" t="s">
        <v>66</v>
      </c>
      <c r="G1144" s="33">
        <f>SUM(H1145:AA1145)</f>
        <v>81.047851392774504</v>
      </c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/>
    </row>
    <row r="1145" spans="2:27" hidden="1" outlineLevel="1" x14ac:dyDescent="0.3">
      <c r="F1145" s="7" t="s">
        <v>67</v>
      </c>
      <c r="G1145" s="33"/>
      <c r="H1145" s="33">
        <f>H1143*D1142/1000</f>
        <v>4.2283666645218583</v>
      </c>
      <c r="I1145" s="33">
        <f>I1143*D1142/1000</f>
        <v>4.209339014531511</v>
      </c>
      <c r="J1145" s="33">
        <f>J1143*D1142/1000</f>
        <v>4.1903969889661195</v>
      </c>
      <c r="K1145" s="33">
        <f>K1143*D1142/1000</f>
        <v>4.1715402025157715</v>
      </c>
      <c r="L1145" s="33">
        <f>L1143*D1142/1000</f>
        <v>4.1527682716044509</v>
      </c>
      <c r="M1145" s="33">
        <f>M1143*D1142/1000</f>
        <v>4.1340808143822318</v>
      </c>
      <c r="N1145" s="33">
        <f>N1143*D1142/1000</f>
        <v>4.1154774507175116</v>
      </c>
      <c r="O1145" s="33">
        <f>O1143*D1142/1000</f>
        <v>4.0969578021892827</v>
      </c>
      <c r="P1145" s="33">
        <f>P1143*D1142/1000</f>
        <v>4.0785214920794308</v>
      </c>
      <c r="Q1145" s="33">
        <f>Q1143*D1142/1000</f>
        <v>4.0601681453650746</v>
      </c>
      <c r="R1145" s="33">
        <f>R1143*D1142/1000</f>
        <v>4.0418973887109315</v>
      </c>
      <c r="S1145" s="33">
        <f>S1143*D1142/1000</f>
        <v>4.0237088504617331</v>
      </c>
      <c r="T1145" s="33">
        <f>T1143*D1142/1000</f>
        <v>4.0056021606346555</v>
      </c>
      <c r="U1145" s="33">
        <f>U1143*D1142/1000</f>
        <v>3.9875769509117989</v>
      </c>
      <c r="V1145" s="33">
        <f>V1143*D1142/1000</f>
        <v>3.969632854632696</v>
      </c>
      <c r="W1145" s="33">
        <f>W1143*D1142/1000</f>
        <v>3.9517695067868499</v>
      </c>
      <c r="X1145" s="33">
        <f>X1143*D1142/1000</f>
        <v>3.9339865440063089</v>
      </c>
      <c r="Y1145" s="33">
        <f>Y1143*D1142/1000</f>
        <v>3.9162836045582807</v>
      </c>
      <c r="Z1145" s="33">
        <f>Z1143*D1142/1000</f>
        <v>3.898660328337769</v>
      </c>
      <c r="AA1145" s="33">
        <f>AA1143*D1142/1000</f>
        <v>3.8811163568602498</v>
      </c>
    </row>
    <row r="1146" spans="2:27" hidden="1" outlineLevel="1" x14ac:dyDescent="0.3">
      <c r="F1146" s="4" t="s">
        <v>20</v>
      </c>
      <c r="G1146" s="33">
        <f>SUM(H1147:AA1147)</f>
        <v>13.21661284819363</v>
      </c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  <c r="AA1146" s="33"/>
    </row>
    <row r="1147" spans="2:27" hidden="1" outlineLevel="1" x14ac:dyDescent="0.3">
      <c r="F1147" s="7" t="s">
        <v>21</v>
      </c>
      <c r="G1147" s="33"/>
      <c r="H1147" s="33">
        <f>(H1145-H1138-H1140)*G1133</f>
        <v>0.70482416613046461</v>
      </c>
      <c r="I1147" s="33">
        <f>(I1145-I1138-I1140)*G1133</f>
        <v>0.70006725363287781</v>
      </c>
      <c r="J1147" s="33">
        <f>(J1145-J1138-J1140)*G1133</f>
        <v>0.69533174724152991</v>
      </c>
      <c r="K1147" s="33">
        <f>(K1145-K1138-K1140)*G1133</f>
        <v>0.69061755062894292</v>
      </c>
      <c r="L1147" s="33">
        <f>(L1145-L1138-L1140)*G1133</f>
        <v>0.68592456790111278</v>
      </c>
      <c r="M1147" s="33">
        <f>(M1145-M1138-M1140)*G1133</f>
        <v>0.68125270359555801</v>
      </c>
      <c r="N1147" s="33">
        <f>(N1145-N1138-N1140)*G1133</f>
        <v>0.67660186267937794</v>
      </c>
      <c r="O1147" s="33">
        <f>(O1145-O1138-O1140)*G1133</f>
        <v>0.67197195054732073</v>
      </c>
      <c r="P1147" s="33">
        <f>(P1145-P1138-P1140)*G1133</f>
        <v>0.66736287301985775</v>
      </c>
      <c r="Q1147" s="33">
        <f>(Q1145-Q1138-Q1140)*G1133</f>
        <v>0.66277453634126871</v>
      </c>
      <c r="R1147" s="33">
        <f>(R1145-R1138-R1140)*G1133</f>
        <v>0.65820684717773292</v>
      </c>
      <c r="S1147" s="33">
        <f>(S1145-S1138-S1140)*G1133</f>
        <v>0.65365971261543332</v>
      </c>
      <c r="T1147" s="33">
        <f>(T1145-T1138-T1140)*G1133</f>
        <v>0.64913304015866391</v>
      </c>
      <c r="U1147" s="33">
        <f>(U1145-U1138-U1140)*G1133</f>
        <v>0.64462673772794976</v>
      </c>
      <c r="V1147" s="33">
        <f>(V1145-V1138-V1140)*G1133</f>
        <v>0.64014071365817404</v>
      </c>
      <c r="W1147" s="33">
        <f>(W1145-W1138-W1140)*G1133</f>
        <v>0.63567487669671263</v>
      </c>
      <c r="X1147" s="33">
        <f>(X1145-X1138-X1140)*G1133</f>
        <v>0.63122913600157737</v>
      </c>
      <c r="Y1147" s="33">
        <f>(Y1145-Y1138-Y1140)*G1133</f>
        <v>0.62680340113957023</v>
      </c>
      <c r="Z1147" s="33">
        <f>(Z1145-Z1138-Z1140)*G1133</f>
        <v>0.62239758208444229</v>
      </c>
      <c r="AA1147" s="33">
        <f>(AA1145-AA1138-AA1140)*G1133</f>
        <v>0.61801158921506261</v>
      </c>
    </row>
    <row r="1148" spans="2:27" hidden="1" outlineLevel="1" x14ac:dyDescent="0.3">
      <c r="F1148" s="10" t="s">
        <v>22</v>
      </c>
      <c r="G1148" s="33">
        <f>-G1136</f>
        <v>-24.611999999999995</v>
      </c>
      <c r="H1148" s="33">
        <f>H1145-H1147-H1140</f>
        <v>3.2835424983913937</v>
      </c>
      <c r="I1148" s="33">
        <f t="shared" ref="I1148" si="391">I1145-I1147-I1140</f>
        <v>3.2692717608986328</v>
      </c>
      <c r="J1148" s="33">
        <f t="shared" ref="J1148" si="392">J1145-J1147-J1140</f>
        <v>3.2550652417245898</v>
      </c>
      <c r="K1148" s="33">
        <f t="shared" ref="K1148" si="393">K1145-K1147-K1140</f>
        <v>3.2409226518868284</v>
      </c>
      <c r="L1148" s="33">
        <f t="shared" ref="L1148" si="394">L1145-L1147-L1140</f>
        <v>3.226843703703338</v>
      </c>
      <c r="M1148" s="33">
        <f t="shared" ref="M1148" si="395">M1145-M1147-M1140</f>
        <v>3.2128281107866741</v>
      </c>
      <c r="N1148" s="33">
        <f t="shared" ref="N1148" si="396">N1145-N1147-N1140</f>
        <v>3.1988755880381339</v>
      </c>
      <c r="O1148" s="33">
        <f t="shared" ref="O1148" si="397">O1145-O1147-O1140</f>
        <v>3.1849858516419616</v>
      </c>
      <c r="P1148" s="33">
        <f t="shared" ref="P1148" si="398">P1145-P1147-P1140</f>
        <v>3.1711586190595726</v>
      </c>
      <c r="Q1148" s="33">
        <f t="shared" ref="Q1148" si="399">Q1145-Q1147-Q1140</f>
        <v>3.1573936090238055</v>
      </c>
      <c r="R1148" s="33">
        <f t="shared" ref="R1148" si="400">R1145-R1147-R1140</f>
        <v>3.1436905415331982</v>
      </c>
      <c r="S1148" s="33">
        <f t="shared" ref="S1148" si="401">S1145-S1147-S1140</f>
        <v>3.1300491378462993</v>
      </c>
      <c r="T1148" s="33">
        <f t="shared" ref="T1148" si="402">T1145-T1147-T1140</f>
        <v>3.1164691204759913</v>
      </c>
      <c r="U1148" s="33">
        <f t="shared" ref="U1148" si="403">U1145-U1147-U1140</f>
        <v>3.1029502131838491</v>
      </c>
      <c r="V1148" s="33">
        <f t="shared" ref="V1148" si="404">V1145-V1147-V1140</f>
        <v>3.0894921409745217</v>
      </c>
      <c r="W1148" s="33">
        <f t="shared" ref="W1148" si="405">W1145-W1147-W1140</f>
        <v>3.0760946300901368</v>
      </c>
      <c r="X1148" s="33">
        <f t="shared" ref="X1148" si="406">X1145-X1147-X1140</f>
        <v>3.0627574080047317</v>
      </c>
      <c r="Y1148" s="33">
        <f t="shared" ref="Y1148" si="407">Y1145-Y1147-Y1140</f>
        <v>3.0494802034187103</v>
      </c>
      <c r="Z1148" s="33">
        <f t="shared" ref="Z1148" si="408">Z1145-Z1147-Z1140</f>
        <v>3.0362627462533265</v>
      </c>
      <c r="AA1148" s="33">
        <f t="shared" ref="AA1148" si="409">AA1145-AA1147-AA1140</f>
        <v>3.0231047676451874</v>
      </c>
    </row>
    <row r="1149" spans="2:27" ht="13.5" hidden="1" outlineLevel="1" thickBot="1" x14ac:dyDescent="0.35">
      <c r="F1149" s="3" t="s">
        <v>68</v>
      </c>
      <c r="G1149" s="40">
        <f>IRR(G1148:AA1148)</f>
        <v>0.11527281061031402</v>
      </c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</row>
    <row r="1150" spans="2:27" ht="13.5" collapsed="1" thickTop="1" x14ac:dyDescent="0.3"/>
    <row r="1151" spans="2:27" x14ac:dyDescent="0.3">
      <c r="B1151" s="11" t="s">
        <v>167</v>
      </c>
      <c r="C1151" s="11" t="s">
        <v>52</v>
      </c>
    </row>
    <row r="1152" spans="2:27" x14ac:dyDescent="0.3">
      <c r="C1152" s="11" t="s">
        <v>141</v>
      </c>
      <c r="D1152" s="54">
        <f>D1183</f>
        <v>1165</v>
      </c>
    </row>
    <row r="1153" spans="3:27" x14ac:dyDescent="0.3">
      <c r="C1153" s="16" t="s">
        <v>78</v>
      </c>
      <c r="D1153" s="37">
        <f>(G1182+G1185+G1192)/G1188*1000</f>
        <v>0.37204131025768628</v>
      </c>
    </row>
    <row r="1154" spans="3:27" x14ac:dyDescent="0.3">
      <c r="C1154" s="13" t="s">
        <v>77</v>
      </c>
      <c r="D1154" s="39">
        <f>(G1163+G1166+G1173)/G1169*1000</f>
        <v>0.545472607247805</v>
      </c>
    </row>
    <row r="1155" spans="3:27" x14ac:dyDescent="0.3">
      <c r="C1155" s="13" t="s">
        <v>61</v>
      </c>
      <c r="D1155" s="36">
        <f>G1176</f>
        <v>0.34830249946777792</v>
      </c>
    </row>
    <row r="1156" spans="3:27" x14ac:dyDescent="0.3">
      <c r="C1156" s="13" t="s">
        <v>73</v>
      </c>
      <c r="D1156" s="25">
        <f>SUM(G1175:AA1175)</f>
        <v>8.5724211169009479</v>
      </c>
    </row>
    <row r="1157" spans="3:27" ht="13.5" thickBot="1" x14ac:dyDescent="0.35">
      <c r="C1157" s="23" t="s">
        <v>68</v>
      </c>
      <c r="D1157" s="26">
        <f>G1195</f>
        <v>0.11280945104374807</v>
      </c>
    </row>
    <row r="1158" spans="3:27" ht="13.5" hidden="1" outlineLevel="1" thickTop="1" x14ac:dyDescent="0.3">
      <c r="E1158" s="20"/>
      <c r="F1158" s="38" t="s">
        <v>75</v>
      </c>
    </row>
    <row r="1159" spans="3:27" hidden="1" outlineLevel="1" x14ac:dyDescent="0.3">
      <c r="C1159" s="11" t="s">
        <v>71</v>
      </c>
      <c r="F1159" s="13" t="s">
        <v>25</v>
      </c>
      <c r="G1159" s="14">
        <v>7.0000000000000007E-2</v>
      </c>
    </row>
    <row r="1160" spans="3:27" hidden="1" outlineLevel="1" x14ac:dyDescent="0.3">
      <c r="C1160" s="18" t="s">
        <v>53</v>
      </c>
      <c r="D1160" s="19">
        <f>分布式光伏电站IRR汇总!$B$2</f>
        <v>6</v>
      </c>
      <c r="F1160" s="13" t="s">
        <v>26</v>
      </c>
      <c r="G1160" s="14">
        <v>0.25</v>
      </c>
    </row>
    <row r="1161" spans="3:27" hidden="1" outlineLevel="1" x14ac:dyDescent="0.3">
      <c r="C1161" s="18" t="s">
        <v>56</v>
      </c>
      <c r="D1161" s="19">
        <f>分布式光伏电站IRR汇总!$B$3</f>
        <v>120</v>
      </c>
      <c r="F1161" s="1" t="s">
        <v>44</v>
      </c>
      <c r="G1161" s="4"/>
      <c r="H1161" s="5">
        <v>1</v>
      </c>
      <c r="I1161" s="5">
        <v>2</v>
      </c>
      <c r="J1161" s="5">
        <v>3</v>
      </c>
      <c r="K1161" s="5">
        <v>4</v>
      </c>
      <c r="L1161" s="5">
        <v>5</v>
      </c>
      <c r="M1161" s="5">
        <v>6</v>
      </c>
      <c r="N1161" s="5">
        <v>7</v>
      </c>
      <c r="O1161" s="5">
        <v>8</v>
      </c>
      <c r="P1161" s="5">
        <v>9</v>
      </c>
      <c r="Q1161" s="5">
        <v>10</v>
      </c>
      <c r="R1161" s="5">
        <v>11</v>
      </c>
      <c r="S1161" s="5">
        <v>12</v>
      </c>
      <c r="T1161" s="5">
        <v>13</v>
      </c>
      <c r="U1161" s="5">
        <v>14</v>
      </c>
      <c r="V1161" s="5">
        <v>15</v>
      </c>
      <c r="W1161" s="5">
        <v>16</v>
      </c>
      <c r="X1161" s="5">
        <v>17</v>
      </c>
      <c r="Y1161" s="5">
        <v>18</v>
      </c>
      <c r="Z1161" s="5">
        <v>19</v>
      </c>
      <c r="AA1161" s="5">
        <v>20</v>
      </c>
    </row>
    <row r="1162" spans="3:27" hidden="1" outlineLevel="1" x14ac:dyDescent="0.3">
      <c r="C1162" s="18" t="s">
        <v>57</v>
      </c>
      <c r="D1162" s="19">
        <f>分布式光伏电站IRR汇总!$B$4</f>
        <v>3</v>
      </c>
      <c r="F1162" s="16"/>
      <c r="G1162" s="2" t="s">
        <v>0</v>
      </c>
      <c r="H1162" s="2" t="s">
        <v>1</v>
      </c>
      <c r="I1162" s="2" t="s">
        <v>2</v>
      </c>
      <c r="J1162" s="2" t="s">
        <v>3</v>
      </c>
      <c r="K1162" s="2" t="s">
        <v>4</v>
      </c>
      <c r="L1162" s="2" t="s">
        <v>5</v>
      </c>
      <c r="M1162" s="2" t="s">
        <v>6</v>
      </c>
      <c r="N1162" s="2" t="s">
        <v>7</v>
      </c>
      <c r="O1162" s="2" t="s">
        <v>8</v>
      </c>
      <c r="P1162" s="2" t="s">
        <v>9</v>
      </c>
      <c r="Q1162" s="2" t="s">
        <v>10</v>
      </c>
      <c r="R1162" s="2" t="s">
        <v>11</v>
      </c>
      <c r="S1162" s="2" t="s">
        <v>12</v>
      </c>
      <c r="T1162" s="2" t="s">
        <v>13</v>
      </c>
      <c r="U1162" s="2" t="s">
        <v>45</v>
      </c>
      <c r="V1162" s="2" t="s">
        <v>46</v>
      </c>
      <c r="W1162" s="2" t="s">
        <v>47</v>
      </c>
      <c r="X1162" s="2" t="s">
        <v>48</v>
      </c>
      <c r="Y1162" s="2" t="s">
        <v>49</v>
      </c>
      <c r="Z1162" s="2" t="s">
        <v>50</v>
      </c>
      <c r="AA1162" s="2" t="s">
        <v>127</v>
      </c>
    </row>
    <row r="1163" spans="3:27" hidden="1" outlineLevel="1" x14ac:dyDescent="0.3">
      <c r="C1163" s="18" t="s">
        <v>54</v>
      </c>
      <c r="D1163" s="19">
        <f>分布式光伏电站IRR汇总!$B$5</f>
        <v>5</v>
      </c>
      <c r="F1163" s="6" t="s">
        <v>14</v>
      </c>
      <c r="G1163" s="33">
        <f>D1184</f>
        <v>24.611999999999995</v>
      </c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  <c r="AA1163" s="33"/>
    </row>
    <row r="1164" spans="3:27" hidden="1" outlineLevel="1" x14ac:dyDescent="0.3">
      <c r="C1164" s="18" t="s">
        <v>55</v>
      </c>
      <c r="D1164" s="19">
        <f>分布式光伏电站IRR汇总!$B$6</f>
        <v>15</v>
      </c>
      <c r="F1164" s="6" t="s">
        <v>15</v>
      </c>
      <c r="G1164" s="33">
        <f>SUM(H1165:AA1165)</f>
        <v>12.385144234005573</v>
      </c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/>
    </row>
    <row r="1165" spans="3:27" hidden="1" outlineLevel="1" x14ac:dyDescent="0.3">
      <c r="C1165" s="18" t="s">
        <v>42</v>
      </c>
      <c r="D1165" s="19">
        <f>分布式光伏电站IRR汇总!$B$7</f>
        <v>4.1019999999999994</v>
      </c>
      <c r="F1165" s="7" t="s">
        <v>16</v>
      </c>
      <c r="G1165" s="33"/>
      <c r="H1165" s="33">
        <f>D1184*(1-D1182)/D1178/((1+G1159)^H1161)</f>
        <v>1.0925887850467286</v>
      </c>
      <c r="I1165" s="33">
        <f>D1184*(1-D1182)/D1178/((1+G1159)^I1161)</f>
        <v>1.0211110140623632</v>
      </c>
      <c r="J1165" s="33">
        <f>D1184*(1-D1182)/D1178/((1+G1159)^J1161)</f>
        <v>0.95430935893678792</v>
      </c>
      <c r="K1165" s="33">
        <f>D1184*(1-D1182)/D1178/((1+G1159)^K1161)</f>
        <v>0.89187790554839996</v>
      </c>
      <c r="L1165" s="33">
        <f>D1184*(1-D1182)/D1178/((1+G1159)^L1161)</f>
        <v>0.83353075284897193</v>
      </c>
      <c r="M1165" s="33">
        <f>D1184*(1-D1182)/D1178/((1+G1159)^M1161)</f>
        <v>0.77900070359717</v>
      </c>
      <c r="N1165" s="33">
        <f>D1184*(1-D1182)/D1178/((1+G1159)^N1161)</f>
        <v>0.72803804074501866</v>
      </c>
      <c r="O1165" s="33">
        <f>D1184*(1-D1182)/D1178/((1+G1159)^O1161)</f>
        <v>0.6804093838738493</v>
      </c>
      <c r="P1165" s="33">
        <f>D1184*(1-D1182)/D1178/((1+G1159)^P1161)</f>
        <v>0.63589662044284967</v>
      </c>
      <c r="Q1165" s="33">
        <f>D1184*(1-D1182)/D1178/((1+G1159)^Q1161)</f>
        <v>0.59429590695593437</v>
      </c>
      <c r="R1165" s="33">
        <f>D1184*(1-D1182)/D1178/((1+G1159)^R1161)</f>
        <v>0.55541673547283577</v>
      </c>
      <c r="S1165" s="33">
        <f>D1184*(1-D1182)/D1178/((1+G1159)^S1161)</f>
        <v>0.51908106118956621</v>
      </c>
      <c r="T1165" s="33">
        <f>D1184*(1-D1182)/D1178/((1+G1159)^T1161)</f>
        <v>0.4851224870930525</v>
      </c>
      <c r="U1165" s="33">
        <f>D1184*(1-D1182)/D1178/((1+G1159)^U1161)</f>
        <v>0.45338550195612387</v>
      </c>
      <c r="V1165" s="33">
        <f>D1184*(1-D1182)/D1178/((1+G1159)^V1161)</f>
        <v>0.4237247681832933</v>
      </c>
      <c r="W1165" s="33">
        <f>D1184*(1-D1182)/D1178/((1+G1159)^W1161)</f>
        <v>0.39600445624606856</v>
      </c>
      <c r="X1165" s="33">
        <f>D1184*(1-D1182)/D1178/((1+G1159)^X1161)</f>
        <v>0.37009762265987711</v>
      </c>
      <c r="Y1165" s="33">
        <f>D1184*(1-D1182)/D1178/((1+G1159)^Y1161)</f>
        <v>0.34588562865409078</v>
      </c>
      <c r="Z1165" s="33">
        <f>D1184*(1-D1182)/D1178/((1+G1159)^Z1161)</f>
        <v>0.323257596872982</v>
      </c>
      <c r="AA1165" s="33">
        <f>D1184*(1-D1182)/D1178/((1+G1159)^AA1161)</f>
        <v>0.30210990361960938</v>
      </c>
    </row>
    <row r="1166" spans="3:27" hidden="1" outlineLevel="1" x14ac:dyDescent="0.3">
      <c r="C1166" s="21" t="s">
        <v>32</v>
      </c>
      <c r="D1166" s="19">
        <f>分布式光伏电站IRR汇总!$B$8</f>
        <v>1.8870000000000002</v>
      </c>
      <c r="F1166" s="6" t="s">
        <v>17</v>
      </c>
      <c r="G1166" s="33">
        <f>SUM(H1167:AA1167)</f>
        <v>2.5425634189238777</v>
      </c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  <c r="AA1166" s="33"/>
    </row>
    <row r="1167" spans="3:27" hidden="1" outlineLevel="1" x14ac:dyDescent="0.3">
      <c r="C1167" s="21" t="s">
        <v>33</v>
      </c>
      <c r="D1167" s="19">
        <f>分布式光伏电站IRR汇总!$B$9</f>
        <v>0.18500000000000003</v>
      </c>
      <c r="F1167" s="7" t="s">
        <v>18</v>
      </c>
      <c r="G1167" s="33"/>
      <c r="H1167" s="33">
        <f>D1181*D1160/((1+G1159)^H1161)</f>
        <v>0.22429906542056072</v>
      </c>
      <c r="I1167" s="33">
        <f>D1181*D1160/((1+G1159)^I1161)</f>
        <v>0.20962529478557079</v>
      </c>
      <c r="J1167" s="33">
        <f>D1181*D1160/((1+G1159)^J1161)</f>
        <v>0.19591149045380446</v>
      </c>
      <c r="K1167" s="33">
        <f>D1181*D1160/((1+G1159)^K1161)</f>
        <v>0.18309485089140604</v>
      </c>
      <c r="L1167" s="33">
        <f>D1181*D1160/((1+G1159)^L1161)</f>
        <v>0.17111668307608041</v>
      </c>
      <c r="M1167" s="33">
        <f>D1181*D1160/((1+G1159)^M1161)</f>
        <v>0.15992213371596301</v>
      </c>
      <c r="N1167" s="33">
        <f>D1181*D1160/((1+G1159)^N1161)</f>
        <v>0.14945993805230187</v>
      </c>
      <c r="O1167" s="33">
        <f>D1181*D1160/((1+G1159)^O1161)</f>
        <v>0.13968218509560923</v>
      </c>
      <c r="P1167" s="33">
        <f>D1181*D1160/((1+G1159)^P1161)</f>
        <v>0.13054409822019553</v>
      </c>
      <c r="Q1167" s="33">
        <f>D1181*D1160/((1+G1159)^Q1161)</f>
        <v>0.12200383011233226</v>
      </c>
      <c r="R1167" s="33">
        <f>D1181*D1160/((1+G1159)^R1161)</f>
        <v>0.1140222711330208</v>
      </c>
      <c r="S1167" s="33">
        <f>D1181*D1160/((1+G1159)^S1161)</f>
        <v>0.10656287021777647</v>
      </c>
      <c r="T1167" s="33">
        <f>D1181*D1160/((1+G1159)^T1161)</f>
        <v>9.9591467493249028E-2</v>
      </c>
      <c r="U1167" s="33">
        <f>D1181*D1160/((1+G1159)^U1161)</f>
        <v>9.3076137844157969E-2</v>
      </c>
      <c r="V1167" s="33">
        <f>D1181*D1160/((1+G1159)^V1161)</f>
        <v>8.6987044714166323E-2</v>
      </c>
      <c r="W1167" s="33">
        <f>D1181*D1160/((1+G1159)^W1161)</f>
        <v>8.1296303471183481E-2</v>
      </c>
      <c r="X1167" s="33">
        <f>D1181*D1160/((1+G1159)^X1161)</f>
        <v>7.5977853711386434E-2</v>
      </c>
      <c r="Y1167" s="33">
        <f>D1181*D1160/((1+G1159)^Y1161)</f>
        <v>7.1007339917183582E-2</v>
      </c>
      <c r="Z1167" s="33">
        <f>D1181*D1160/((1+G1159)^Z1161)</f>
        <v>6.6361999922601472E-2</v>
      </c>
      <c r="AA1167" s="33">
        <f>D1181*D1160/((1+G1159)^AA1161)</f>
        <v>6.2020560675328483E-2</v>
      </c>
    </row>
    <row r="1168" spans="3:27" hidden="1" outlineLevel="1" x14ac:dyDescent="0.3">
      <c r="C1168" s="21" t="s">
        <v>34</v>
      </c>
      <c r="D1168" s="19">
        <f>分布式光伏电站IRR汇总!$B$10</f>
        <v>0.222</v>
      </c>
      <c r="F1168" s="6" t="s">
        <v>19</v>
      </c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  <c r="AA1168" s="33">
        <f>D1181*D1184/((1+G1159)^AA1161)</f>
        <v>0.2544083398901974</v>
      </c>
    </row>
    <row r="1169" spans="3:27" hidden="1" outlineLevel="1" x14ac:dyDescent="0.3">
      <c r="C1169" s="21" t="s">
        <v>35</v>
      </c>
      <c r="D1169" s="19">
        <f>分布式光伏电站IRR汇总!$B$11</f>
        <v>0.44400000000000001</v>
      </c>
      <c r="F1169" s="8" t="s">
        <v>64</v>
      </c>
      <c r="G1169" s="33">
        <f>SUM(H1170:AA1170)</f>
        <v>60825.371182556526</v>
      </c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</row>
    <row r="1170" spans="3:27" hidden="1" outlineLevel="1" x14ac:dyDescent="0.3">
      <c r="C1170" s="21" t="s">
        <v>36</v>
      </c>
      <c r="D1170" s="19">
        <f>分布式光伏电站IRR汇总!$B$12</f>
        <v>0.222</v>
      </c>
      <c r="F1170" s="9" t="s">
        <v>65</v>
      </c>
      <c r="G1170" s="33"/>
      <c r="H1170" s="33">
        <f>D1160*D1177*(1-D1179)*D1183/((1+G1159)^H1161)</f>
        <v>5544.1805607476617</v>
      </c>
      <c r="I1170" s="33">
        <f>D1160*D1177*(1-D1179)*(1-D1180)^(I1161-1)*D1183/((1+G1159)^I1161)</f>
        <v>5158.1605123591571</v>
      </c>
      <c r="J1170" s="33">
        <f>D1160*D1177*(1-D1179)*(1-D1180)^(J1161-1)*D1183/((1+G1159)^J1161)</f>
        <v>4799.0175607977017</v>
      </c>
      <c r="K1170" s="33">
        <f>D1160*D1177*(1-D1179)*(1-D1180)^(K1161-1)*D1183/((1+G1159)^K1161)</f>
        <v>4464.8803567982368</v>
      </c>
      <c r="L1170" s="33">
        <f>D1160*D1177*(1-D1179)*(1-D1180)^(L1161-1)*D1183/((1+G1159)^L1161)</f>
        <v>4154.0078459744345</v>
      </c>
      <c r="M1170" s="33">
        <f>D1160*D1177*(1-D1179)*(1-D1180)^(M1161-1)*D1183/((1+G1159)^M1161)</f>
        <v>3864.7801968855611</v>
      </c>
      <c r="N1170" s="33">
        <f>D1160*D1177*(1-D1179)*(1-D1180)^(N1161-1)*D1183/((1+G1159)^N1161)</f>
        <v>3595.6903607472668</v>
      </c>
      <c r="O1170" s="33">
        <f>D1160*D1177*(1-D1179)*(1-D1180)^(O1161-1)*D1183/((1+G1159)^O1161)</f>
        <v>3345.336218807387</v>
      </c>
      <c r="P1170" s="33">
        <f>D1160*D1177*(1-D1179)*(1-D1180)^(P1161-1)*D1183/((1+G1159)^P1161)</f>
        <v>3112.4132764698629</v>
      </c>
      <c r="Q1170" s="33">
        <f>D1160*D1177*(1-D1179)*(1-D1180)^(Q1161-1)*D1183/((1+G1159)^Q1161)</f>
        <v>2895.7078660988313</v>
      </c>
      <c r="R1170" s="33">
        <f>D1160*D1177*(1-D1179)*(1-D1180)^(R1161-1)*D1183/((1+G1159)^R1161)</f>
        <v>2694.0908230854075</v>
      </c>
      <c r="S1170" s="33">
        <f>D1160*D1177*(1-D1179)*(1-D1180)^(S1161-1)*D1183/((1+G1159)^S1161)</f>
        <v>2506.5116022257234</v>
      </c>
      <c r="T1170" s="33">
        <f>D1160*D1177*(1-D1179)*(1-D1180)^(T1161-1)*D1183/((1+G1159)^T1161)</f>
        <v>2331.992803752998</v>
      </c>
      <c r="U1170" s="33">
        <f>D1160*D1177*(1-D1179)*(1-D1180)^(U1161-1)*D1183/((1+G1159)^U1161)</f>
        <v>2169.6250805010368</v>
      </c>
      <c r="V1170" s="33">
        <f>D1160*D1177*(1-D1179)*(1-D1180)^(V1161-1)*D1183/((1+G1159)^V1161)</f>
        <v>2018.5623996624131</v>
      </c>
      <c r="W1170" s="33">
        <f>D1160*D1177*(1-D1179)*(1-D1180)^(W1161-1)*D1183/((1+G1159)^W1161)</f>
        <v>1878.0176344522738</v>
      </c>
      <c r="X1170" s="33">
        <f>D1160*D1177*(1-D1179)*(1-D1180)^(X1161-1)*D1183/((1+G1159)^X1161)</f>
        <v>1747.2584627076994</v>
      </c>
      <c r="Y1170" s="33">
        <f>D1160*D1177*(1-D1179)*(1-D1180)^(Y1161-1)*D1183/((1+G1159)^Y1161)</f>
        <v>1625.603551051883</v>
      </c>
      <c r="Z1170" s="33">
        <f>D1160*D1177*(1-D1179)*(1-D1180)^(Z1161-1)*D1183/((1+G1159)^Z1161)</f>
        <v>1512.419004740327</v>
      </c>
      <c r="AA1170" s="33">
        <f>D1160*D1177*(1-D1179)*(1-D1180)^(AA1161-1)*D1183/((1+G1159)^AA1161)</f>
        <v>1407.1150646906501</v>
      </c>
    </row>
    <row r="1171" spans="3:27" hidden="1" outlineLevel="1" x14ac:dyDescent="0.3">
      <c r="C1171" s="21" t="s">
        <v>37</v>
      </c>
      <c r="D1171" s="19">
        <f>分布式光伏电站IRR汇总!$B$13</f>
        <v>0.15</v>
      </c>
      <c r="F1171" s="4" t="s">
        <v>66</v>
      </c>
      <c r="G1171" s="33">
        <f>SUM(H1172:AA1172)</f>
        <v>42.66007683012328</v>
      </c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</row>
    <row r="1172" spans="3:27" hidden="1" outlineLevel="1" x14ac:dyDescent="0.3">
      <c r="C1172" s="21" t="s">
        <v>38</v>
      </c>
      <c r="D1172" s="19">
        <f>分布式光伏电站IRR汇总!$B$14</f>
        <v>3.7000000000000005E-2</v>
      </c>
      <c r="F1172" s="7" t="s">
        <v>67</v>
      </c>
      <c r="G1172" s="33"/>
      <c r="H1172" s="33">
        <f>H1170*D1188/1000</f>
        <v>3.8884295168822409</v>
      </c>
      <c r="I1172" s="33">
        <f>I1170*D1188/1000</f>
        <v>3.6176930692114682</v>
      </c>
      <c r="J1172" s="33">
        <f>J1170*D1188/1000</f>
        <v>3.3658069629906699</v>
      </c>
      <c r="K1172" s="33">
        <f>K1170*D1188/1000</f>
        <v>3.1314587211749654</v>
      </c>
      <c r="L1172" s="33">
        <f>L1170*D1188/1000</f>
        <v>2.9134272494669888</v>
      </c>
      <c r="M1172" s="33">
        <f>M1170*D1188/1000</f>
        <v>2.710576473686344</v>
      </c>
      <c r="N1172" s="33">
        <f>N1170*D1188/1000</f>
        <v>2.5218494201446306</v>
      </c>
      <c r="O1172" s="33">
        <f>O1170*D1188/1000</f>
        <v>2.3462627081812899</v>
      </c>
      <c r="P1172" s="33">
        <f>P1170*D1188/1000</f>
        <v>2.1829014261630597</v>
      </c>
      <c r="Q1172" s="33">
        <f>Q1170*D1188/1000</f>
        <v>2.0309143642479683</v>
      </c>
      <c r="R1172" s="33">
        <f>R1170*D1188/1000</f>
        <v>1.8895095790736938</v>
      </c>
      <c r="S1172" s="33">
        <f>S1170*D1188/1000</f>
        <v>1.7579502672596847</v>
      </c>
      <c r="T1172" s="33">
        <f>T1170*D1188/1000</f>
        <v>1.6355509262215104</v>
      </c>
      <c r="U1172" s="33">
        <f>U1170*D1188/1000</f>
        <v>1.5216737822930033</v>
      </c>
      <c r="V1172" s="33">
        <f>V1170*D1188/1000</f>
        <v>1.4157254675445654</v>
      </c>
      <c r="W1172" s="33">
        <f>W1170*D1188/1000</f>
        <v>1.3171539279818836</v>
      </c>
      <c r="X1172" s="33">
        <f>X1170*D1188/1000</f>
        <v>1.2254455470149204</v>
      </c>
      <c r="Y1172" s="33">
        <f>Y1170*D1188/1000</f>
        <v>1.1401224692087415</v>
      </c>
      <c r="Z1172" s="33">
        <f>Z1170*D1188/1000</f>
        <v>1.0607401103713106</v>
      </c>
      <c r="AA1172" s="33">
        <f>AA1170*D1188/1000</f>
        <v>0.98688484100433616</v>
      </c>
    </row>
    <row r="1173" spans="3:27" hidden="1" outlineLevel="1" x14ac:dyDescent="0.3">
      <c r="C1173" s="21" t="s">
        <v>39</v>
      </c>
      <c r="D1173" s="19">
        <f>分布式光伏电站IRR汇总!$B$15</f>
        <v>0.25900000000000006</v>
      </c>
      <c r="F1173" s="4" t="s">
        <v>20</v>
      </c>
      <c r="G1173" s="33">
        <f>SUM(H1174:V1174)</f>
        <v>6.0240103868407369</v>
      </c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</row>
    <row r="1174" spans="3:27" hidden="1" outlineLevel="1" x14ac:dyDescent="0.3">
      <c r="C1174" s="21" t="s">
        <v>40</v>
      </c>
      <c r="D1174" s="19">
        <f>分布式光伏电站IRR汇总!$B$16</f>
        <v>7.400000000000001E-2</v>
      </c>
      <c r="F1174" s="7" t="s">
        <v>21</v>
      </c>
      <c r="G1174" s="33"/>
      <c r="H1174" s="33">
        <f>(H1172-H1165-H1167)*G1160</f>
        <v>0.64288541660373788</v>
      </c>
      <c r="I1174" s="33">
        <f>(I1172-I1165-I1167)*G1160</f>
        <v>0.59673919009088361</v>
      </c>
      <c r="J1174" s="33">
        <f>(J1172-J1165-J1167)*G1160</f>
        <v>0.55389652840001946</v>
      </c>
      <c r="K1174" s="33">
        <f>(K1172-K1165-K1167)*G1160</f>
        <v>0.51412149118378991</v>
      </c>
      <c r="L1174" s="33">
        <f>(L1172-L1165-L1167)*G1160</f>
        <v>0.47719495338548407</v>
      </c>
      <c r="M1174" s="33">
        <f>(M1172-M1165-M1167)*G1160</f>
        <v>0.44291340909330273</v>
      </c>
      <c r="N1174" s="33">
        <f>(N1172-N1165-N1167)*G1160</f>
        <v>0.41108786033682754</v>
      </c>
      <c r="O1174" s="33">
        <f>(O1172-O1165-O1167)*G1160</f>
        <v>0.38154278480295789</v>
      </c>
      <c r="P1174" s="33">
        <f>(P1172-P1165-P1167)*G1160</f>
        <v>0.3541151768750036</v>
      </c>
      <c r="Q1174" s="33">
        <f>(Q1172-Q1165-Q1167)*G1160</f>
        <v>0.32865365679492542</v>
      </c>
      <c r="R1174" s="33">
        <f>(R1172-R1165-R1167)*G1160</f>
        <v>0.30501764311695934</v>
      </c>
      <c r="S1174" s="33">
        <f>(S1172-S1165-S1167)*G1160</f>
        <v>0.28307658396308549</v>
      </c>
      <c r="T1174" s="33">
        <f>(T1172-T1165-T1167)*G1160</f>
        <v>0.26270924290880221</v>
      </c>
      <c r="U1174" s="33">
        <f>(U1172-U1165-U1167)*G1160</f>
        <v>0.24380303562318034</v>
      </c>
      <c r="V1174" s="33">
        <f>(V1172-V1165-V1167)*G1160</f>
        <v>0.22625341366177645</v>
      </c>
      <c r="W1174" s="33">
        <f>(W1172-W1165-W1167)*G1160</f>
        <v>0.20996329206615791</v>
      </c>
      <c r="X1174" s="33">
        <f>(X1172-X1165-X1167)*G1160</f>
        <v>0.19484251766091421</v>
      </c>
      <c r="Y1174" s="33">
        <f>(Y1172-Y1165-Y1167)*G1160</f>
        <v>0.18080737515936679</v>
      </c>
      <c r="Z1174" s="33">
        <f>(Z1172-Z1165-Z1167)*G1160</f>
        <v>0.16778012839393175</v>
      </c>
      <c r="AA1174" s="33">
        <f>(AA1172-AA1165-AA1167)*G1160</f>
        <v>0.15568859417734957</v>
      </c>
    </row>
    <row r="1175" spans="3:27" hidden="1" outlineLevel="1" x14ac:dyDescent="0.3">
      <c r="C1175" s="21" t="s">
        <v>41</v>
      </c>
      <c r="D1175" s="19">
        <f>分布式光伏电站IRR汇总!$B$17</f>
        <v>0.222</v>
      </c>
      <c r="F1175" s="10" t="s">
        <v>22</v>
      </c>
      <c r="G1175" s="33">
        <f>-G1163</f>
        <v>-24.611999999999995</v>
      </c>
      <c r="H1175" s="33">
        <f t="shared" ref="H1175:AA1175" si="410">H1172-H1174-H1167</f>
        <v>3.0212450348579423</v>
      </c>
      <c r="I1175" s="33">
        <f t="shared" si="410"/>
        <v>2.8113285843350138</v>
      </c>
      <c r="J1175" s="33">
        <f t="shared" si="410"/>
        <v>2.6159989441368463</v>
      </c>
      <c r="K1175" s="33">
        <f t="shared" si="410"/>
        <v>2.4342423790997696</v>
      </c>
      <c r="L1175" s="33">
        <f t="shared" si="410"/>
        <v>2.265115613005424</v>
      </c>
      <c r="M1175" s="33">
        <f t="shared" si="410"/>
        <v>2.1077409308770783</v>
      </c>
      <c r="N1175" s="33">
        <f t="shared" si="410"/>
        <v>1.961301621755501</v>
      </c>
      <c r="O1175" s="33">
        <f t="shared" si="410"/>
        <v>1.825037738282723</v>
      </c>
      <c r="P1175" s="33">
        <f t="shared" si="410"/>
        <v>1.6982421510678605</v>
      </c>
      <c r="Q1175" s="33">
        <f t="shared" si="410"/>
        <v>1.5802568773407106</v>
      </c>
      <c r="R1175" s="33">
        <f t="shared" si="410"/>
        <v>1.4704696648237137</v>
      </c>
      <c r="S1175" s="33">
        <f t="shared" si="410"/>
        <v>1.3683108130788226</v>
      </c>
      <c r="T1175" s="33">
        <f t="shared" si="410"/>
        <v>1.2732502158194592</v>
      </c>
      <c r="U1175" s="33">
        <f t="shared" si="410"/>
        <v>1.1847946088256649</v>
      </c>
      <c r="V1175" s="33">
        <f t="shared" si="410"/>
        <v>1.1024850091686227</v>
      </c>
      <c r="W1175" s="33">
        <f t="shared" si="410"/>
        <v>1.0258943324445422</v>
      </c>
      <c r="X1175" s="33">
        <f t="shared" si="410"/>
        <v>0.95462517564261962</v>
      </c>
      <c r="Y1175" s="33">
        <f t="shared" si="410"/>
        <v>0.8883077541321911</v>
      </c>
      <c r="Z1175" s="33">
        <f t="shared" si="410"/>
        <v>0.8265979820547773</v>
      </c>
      <c r="AA1175" s="33">
        <f t="shared" si="410"/>
        <v>0.7691756861516581</v>
      </c>
    </row>
    <row r="1176" spans="3:27" ht="13.5" hidden="1" outlineLevel="1" thickBot="1" x14ac:dyDescent="0.35">
      <c r="C1176" s="21" t="s">
        <v>74</v>
      </c>
      <c r="D1176" s="19">
        <f>分布式光伏电站IRR汇总!$B$18</f>
        <v>0.4</v>
      </c>
      <c r="F1176" s="3" t="s">
        <v>61</v>
      </c>
      <c r="G1176" s="35">
        <f>SUM(G1175:AA1175)/G1163</f>
        <v>0.34830249946777792</v>
      </c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</row>
    <row r="1177" spans="3:27" ht="13.5" hidden="1" outlineLevel="1" thickTop="1" x14ac:dyDescent="0.3">
      <c r="C1177" s="18" t="s">
        <v>58</v>
      </c>
      <c r="D1177" s="19">
        <f>分布式光伏电站IRR汇总!$B$19</f>
        <v>0.86599999999999999</v>
      </c>
    </row>
    <row r="1178" spans="3:27" hidden="1" outlineLevel="1" x14ac:dyDescent="0.3">
      <c r="C1178" s="18" t="s">
        <v>62</v>
      </c>
      <c r="D1178" s="19">
        <f>分布式光伏电站IRR汇总!$B$20</f>
        <v>20</v>
      </c>
      <c r="F1178" s="13" t="s">
        <v>25</v>
      </c>
      <c r="G1178" s="14">
        <v>0</v>
      </c>
    </row>
    <row r="1179" spans="3:27" hidden="1" outlineLevel="1" x14ac:dyDescent="0.3">
      <c r="C1179" s="18" t="s">
        <v>59</v>
      </c>
      <c r="D1179" s="52">
        <f>分布式光伏电站IRR汇总!$B$21</f>
        <v>0.02</v>
      </c>
      <c r="F1179" s="13" t="s">
        <v>26</v>
      </c>
      <c r="G1179" s="14">
        <v>0.25</v>
      </c>
      <c r="Q1179" s="15"/>
    </row>
    <row r="1180" spans="3:27" hidden="1" outlineLevel="1" x14ac:dyDescent="0.3">
      <c r="C1180" s="18" t="s">
        <v>60</v>
      </c>
      <c r="D1180" s="52">
        <f>分布式光伏电站IRR汇总!$B$22</f>
        <v>4.4999999999999997E-3</v>
      </c>
      <c r="F1180" s="1" t="s">
        <v>44</v>
      </c>
      <c r="G1180" s="4"/>
      <c r="H1180" s="5">
        <v>1</v>
      </c>
      <c r="I1180" s="5">
        <v>2</v>
      </c>
      <c r="J1180" s="5">
        <v>3</v>
      </c>
      <c r="K1180" s="5">
        <v>4</v>
      </c>
      <c r="L1180" s="5">
        <v>5</v>
      </c>
      <c r="M1180" s="5">
        <v>6</v>
      </c>
      <c r="N1180" s="5">
        <v>7</v>
      </c>
      <c r="O1180" s="5">
        <v>8</v>
      </c>
      <c r="P1180" s="5">
        <v>9</v>
      </c>
      <c r="Q1180" s="5">
        <v>10</v>
      </c>
      <c r="R1180" s="5">
        <v>11</v>
      </c>
      <c r="S1180" s="5">
        <v>12</v>
      </c>
      <c r="T1180" s="5">
        <v>13</v>
      </c>
      <c r="U1180" s="5">
        <v>14</v>
      </c>
      <c r="V1180" s="5">
        <v>15</v>
      </c>
      <c r="W1180" s="5">
        <v>16</v>
      </c>
      <c r="X1180" s="5">
        <v>17</v>
      </c>
      <c r="Y1180" s="5">
        <v>18</v>
      </c>
      <c r="Z1180" s="5">
        <v>19</v>
      </c>
      <c r="AA1180" s="5">
        <v>20</v>
      </c>
    </row>
    <row r="1181" spans="3:27" hidden="1" outlineLevel="1" x14ac:dyDescent="0.3">
      <c r="C1181" s="18" t="s">
        <v>28</v>
      </c>
      <c r="D1181" s="29">
        <f>分布式光伏电站IRR汇总!$B$23</f>
        <v>0.04</v>
      </c>
      <c r="F1181" s="16"/>
      <c r="G1181" s="2" t="s">
        <v>0</v>
      </c>
      <c r="H1181" s="2" t="s">
        <v>1</v>
      </c>
      <c r="I1181" s="2" t="s">
        <v>2</v>
      </c>
      <c r="J1181" s="2" t="s">
        <v>3</v>
      </c>
      <c r="K1181" s="2" t="s">
        <v>4</v>
      </c>
      <c r="L1181" s="2" t="s">
        <v>5</v>
      </c>
      <c r="M1181" s="2" t="s">
        <v>6</v>
      </c>
      <c r="N1181" s="2" t="s">
        <v>7</v>
      </c>
      <c r="O1181" s="2" t="s">
        <v>8</v>
      </c>
      <c r="P1181" s="2" t="s">
        <v>9</v>
      </c>
      <c r="Q1181" s="2" t="s">
        <v>10</v>
      </c>
      <c r="R1181" s="2" t="s">
        <v>11</v>
      </c>
      <c r="S1181" s="2" t="s">
        <v>12</v>
      </c>
      <c r="T1181" s="2" t="s">
        <v>13</v>
      </c>
      <c r="U1181" s="2" t="s">
        <v>45</v>
      </c>
      <c r="V1181" s="2" t="s">
        <v>46</v>
      </c>
      <c r="W1181" s="2" t="s">
        <v>47</v>
      </c>
      <c r="X1181" s="2" t="s">
        <v>48</v>
      </c>
      <c r="Y1181" s="2" t="s">
        <v>49</v>
      </c>
      <c r="Z1181" s="2" t="s">
        <v>50</v>
      </c>
      <c r="AA1181" s="2" t="s">
        <v>51</v>
      </c>
    </row>
    <row r="1182" spans="3:27" hidden="1" outlineLevel="1" x14ac:dyDescent="0.3">
      <c r="C1182" s="18" t="s">
        <v>43</v>
      </c>
      <c r="D1182" s="19">
        <f>分布式光伏电站IRR汇总!$B$24</f>
        <v>0.05</v>
      </c>
      <c r="F1182" s="6" t="s">
        <v>14</v>
      </c>
      <c r="G1182" s="33">
        <f>D1184</f>
        <v>24.611999999999995</v>
      </c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  <c r="AA1182" s="33"/>
    </row>
    <row r="1183" spans="3:27" hidden="1" outlineLevel="1" x14ac:dyDescent="0.3">
      <c r="C1183" s="18" t="s">
        <v>126</v>
      </c>
      <c r="D1183" s="28">
        <f>Backup分地区光伏小时数及电价!E26</f>
        <v>1165</v>
      </c>
      <c r="F1183" s="6" t="s">
        <v>15</v>
      </c>
      <c r="G1183" s="33">
        <f>SUM(H1184:AA1184)</f>
        <v>23.381399999999985</v>
      </c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  <c r="AA1183" s="33"/>
    </row>
    <row r="1184" spans="3:27" hidden="1" outlineLevel="1" x14ac:dyDescent="0.3">
      <c r="C1184" s="24" t="s">
        <v>14</v>
      </c>
      <c r="D1184" s="30">
        <f>D1160*D1165</f>
        <v>24.611999999999995</v>
      </c>
      <c r="F1184" s="7" t="s">
        <v>16</v>
      </c>
      <c r="G1184" s="33"/>
      <c r="H1184" s="33">
        <f>D1184*(1-D1182)/D1178/((1+G1178)^H1180)</f>
        <v>1.1690699999999996</v>
      </c>
      <c r="I1184" s="33">
        <f>D1184*(1-D1182)/D1178/((1+G1178)^I1180)</f>
        <v>1.1690699999999996</v>
      </c>
      <c r="J1184" s="33">
        <f>D1184*(1-D1182)/D1178/((1+G1178)^J1180)</f>
        <v>1.1690699999999996</v>
      </c>
      <c r="K1184" s="33">
        <f>D1184*(1-D1182)/D1178/((1+G1178)^K1180)</f>
        <v>1.1690699999999996</v>
      </c>
      <c r="L1184" s="33">
        <f>D1184*(1-D1182)/D1178/((1+G1178)^L1180)</f>
        <v>1.1690699999999996</v>
      </c>
      <c r="M1184" s="33">
        <f>D1184*(1-D1182)/D1178/((1+G1178)^M1180)</f>
        <v>1.1690699999999996</v>
      </c>
      <c r="N1184" s="33">
        <f>D1184*(1-D1182)/D1178/((1+G1178)^N1180)</f>
        <v>1.1690699999999996</v>
      </c>
      <c r="O1184" s="33">
        <f>D1184*(1-D1182)/D1178/((1+G1178)^O1180)</f>
        <v>1.1690699999999996</v>
      </c>
      <c r="P1184" s="33">
        <f>D1184*(1-D1182)/D1178/((1+G1178)^P1180)</f>
        <v>1.1690699999999996</v>
      </c>
      <c r="Q1184" s="33">
        <f>D1184*(1-D1182)/D1178/((1+G1178)^Q1180)</f>
        <v>1.1690699999999996</v>
      </c>
      <c r="R1184" s="33">
        <f>D1184*(1-D1182)/D1178/((1+G1178)^R1180)</f>
        <v>1.1690699999999996</v>
      </c>
      <c r="S1184" s="33">
        <f>D1184*(1-D1182)/D1178/((1+G1178)^S1180)</f>
        <v>1.1690699999999996</v>
      </c>
      <c r="T1184" s="33">
        <f>D1184*(1-D1182)/D1178/((1+G1178)^T1180)</f>
        <v>1.1690699999999996</v>
      </c>
      <c r="U1184" s="33">
        <f>D1184*(1-D1182)/D1178/((1+G1178)^U1180)</f>
        <v>1.1690699999999996</v>
      </c>
      <c r="V1184" s="33">
        <f>D1184*(1-D1182)/D1178/((1+G1178)^V1180)</f>
        <v>1.1690699999999996</v>
      </c>
      <c r="W1184" s="33">
        <f>D1184*(1-D1182)/D1178/((1+G1178)^W1180)</f>
        <v>1.1690699999999996</v>
      </c>
      <c r="X1184" s="33">
        <f>D1184*(1-D1182)/D1178/((1+G1178)^X1180)</f>
        <v>1.1690699999999996</v>
      </c>
      <c r="Y1184" s="33">
        <f>D1184*(1-D1182)/D1178/((1+G1178)^Y1180)</f>
        <v>1.1690699999999996</v>
      </c>
      <c r="Z1184" s="33">
        <f>D1184*(1-D1182)/D1178/((1+G1178)^Z1180)</f>
        <v>1.1690699999999996</v>
      </c>
      <c r="AA1184" s="33">
        <f>D1184*(1-D1182)/D1178/((1+G1178)^AA1180)</f>
        <v>1.1690699999999996</v>
      </c>
    </row>
    <row r="1185" spans="2:27" hidden="1" outlineLevel="1" x14ac:dyDescent="0.3">
      <c r="C1185" s="18" t="s">
        <v>29</v>
      </c>
      <c r="D1185" s="29">
        <v>0.35980000000000001</v>
      </c>
      <c r="F1185" s="6" t="s">
        <v>17</v>
      </c>
      <c r="G1185" s="33">
        <f>SUM(H1186:AA1186)</f>
        <v>4.8000000000000025</v>
      </c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</row>
    <row r="1186" spans="2:27" hidden="1" outlineLevel="1" x14ac:dyDescent="0.3">
      <c r="C1186" s="18" t="s">
        <v>30</v>
      </c>
      <c r="D1186" s="31">
        <f>Backup分地区光伏小时数及电价!I26</f>
        <v>0.70135333333333316</v>
      </c>
      <c r="F1186" s="7" t="s">
        <v>18</v>
      </c>
      <c r="G1186" s="33"/>
      <c r="H1186" s="33">
        <f>D1181*D1160/((1+G1178)^H1180)</f>
        <v>0.24</v>
      </c>
      <c r="I1186" s="33">
        <f>D1181*D1160/((1+G1178)^I1180)</f>
        <v>0.24</v>
      </c>
      <c r="J1186" s="33">
        <f>D1181*D1160/((1+G1178)^J1180)</f>
        <v>0.24</v>
      </c>
      <c r="K1186" s="33">
        <f>D1181*D1160/((1+G1178)^K1180)</f>
        <v>0.24</v>
      </c>
      <c r="L1186" s="33">
        <f>D1181*D1160/((1+G1178)^L1180)</f>
        <v>0.24</v>
      </c>
      <c r="M1186" s="33">
        <f>D1181*D1160/((1+G1178)^M1180)</f>
        <v>0.24</v>
      </c>
      <c r="N1186" s="33">
        <f>D1181*D1160/((1+G1178)^N1180)</f>
        <v>0.24</v>
      </c>
      <c r="O1186" s="33">
        <f>D1181*D1160/((1+G1178)^O1180)</f>
        <v>0.24</v>
      </c>
      <c r="P1186" s="33">
        <f>D1181*D1160/((1+G1178)^P1180)</f>
        <v>0.24</v>
      </c>
      <c r="Q1186" s="33">
        <f>D1181*D1160/((1+G1178)^Q1180)</f>
        <v>0.24</v>
      </c>
      <c r="R1186" s="33">
        <f>D1181*D1160/((1+G1178)^R1180)</f>
        <v>0.24</v>
      </c>
      <c r="S1186" s="33">
        <f>D1181*D1160/((1+G1178)^S1180)</f>
        <v>0.24</v>
      </c>
      <c r="T1186" s="33">
        <f>D1181*D1160/((1+G1178)^T1180)</f>
        <v>0.24</v>
      </c>
      <c r="U1186" s="33">
        <f>D1181*D1160/((1+G1178)^U1180)</f>
        <v>0.24</v>
      </c>
      <c r="V1186" s="33">
        <f>D1181*D1160/((1+G1178)^V1180)</f>
        <v>0.24</v>
      </c>
      <c r="W1186" s="33">
        <f>D1181*D1160/((1+G1178)^W1180)</f>
        <v>0.24</v>
      </c>
      <c r="X1186" s="33">
        <f>D1181*D1160/((1+G1178)^X1180)</f>
        <v>0.24</v>
      </c>
      <c r="Y1186" s="33">
        <f>D1181*D1160/((1+G1178)^Y1180)</f>
        <v>0.24</v>
      </c>
      <c r="Z1186" s="33">
        <f>D1181*D1160/((1+G1178)^Z1180)</f>
        <v>0.24</v>
      </c>
      <c r="AA1186" s="33">
        <f>D1181*D1160/((1+G1178)^AA1180)</f>
        <v>0.24</v>
      </c>
    </row>
    <row r="1187" spans="2:27" hidden="1" outlineLevel="1" x14ac:dyDescent="0.3">
      <c r="C1187" s="18" t="s">
        <v>70</v>
      </c>
      <c r="D1187" s="32">
        <f>分布式光伏电站IRR汇总!$B$27</f>
        <v>1</v>
      </c>
      <c r="F1187" s="6" t="s">
        <v>19</v>
      </c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>
        <f>D1181*D1184/((1+G1178)^AA1180)</f>
        <v>0.9844799999999998</v>
      </c>
    </row>
    <row r="1188" spans="2:27" hidden="1" outlineLevel="1" x14ac:dyDescent="0.3">
      <c r="C1188" s="18" t="s">
        <v>69</v>
      </c>
      <c r="D1188" s="31">
        <f>D1187*D1186</f>
        <v>0.70135333333333316</v>
      </c>
      <c r="F1188" s="8" t="s">
        <v>64</v>
      </c>
      <c r="G1188" s="33">
        <f>SUM(H1189:AA1189)</f>
        <v>113707.73513306638</v>
      </c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  <c r="AA1188" s="33"/>
    </row>
    <row r="1189" spans="2:27" hidden="1" outlineLevel="1" x14ac:dyDescent="0.3">
      <c r="C1189" s="18" t="s">
        <v>31</v>
      </c>
      <c r="D1189" s="27">
        <v>0</v>
      </c>
      <c r="F1189" s="9" t="s">
        <v>65</v>
      </c>
      <c r="G1189" s="33"/>
      <c r="H1189" s="33">
        <f>D1160*D1177*(1-D1179)*D1183/((1+G1178)^H1180)</f>
        <v>5932.2731999999987</v>
      </c>
      <c r="I1189" s="33">
        <f>D1160*D1177*(1-D1179)*(1-D1180)^(I1180-1)*D1183/((1+G1178)^I1180)</f>
        <v>5905.5779705999994</v>
      </c>
      <c r="J1189" s="33">
        <f>D1160*D1177*(1-D1179)*(1-D1180)^(J1180-1)*D1183/((1+G1178)^J1180)</f>
        <v>5879.0028697322996</v>
      </c>
      <c r="K1189" s="33">
        <f>D1160*D1177*(1-D1179)*(1-D1180)^(K1180-1)*D1183/((1+G1178)^K1180)</f>
        <v>5852.5473568185052</v>
      </c>
      <c r="L1189" s="33">
        <f>D1160*D1177*(1-D1179)*(1-D1180)^(L1180-1)*D1183/((1+G1178)^L1180)</f>
        <v>5826.2108937128223</v>
      </c>
      <c r="M1189" s="33">
        <f>D1160*D1177*(1-D1179)*(1-D1180)^(M1180-1)*D1183/((1+G1178)^M1180)</f>
        <v>5799.9929446911156</v>
      </c>
      <c r="N1189" s="33">
        <f>D1160*D1177*(1-D1179)*(1-D1180)^(N1180-1)*D1183/((1+G1178)^N1180)</f>
        <v>5773.8929764400054</v>
      </c>
      <c r="O1189" s="33">
        <f>D1160*D1177*(1-D1179)*(1-D1180)^(O1180-1)*D1183/((1+G1178)^O1180)</f>
        <v>5747.9104580460253</v>
      </c>
      <c r="P1189" s="33">
        <f>D1160*D1177*(1-D1179)*(1-D1180)^(P1180-1)*D1183/((1+G1178)^P1180)</f>
        <v>5722.0448609848181</v>
      </c>
      <c r="Q1189" s="33">
        <f>D1160*D1177*(1-D1179)*(1-D1180)^(Q1180-1)*D1183/((1+G1178)^Q1180)</f>
        <v>5696.2956591103875</v>
      </c>
      <c r="R1189" s="33">
        <f>D1160*D1177*(1-D1179)*(1-D1180)^(R1180-1)*D1183/((1+G1178)^R1180)</f>
        <v>5670.662328644391</v>
      </c>
      <c r="S1189" s="33">
        <f>D1160*D1177*(1-D1179)*(1-D1180)^(S1180-1)*D1183/((1+G1178)^S1180)</f>
        <v>5645.1443481654915</v>
      </c>
      <c r="T1189" s="33">
        <f>D1160*D1177*(1-D1179)*(1-D1180)^(T1180-1)*D1183/((1+G1178)^T1180)</f>
        <v>5619.7411985987474</v>
      </c>
      <c r="U1189" s="33">
        <f>D1160*D1177*(1-D1179)*(1-D1180)^(U1180-1)*D1183/((1+G1178)^U1180)</f>
        <v>5594.4523632050532</v>
      </c>
      <c r="V1189" s="33">
        <f>D1160*D1177*(1-D1179)*(1-D1180)^(V1180-1)*D1183/((1+G1178)^V1180)</f>
        <v>5569.2773275706304</v>
      </c>
      <c r="W1189" s="33">
        <f>D1160*D1177*(1-D1179)*(1-D1180)^(W1180-1)*D1183/((1+G1178)^W1180)</f>
        <v>5544.2155795965637</v>
      </c>
      <c r="X1189" s="33">
        <f>D1160*D1177*(1-D1179)*(1-D1180)^(X1180-1)*D1183/((1+G1178)^X1180)</f>
        <v>5519.2666094883789</v>
      </c>
      <c r="Y1189" s="33">
        <f>D1160*D1177*(1-D1179)*(1-D1180)^(Y1180-1)*D1183/((1+G1178)^Y1180)</f>
        <v>5494.4299097456815</v>
      </c>
      <c r="Z1189" s="33">
        <f>D1160*D1177*(1-D1179)*(1-D1180)^(Z1180-1)*D1183/((1+G1178)^Z1180)</f>
        <v>5469.7049751518271</v>
      </c>
      <c r="AA1189" s="33">
        <f>D1160*D1177*(1-D1179)*(1-D1180)^(AA1180-1)*D1183/((1+G1178)^AA1180)</f>
        <v>5445.0913027636443</v>
      </c>
    </row>
    <row r="1190" spans="2:27" hidden="1" outlineLevel="1" x14ac:dyDescent="0.3">
      <c r="F1190" s="4" t="s">
        <v>66</v>
      </c>
      <c r="G1190" s="33">
        <f>SUM(H1191:AA1191)</f>
        <v>79.749299061359878</v>
      </c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  <c r="AA1190" s="33"/>
    </row>
    <row r="1191" spans="2:27" hidden="1" outlineLevel="1" x14ac:dyDescent="0.3">
      <c r="F1191" s="7" t="s">
        <v>67</v>
      </c>
      <c r="G1191" s="33"/>
      <c r="H1191" s="33">
        <f>H1189*D1188/1000</f>
        <v>4.1606195830639985</v>
      </c>
      <c r="I1191" s="33">
        <f>I1189*D1188/1000</f>
        <v>4.1418967949402106</v>
      </c>
      <c r="J1191" s="33">
        <f>J1189*D1188/1000</f>
        <v>4.1232582593629798</v>
      </c>
      <c r="K1191" s="33">
        <f>K1189*D1188/1000</f>
        <v>4.1047035971958463</v>
      </c>
      <c r="L1191" s="33">
        <f>L1189*D1188/1000</f>
        <v>4.0862324310084661</v>
      </c>
      <c r="M1191" s="33">
        <f>M1189*D1188/1000</f>
        <v>4.0678443850689288</v>
      </c>
      <c r="N1191" s="33">
        <f>N1189*D1188/1000</f>
        <v>4.0495390853361179</v>
      </c>
      <c r="O1191" s="33">
        <f>O1189*D1188/1000</f>
        <v>4.0313161594521061</v>
      </c>
      <c r="P1191" s="33">
        <f>P1189*D1188/1000</f>
        <v>4.013175236734571</v>
      </c>
      <c r="Q1191" s="33">
        <f>Q1189*D1188/1000</f>
        <v>3.995115948169266</v>
      </c>
      <c r="R1191" s="33">
        <f>R1189*D1188/1000</f>
        <v>3.9771379264025049</v>
      </c>
      <c r="S1191" s="33">
        <f>S1189*D1188/1000</f>
        <v>3.9592408057336939</v>
      </c>
      <c r="T1191" s="33">
        <f>T1189*D1188/1000</f>
        <v>3.9414242221078926</v>
      </c>
      <c r="U1191" s="33">
        <f>U1189*D1188/1000</f>
        <v>3.9236878131084074</v>
      </c>
      <c r="V1191" s="33">
        <f>V1189*D1188/1000</f>
        <v>3.9060312179494194</v>
      </c>
      <c r="W1191" s="33">
        <f>W1189*D1188/1000</f>
        <v>3.8884540774686474</v>
      </c>
      <c r="X1191" s="33">
        <f>X1189*D1188/1000</f>
        <v>3.8709560341200384</v>
      </c>
      <c r="Y1191" s="33">
        <f>Y1189*D1188/1000</f>
        <v>3.8535367319664986</v>
      </c>
      <c r="Z1191" s="33">
        <f>Z1189*D1188/1000</f>
        <v>3.83619581667265</v>
      </c>
      <c r="AA1191" s="33">
        <f>AA1189*D1188/1000</f>
        <v>3.8189329354976236</v>
      </c>
    </row>
    <row r="1192" spans="2:27" hidden="1" outlineLevel="1" x14ac:dyDescent="0.3">
      <c r="F1192" s="4" t="s">
        <v>20</v>
      </c>
      <c r="G1192" s="33">
        <f>SUM(H1193:AA1193)</f>
        <v>12.891974765339967</v>
      </c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  <c r="AA1192" s="33"/>
    </row>
    <row r="1193" spans="2:27" hidden="1" outlineLevel="1" x14ac:dyDescent="0.3">
      <c r="F1193" s="7" t="s">
        <v>21</v>
      </c>
      <c r="G1193" s="33"/>
      <c r="H1193" s="33">
        <f>(H1191-H1184-H1186)*G1179</f>
        <v>0.68788739576599967</v>
      </c>
      <c r="I1193" s="33">
        <f>(I1191-I1184-I1186)*G1179</f>
        <v>0.68320669873505269</v>
      </c>
      <c r="J1193" s="33">
        <f>(J1191-J1184-J1186)*G1179</f>
        <v>0.67854706484074501</v>
      </c>
      <c r="K1193" s="33">
        <f>(K1191-K1184-K1186)*G1179</f>
        <v>0.67390839929896162</v>
      </c>
      <c r="L1193" s="33">
        <f>(L1191-L1184-L1186)*G1179</f>
        <v>0.66929060775211657</v>
      </c>
      <c r="M1193" s="33">
        <f>(M1191-M1184-M1186)*G1179</f>
        <v>0.66469359626723223</v>
      </c>
      <c r="N1193" s="33">
        <f>(N1191-N1184-N1186)*G1179</f>
        <v>0.66011727133402953</v>
      </c>
      <c r="O1193" s="33">
        <f>(O1191-O1184-O1186)*G1179</f>
        <v>0.65556153986302657</v>
      </c>
      <c r="P1193" s="33">
        <f>(P1191-P1184-P1186)*G1179</f>
        <v>0.65102630918364279</v>
      </c>
      <c r="Q1193" s="33">
        <f>(Q1191-Q1184-Q1186)*G1179</f>
        <v>0.64651148704231653</v>
      </c>
      <c r="R1193" s="33">
        <f>(R1191-R1184-R1186)*G1179</f>
        <v>0.64201698160062626</v>
      </c>
      <c r="S1193" s="33">
        <f>(S1191-S1184-S1186)*G1179</f>
        <v>0.63754270143342362</v>
      </c>
      <c r="T1193" s="33">
        <f>(T1191-T1184-T1186)*G1179</f>
        <v>0.63308855552697318</v>
      </c>
      <c r="U1193" s="33">
        <f>(U1191-U1184-U1186)*G1179</f>
        <v>0.6286544532771019</v>
      </c>
      <c r="V1193" s="33">
        <f>(V1191-V1184-V1186)*G1179</f>
        <v>0.62424030448735501</v>
      </c>
      <c r="W1193" s="33">
        <f>(W1191-W1184-W1186)*G1179</f>
        <v>0.61984601936716199</v>
      </c>
      <c r="X1193" s="33">
        <f>(X1191-X1184-X1186)*G1179</f>
        <v>0.61547150853000976</v>
      </c>
      <c r="Y1193" s="33">
        <f>(Y1191-Y1184-Y1186)*G1179</f>
        <v>0.6111166829916248</v>
      </c>
      <c r="Z1193" s="33">
        <f>(Z1191-Z1184-Z1186)*G1179</f>
        <v>0.60678145416816265</v>
      </c>
      <c r="AA1193" s="33">
        <f>(AA1191-AA1184-AA1186)*G1179</f>
        <v>0.60246573387440594</v>
      </c>
    </row>
    <row r="1194" spans="2:27" hidden="1" outlineLevel="1" x14ac:dyDescent="0.3">
      <c r="F1194" s="10" t="s">
        <v>22</v>
      </c>
      <c r="G1194" s="33">
        <f>-G1182</f>
        <v>-24.611999999999995</v>
      </c>
      <c r="H1194" s="33">
        <f>H1191-H1193-H1186</f>
        <v>3.2327321872979988</v>
      </c>
      <c r="I1194" s="33">
        <f t="shared" ref="I1194" si="411">I1191-I1193-I1186</f>
        <v>3.2186900962051581</v>
      </c>
      <c r="J1194" s="33">
        <f t="shared" ref="J1194" si="412">J1191-J1193-J1186</f>
        <v>3.2047111945222344</v>
      </c>
      <c r="K1194" s="33">
        <f t="shared" ref="K1194" si="413">K1191-K1193-K1186</f>
        <v>3.1907951978968843</v>
      </c>
      <c r="L1194" s="33">
        <f t="shared" ref="L1194" si="414">L1191-L1193-L1186</f>
        <v>3.1769418232563496</v>
      </c>
      <c r="M1194" s="33">
        <f t="shared" ref="M1194" si="415">M1191-M1193-M1186</f>
        <v>3.1631507888016968</v>
      </c>
      <c r="N1194" s="33">
        <f t="shared" ref="N1194" si="416">N1191-N1193-N1186</f>
        <v>3.1494218140020882</v>
      </c>
      <c r="O1194" s="33">
        <f t="shared" ref="O1194" si="417">O1191-O1193-O1186</f>
        <v>3.1357546195890791</v>
      </c>
      <c r="P1194" s="33">
        <f t="shared" ref="P1194" si="418">P1191-P1193-P1186</f>
        <v>3.1221489275509278</v>
      </c>
      <c r="Q1194" s="33">
        <f t="shared" ref="Q1194" si="419">Q1191-Q1193-Q1186</f>
        <v>3.1086044611269497</v>
      </c>
      <c r="R1194" s="33">
        <f t="shared" ref="R1194" si="420">R1191-R1193-R1186</f>
        <v>3.0951209448018782</v>
      </c>
      <c r="S1194" s="33">
        <f t="shared" ref="S1194" si="421">S1191-S1193-S1186</f>
        <v>3.08169810430027</v>
      </c>
      <c r="T1194" s="33">
        <f t="shared" ref="T1194" si="422">T1191-T1193-T1186</f>
        <v>3.0683356665809196</v>
      </c>
      <c r="U1194" s="33">
        <f t="shared" ref="U1194" si="423">U1191-U1193-U1186</f>
        <v>3.0550333598313051</v>
      </c>
      <c r="V1194" s="33">
        <f t="shared" ref="V1194" si="424">V1191-V1193-V1186</f>
        <v>3.041790913462064</v>
      </c>
      <c r="W1194" s="33">
        <f t="shared" ref="W1194" si="425">W1191-W1193-W1186</f>
        <v>3.0286080581014856</v>
      </c>
      <c r="X1194" s="33">
        <f t="shared" ref="X1194" si="426">X1191-X1193-X1186</f>
        <v>3.0154845255900282</v>
      </c>
      <c r="Y1194" s="33">
        <f t="shared" ref="Y1194" si="427">Y1191-Y1193-Y1186</f>
        <v>3.0024200489748738</v>
      </c>
      <c r="Z1194" s="33">
        <f t="shared" ref="Z1194" si="428">Z1191-Z1193-Z1186</f>
        <v>2.9894143625044869</v>
      </c>
      <c r="AA1194" s="33">
        <f t="shared" ref="AA1194" si="429">AA1191-AA1193-AA1186</f>
        <v>2.9764672016232172</v>
      </c>
    </row>
    <row r="1195" spans="2:27" ht="13.5" hidden="1" outlineLevel="1" thickBot="1" x14ac:dyDescent="0.35">
      <c r="F1195" s="3" t="s">
        <v>68</v>
      </c>
      <c r="G1195" s="40">
        <f>IRR(G1194:AA1194)</f>
        <v>0.11280945104374807</v>
      </c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</row>
    <row r="1196" spans="2:27" ht="13.5" collapsed="1" thickTop="1" x14ac:dyDescent="0.3"/>
    <row r="1197" spans="2:27" x14ac:dyDescent="0.3">
      <c r="B1197" s="11" t="s">
        <v>168</v>
      </c>
      <c r="C1197" s="11" t="s">
        <v>52</v>
      </c>
    </row>
    <row r="1198" spans="2:27" x14ac:dyDescent="0.3">
      <c r="C1198" s="11" t="s">
        <v>141</v>
      </c>
      <c r="D1198" s="54">
        <f>D1229</f>
        <v>1116</v>
      </c>
    </row>
    <row r="1199" spans="2:27" x14ac:dyDescent="0.3">
      <c r="C1199" s="16" t="s">
        <v>78</v>
      </c>
      <c r="D1199" s="37">
        <f>(G1228+G1231+G1238)/G1234*1000</f>
        <v>0.34373957716565529</v>
      </c>
    </row>
    <row r="1200" spans="2:27" x14ac:dyDescent="0.3">
      <c r="C1200" s="13" t="s">
        <v>77</v>
      </c>
      <c r="D1200" s="39">
        <f>(G1209+G1212+G1219)/G1215*1000</f>
        <v>0.53078157166517981</v>
      </c>
    </row>
    <row r="1201" spans="3:27" x14ac:dyDescent="0.3">
      <c r="C1201" s="13" t="s">
        <v>61</v>
      </c>
      <c r="D1201" s="36">
        <f>G1222</f>
        <v>3.127917304746719E-2</v>
      </c>
    </row>
    <row r="1202" spans="3:27" x14ac:dyDescent="0.3">
      <c r="C1202" s="13" t="s">
        <v>73</v>
      </c>
      <c r="D1202" s="25">
        <f>SUM(G1221:AA1221)</f>
        <v>0.76984300704426234</v>
      </c>
    </row>
    <row r="1203" spans="3:27" ht="13.5" thickBot="1" x14ac:dyDescent="0.35">
      <c r="C1203" s="23" t="s">
        <v>68</v>
      </c>
      <c r="D1203" s="26">
        <f>G1241</f>
        <v>7.4061502815685687E-2</v>
      </c>
    </row>
    <row r="1204" spans="3:27" ht="13.5" outlineLevel="1" thickTop="1" x14ac:dyDescent="0.3">
      <c r="E1204" s="20"/>
      <c r="F1204" s="38" t="s">
        <v>75</v>
      </c>
    </row>
    <row r="1205" spans="3:27" outlineLevel="1" x14ac:dyDescent="0.3">
      <c r="C1205" s="11" t="s">
        <v>71</v>
      </c>
      <c r="F1205" s="13" t="s">
        <v>25</v>
      </c>
      <c r="G1205" s="14">
        <v>7.0000000000000007E-2</v>
      </c>
    </row>
    <row r="1206" spans="3:27" outlineLevel="1" x14ac:dyDescent="0.3">
      <c r="C1206" s="18" t="s">
        <v>53</v>
      </c>
      <c r="D1206" s="19">
        <f>分布式光伏电站IRR汇总!$B$2</f>
        <v>6</v>
      </c>
      <c r="F1206" s="13" t="s">
        <v>26</v>
      </c>
      <c r="G1206" s="14">
        <v>0.25</v>
      </c>
    </row>
    <row r="1207" spans="3:27" outlineLevel="1" x14ac:dyDescent="0.3">
      <c r="C1207" s="18" t="s">
        <v>56</v>
      </c>
      <c r="D1207" s="19">
        <f>分布式光伏电站IRR汇总!$B$3</f>
        <v>120</v>
      </c>
      <c r="F1207" s="1" t="s">
        <v>44</v>
      </c>
      <c r="G1207" s="4"/>
      <c r="H1207" s="5">
        <v>1</v>
      </c>
      <c r="I1207" s="5">
        <v>2</v>
      </c>
      <c r="J1207" s="5">
        <v>3</v>
      </c>
      <c r="K1207" s="5">
        <v>4</v>
      </c>
      <c r="L1207" s="5">
        <v>5</v>
      </c>
      <c r="M1207" s="5">
        <v>6</v>
      </c>
      <c r="N1207" s="5">
        <v>7</v>
      </c>
      <c r="O1207" s="5">
        <v>8</v>
      </c>
      <c r="P1207" s="5">
        <v>9</v>
      </c>
      <c r="Q1207" s="5">
        <v>10</v>
      </c>
      <c r="R1207" s="5">
        <v>11</v>
      </c>
      <c r="S1207" s="5">
        <v>12</v>
      </c>
      <c r="T1207" s="5">
        <v>13</v>
      </c>
      <c r="U1207" s="5">
        <v>14</v>
      </c>
      <c r="V1207" s="5">
        <v>15</v>
      </c>
      <c r="W1207" s="5">
        <v>16</v>
      </c>
      <c r="X1207" s="5">
        <v>17</v>
      </c>
      <c r="Y1207" s="5">
        <v>18</v>
      </c>
      <c r="Z1207" s="5">
        <v>19</v>
      </c>
      <c r="AA1207" s="5">
        <v>20</v>
      </c>
    </row>
    <row r="1208" spans="3:27" outlineLevel="1" x14ac:dyDescent="0.3">
      <c r="C1208" s="18" t="s">
        <v>57</v>
      </c>
      <c r="D1208" s="19">
        <f>分布式光伏电站IRR汇总!$B$4</f>
        <v>3</v>
      </c>
      <c r="F1208" s="16"/>
      <c r="G1208" s="2" t="s">
        <v>0</v>
      </c>
      <c r="H1208" s="2" t="s">
        <v>1</v>
      </c>
      <c r="I1208" s="2" t="s">
        <v>2</v>
      </c>
      <c r="J1208" s="2" t="s">
        <v>3</v>
      </c>
      <c r="K1208" s="2" t="s">
        <v>4</v>
      </c>
      <c r="L1208" s="2" t="s">
        <v>5</v>
      </c>
      <c r="M1208" s="2" t="s">
        <v>6</v>
      </c>
      <c r="N1208" s="2" t="s">
        <v>7</v>
      </c>
      <c r="O1208" s="2" t="s">
        <v>8</v>
      </c>
      <c r="P1208" s="2" t="s">
        <v>9</v>
      </c>
      <c r="Q1208" s="2" t="s">
        <v>10</v>
      </c>
      <c r="R1208" s="2" t="s">
        <v>11</v>
      </c>
      <c r="S1208" s="2" t="s">
        <v>12</v>
      </c>
      <c r="T1208" s="2" t="s">
        <v>13</v>
      </c>
      <c r="U1208" s="2" t="s">
        <v>45</v>
      </c>
      <c r="V1208" s="2" t="s">
        <v>46</v>
      </c>
      <c r="W1208" s="2" t="s">
        <v>47</v>
      </c>
      <c r="X1208" s="2" t="s">
        <v>48</v>
      </c>
      <c r="Y1208" s="2" t="s">
        <v>49</v>
      </c>
      <c r="Z1208" s="2" t="s">
        <v>50</v>
      </c>
      <c r="AA1208" s="2" t="s">
        <v>127</v>
      </c>
    </row>
    <row r="1209" spans="3:27" outlineLevel="1" x14ac:dyDescent="0.3">
      <c r="C1209" s="18" t="s">
        <v>54</v>
      </c>
      <c r="D1209" s="19">
        <f>分布式光伏电站IRR汇总!$B$5</f>
        <v>5</v>
      </c>
      <c r="F1209" s="6" t="s">
        <v>14</v>
      </c>
      <c r="G1209" s="33">
        <f>D1230</f>
        <v>24.611999999999995</v>
      </c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</row>
    <row r="1210" spans="3:27" outlineLevel="1" x14ac:dyDescent="0.3">
      <c r="C1210" s="18" t="s">
        <v>55</v>
      </c>
      <c r="D1210" s="19">
        <f>分布式光伏电站IRR汇总!$B$6</f>
        <v>15</v>
      </c>
      <c r="F1210" s="6" t="s">
        <v>15</v>
      </c>
      <c r="G1210" s="33">
        <f>SUM(H1211:AA1211)</f>
        <v>12.385144234005573</v>
      </c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</row>
    <row r="1211" spans="3:27" outlineLevel="1" x14ac:dyDescent="0.3">
      <c r="C1211" s="18" t="s">
        <v>42</v>
      </c>
      <c r="D1211" s="19">
        <f>分布式光伏电站IRR汇总!$B$7</f>
        <v>4.1019999999999994</v>
      </c>
      <c r="F1211" s="7" t="s">
        <v>16</v>
      </c>
      <c r="G1211" s="33"/>
      <c r="H1211" s="33">
        <f>D1230*(1-D1228)/D1224/((1+G1205)^H1207)</f>
        <v>1.0925887850467286</v>
      </c>
      <c r="I1211" s="33">
        <f>D1230*(1-D1228)/D1224/((1+G1205)^I1207)</f>
        <v>1.0211110140623632</v>
      </c>
      <c r="J1211" s="33">
        <f>D1230*(1-D1228)/D1224/((1+G1205)^J1207)</f>
        <v>0.95430935893678792</v>
      </c>
      <c r="K1211" s="33">
        <f>D1230*(1-D1228)/D1224/((1+G1205)^K1207)</f>
        <v>0.89187790554839996</v>
      </c>
      <c r="L1211" s="33">
        <f>D1230*(1-D1228)/D1224/((1+G1205)^L1207)</f>
        <v>0.83353075284897193</v>
      </c>
      <c r="M1211" s="33">
        <f>D1230*(1-D1228)/D1224/((1+G1205)^M1207)</f>
        <v>0.77900070359717</v>
      </c>
      <c r="N1211" s="33">
        <f>D1230*(1-D1228)/D1224/((1+G1205)^N1207)</f>
        <v>0.72803804074501866</v>
      </c>
      <c r="O1211" s="33">
        <f>D1230*(1-D1228)/D1224/((1+G1205)^O1207)</f>
        <v>0.6804093838738493</v>
      </c>
      <c r="P1211" s="33">
        <f>D1230*(1-D1228)/D1224/((1+G1205)^P1207)</f>
        <v>0.63589662044284967</v>
      </c>
      <c r="Q1211" s="33">
        <f>D1230*(1-D1228)/D1224/((1+G1205)^Q1207)</f>
        <v>0.59429590695593437</v>
      </c>
      <c r="R1211" s="33">
        <f>D1230*(1-D1228)/D1224/((1+G1205)^R1207)</f>
        <v>0.55541673547283577</v>
      </c>
      <c r="S1211" s="33">
        <f>D1230*(1-D1228)/D1224/((1+G1205)^S1207)</f>
        <v>0.51908106118956621</v>
      </c>
      <c r="T1211" s="33">
        <f>D1230*(1-D1228)/D1224/((1+G1205)^T1207)</f>
        <v>0.4851224870930525</v>
      </c>
      <c r="U1211" s="33">
        <f>D1230*(1-D1228)/D1224/((1+G1205)^U1207)</f>
        <v>0.45338550195612387</v>
      </c>
      <c r="V1211" s="33">
        <f>D1230*(1-D1228)/D1224/((1+G1205)^V1207)</f>
        <v>0.4237247681832933</v>
      </c>
      <c r="W1211" s="33">
        <f>D1230*(1-D1228)/D1224/((1+G1205)^W1207)</f>
        <v>0.39600445624606856</v>
      </c>
      <c r="X1211" s="33">
        <f>D1230*(1-D1228)/D1224/((1+G1205)^X1207)</f>
        <v>0.37009762265987711</v>
      </c>
      <c r="Y1211" s="33">
        <f>D1230*(1-D1228)/D1224/((1+G1205)^Y1207)</f>
        <v>0.34588562865409078</v>
      </c>
      <c r="Z1211" s="33">
        <f>D1230*(1-D1228)/D1224/((1+G1205)^Z1207)</f>
        <v>0.323257596872982</v>
      </c>
      <c r="AA1211" s="33">
        <f>D1230*(1-D1228)/D1224/((1+G1205)^AA1207)</f>
        <v>0.30210990361960938</v>
      </c>
    </row>
    <row r="1212" spans="3:27" outlineLevel="1" x14ac:dyDescent="0.3">
      <c r="C1212" s="21" t="s">
        <v>32</v>
      </c>
      <c r="D1212" s="19">
        <f>分布式光伏电站IRR汇总!$B$8</f>
        <v>1.8870000000000002</v>
      </c>
      <c r="F1212" s="6" t="s">
        <v>17</v>
      </c>
      <c r="G1212" s="33">
        <f>SUM(H1213:AA1213)</f>
        <v>2.5425634189238777</v>
      </c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</row>
    <row r="1213" spans="3:27" outlineLevel="1" x14ac:dyDescent="0.3">
      <c r="C1213" s="21" t="s">
        <v>33</v>
      </c>
      <c r="D1213" s="19">
        <f>分布式光伏电站IRR汇总!$B$9</f>
        <v>0.18500000000000003</v>
      </c>
      <c r="F1213" s="7" t="s">
        <v>18</v>
      </c>
      <c r="G1213" s="33"/>
      <c r="H1213" s="33">
        <f>D1227*D1206/((1+G1205)^H1207)</f>
        <v>0.22429906542056072</v>
      </c>
      <c r="I1213" s="33">
        <f>D1227*D1206/((1+G1205)^I1207)</f>
        <v>0.20962529478557079</v>
      </c>
      <c r="J1213" s="33">
        <f>D1227*D1206/((1+G1205)^J1207)</f>
        <v>0.19591149045380446</v>
      </c>
      <c r="K1213" s="33">
        <f>D1227*D1206/((1+G1205)^K1207)</f>
        <v>0.18309485089140604</v>
      </c>
      <c r="L1213" s="33">
        <f>D1227*D1206/((1+G1205)^L1207)</f>
        <v>0.17111668307608041</v>
      </c>
      <c r="M1213" s="33">
        <f>D1227*D1206/((1+G1205)^M1207)</f>
        <v>0.15992213371596301</v>
      </c>
      <c r="N1213" s="33">
        <f>D1227*D1206/((1+G1205)^N1207)</f>
        <v>0.14945993805230187</v>
      </c>
      <c r="O1213" s="33">
        <f>D1227*D1206/((1+G1205)^O1207)</f>
        <v>0.13968218509560923</v>
      </c>
      <c r="P1213" s="33">
        <f>D1227*D1206/((1+G1205)^P1207)</f>
        <v>0.13054409822019553</v>
      </c>
      <c r="Q1213" s="33">
        <f>D1227*D1206/((1+G1205)^Q1207)</f>
        <v>0.12200383011233226</v>
      </c>
      <c r="R1213" s="33">
        <f>D1227*D1206/((1+G1205)^R1207)</f>
        <v>0.1140222711330208</v>
      </c>
      <c r="S1213" s="33">
        <f>D1227*D1206/((1+G1205)^S1207)</f>
        <v>0.10656287021777647</v>
      </c>
      <c r="T1213" s="33">
        <f>D1227*D1206/((1+G1205)^T1207)</f>
        <v>9.9591467493249028E-2</v>
      </c>
      <c r="U1213" s="33">
        <f>D1227*D1206/((1+G1205)^U1207)</f>
        <v>9.3076137844157969E-2</v>
      </c>
      <c r="V1213" s="33">
        <f>D1227*D1206/((1+G1205)^V1207)</f>
        <v>8.6987044714166323E-2</v>
      </c>
      <c r="W1213" s="33">
        <f>D1227*D1206/((1+G1205)^W1207)</f>
        <v>8.1296303471183481E-2</v>
      </c>
      <c r="X1213" s="33">
        <f>D1227*D1206/((1+G1205)^X1207)</f>
        <v>7.5977853711386434E-2</v>
      </c>
      <c r="Y1213" s="33">
        <f>D1227*D1206/((1+G1205)^Y1207)</f>
        <v>7.1007339917183582E-2</v>
      </c>
      <c r="Z1213" s="33">
        <f>D1227*D1206/((1+G1205)^Z1207)</f>
        <v>6.6361999922601472E-2</v>
      </c>
      <c r="AA1213" s="33">
        <f>D1227*D1206/((1+G1205)^AA1207)</f>
        <v>6.2020560675328483E-2</v>
      </c>
    </row>
    <row r="1214" spans="3:27" outlineLevel="1" x14ac:dyDescent="0.3">
      <c r="C1214" s="21" t="s">
        <v>34</v>
      </c>
      <c r="D1214" s="19">
        <f>分布式光伏电站IRR汇总!$B$10</f>
        <v>0.222</v>
      </c>
      <c r="F1214" s="6" t="s">
        <v>19</v>
      </c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  <c r="AA1214" s="33">
        <f>D1227*D1230/((1+G1205)^AA1207)</f>
        <v>0.2544083398901974</v>
      </c>
    </row>
    <row r="1215" spans="3:27" outlineLevel="1" x14ac:dyDescent="0.3">
      <c r="C1215" s="21" t="s">
        <v>35</v>
      </c>
      <c r="D1215" s="19">
        <f>分布式光伏电站IRR汇总!$B$11</f>
        <v>0.44400000000000001</v>
      </c>
      <c r="F1215" s="8" t="s">
        <v>64</v>
      </c>
      <c r="G1215" s="33">
        <f>SUM(H1216:AA1216)</f>
        <v>58267.050849556297</v>
      </c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</row>
    <row r="1216" spans="3:27" outlineLevel="1" x14ac:dyDescent="0.3">
      <c r="C1216" s="21" t="s">
        <v>36</v>
      </c>
      <c r="D1216" s="19">
        <f>分布式光伏电站IRR汇总!$B$12</f>
        <v>0.222</v>
      </c>
      <c r="F1216" s="9" t="s">
        <v>65</v>
      </c>
      <c r="G1216" s="33"/>
      <c r="H1216" s="33">
        <f>D1206*D1223*(1-D1225)*D1229/((1+G1205)^H1207)</f>
        <v>5310.9918504672887</v>
      </c>
      <c r="I1216" s="33">
        <f>D1206*D1223*(1-D1225)*(1-D1226)^(I1207-1)*D1229/((1+G1205)^I1207)</f>
        <v>4941.2078384487722</v>
      </c>
      <c r="J1216" s="33">
        <f>D1206*D1223*(1-D1225)*(1-D1226)^(J1207-1)*D1229/((1+G1205)^J1207)</f>
        <v>4597.1704702577126</v>
      </c>
      <c r="K1216" s="33">
        <f>D1206*D1223*(1-D1225)*(1-D1226)^(K1207-1)*D1229/((1+G1205)^K1207)</f>
        <v>4277.0871057397699</v>
      </c>
      <c r="L1216" s="33">
        <f>D1206*D1223*(1-D1225)*(1-D1226)^(L1207-1)*D1229/((1+G1205)^L1207)</f>
        <v>3979.2899194055526</v>
      </c>
      <c r="M1216" s="33">
        <f>D1206*D1223*(1-D1225)*(1-D1226)^(M1207-1)*D1229/((1+G1205)^M1207)</f>
        <v>3702.2272100637647</v>
      </c>
      <c r="N1216" s="33">
        <f>D1206*D1223*(1-D1225)*(1-D1226)^(N1207-1)*D1229/((1+G1205)^N1207)</f>
        <v>3444.4553155312874</v>
      </c>
      <c r="O1216" s="33">
        <f>D1206*D1223*(1-D1225)*(1-D1226)^(O1207-1)*D1229/((1+G1205)^O1207)</f>
        <v>3204.631090291025</v>
      </c>
      <c r="P1216" s="33">
        <f>D1206*D1223*(1-D1225)*(1-D1226)^(P1207-1)*D1229/((1+G1205)^P1207)</f>
        <v>2981.5049069016027</v>
      </c>
      <c r="Q1216" s="33">
        <f>D1206*D1223*(1-D1225)*(1-D1226)^(Q1207-1)*D1229/((1+G1205)^Q1207)</f>
        <v>2773.9141446920994</v>
      </c>
      <c r="R1216" s="33">
        <f>D1206*D1223*(1-D1225)*(1-D1226)^(R1207-1)*D1229/((1+G1205)^R1207)</f>
        <v>2580.7771318140044</v>
      </c>
      <c r="S1216" s="33">
        <f>D1206*D1223*(1-D1225)*(1-D1226)^(S1207-1)*D1229/((1+G1205)^S1207)</f>
        <v>2401.0875090848986</v>
      </c>
      <c r="T1216" s="33">
        <f>D1206*D1223*(1-D1225)*(1-D1226)^(T1207-1)*D1229/((1+G1205)^T1207)</f>
        <v>2233.9089862560904</v>
      </c>
      <c r="U1216" s="33">
        <f>D1206*D1223*(1-D1225)*(1-D1226)^(U1207-1)*D1229/((1+G1205)^U1207)</f>
        <v>2078.3704633812508</v>
      </c>
      <c r="V1216" s="33">
        <f>D1206*D1223*(1-D1225)*(1-D1226)^(V1207-1)*D1229/((1+G1205)^V1207)</f>
        <v>1933.6614918654529</v>
      </c>
      <c r="W1216" s="33">
        <f>D1206*D1223*(1-D1225)*(1-D1226)^(W1207-1)*D1229/((1+G1205)^W1207)</f>
        <v>1799.0280515439808</v>
      </c>
      <c r="X1216" s="33">
        <f>D1206*D1223*(1-D1225)*(1-D1226)^(X1207-1)*D1229/((1+G1205)^X1207)</f>
        <v>1673.7686217869464</v>
      </c>
      <c r="Y1216" s="33">
        <f>D1206*D1223*(1-D1225)*(1-D1226)^(Y1207-1)*D1229/((1+G1205)^Y1207)</f>
        <v>1557.2305261578554</v>
      </c>
      <c r="Z1216" s="33">
        <f>D1206*D1223*(1-D1225)*(1-D1226)^(Z1207-1)*D1229/((1+G1205)^Z1207)</f>
        <v>1448.8065315795748</v>
      </c>
      <c r="AA1216" s="33">
        <f>D1206*D1223*(1-D1225)*(1-D1226)^(AA1207-1)*D1229/((1+G1205)^AA1207)</f>
        <v>1347.9316842873525</v>
      </c>
    </row>
    <row r="1217" spans="3:27" outlineLevel="1" x14ac:dyDescent="0.3">
      <c r="C1217" s="21" t="s">
        <v>37</v>
      </c>
      <c r="D1217" s="19">
        <f>分布式光伏电站IRR汇总!$B$13</f>
        <v>0.15</v>
      </c>
      <c r="F1217" s="4" t="s">
        <v>66</v>
      </c>
      <c r="G1217" s="33">
        <f>SUM(H1218:AA1218)</f>
        <v>32.256639350314359</v>
      </c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</row>
    <row r="1218" spans="3:27" outlineLevel="1" x14ac:dyDescent="0.3">
      <c r="C1218" s="21" t="s">
        <v>38</v>
      </c>
      <c r="D1218" s="19">
        <f>分布式光伏电站IRR汇总!$B$14</f>
        <v>3.7000000000000005E-2</v>
      </c>
      <c r="F1218" s="7" t="s">
        <v>67</v>
      </c>
      <c r="G1218" s="33"/>
      <c r="H1218" s="33">
        <f>H1216*D1234/1000</f>
        <v>2.940165088418691</v>
      </c>
      <c r="I1218" s="33">
        <f>I1216*D1234/1000</f>
        <v>2.7354526593652402</v>
      </c>
      <c r="J1218" s="33">
        <f>J1216*D1234/1000</f>
        <v>2.5449935723346697</v>
      </c>
      <c r="K1218" s="33">
        <f>K1216*D1234/1000</f>
        <v>2.3677954217375365</v>
      </c>
      <c r="L1218" s="33">
        <f>L1216*D1234/1000</f>
        <v>2.2029348993829139</v>
      </c>
      <c r="M1218" s="33">
        <f>M1216*D1234/1000</f>
        <v>2.0495529834912998</v>
      </c>
      <c r="N1218" s="33">
        <f>N1216*D1234/1000</f>
        <v>1.9068504626781206</v>
      </c>
      <c r="O1218" s="33">
        <f>O1216*D1234/1000</f>
        <v>1.7740837715851114</v>
      </c>
      <c r="P1218" s="33">
        <f>P1216*D1234/1000</f>
        <v>1.6505611164607272</v>
      </c>
      <c r="Q1218" s="33">
        <f>Q1216*D1234/1000</f>
        <v>1.535638870501546</v>
      </c>
      <c r="R1218" s="33">
        <f>R1216*D1234/1000</f>
        <v>1.4287182201722328</v>
      </c>
      <c r="S1218" s="33">
        <f>S1216*D1234/1000</f>
        <v>1.3292420450293998</v>
      </c>
      <c r="T1218" s="33">
        <f>T1216*D1234/1000</f>
        <v>1.2366920147913716</v>
      </c>
      <c r="U1218" s="33">
        <f>U1216*D1234/1000</f>
        <v>1.1505858885278604</v>
      </c>
      <c r="V1218" s="33">
        <f>V1216*D1234/1000</f>
        <v>1.0704750018967146</v>
      </c>
      <c r="W1218" s="33">
        <f>W1216*D1234/1000</f>
        <v>0.99594192933474779</v>
      </c>
      <c r="X1218" s="33">
        <f>X1216*D1234/1000</f>
        <v>0.92659830902125351</v>
      </c>
      <c r="Y1218" s="33">
        <f>Y1216*D1234/1000</f>
        <v>0.86208281928098873</v>
      </c>
      <c r="Z1218" s="33">
        <f>Z1216*D1234/1000</f>
        <v>0.80205929588245262</v>
      </c>
      <c r="AA1218" s="33">
        <f>AA1216*D1234/1000</f>
        <v>0.74621498042147838</v>
      </c>
    </row>
    <row r="1219" spans="3:27" outlineLevel="1" x14ac:dyDescent="0.3">
      <c r="C1219" s="21" t="s">
        <v>39</v>
      </c>
      <c r="D1219" s="19">
        <f>分布式光伏电站IRR汇总!$B$15</f>
        <v>0.25900000000000006</v>
      </c>
      <c r="F1219" s="4" t="s">
        <v>20</v>
      </c>
      <c r="G1219" s="33">
        <f>SUM(H1220:V1220)</f>
        <v>3.7725134072985744</v>
      </c>
      <c r="H1219" s="33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  <c r="AA1219" s="33"/>
    </row>
    <row r="1220" spans="3:27" outlineLevel="1" x14ac:dyDescent="0.3">
      <c r="C1220" s="21" t="s">
        <v>40</v>
      </c>
      <c r="D1220" s="19">
        <f>分布式光伏电站IRR汇总!$B$16</f>
        <v>7.400000000000001E-2</v>
      </c>
      <c r="F1220" s="7" t="s">
        <v>21</v>
      </c>
      <c r="G1220" s="33"/>
      <c r="H1220" s="33">
        <f>(H1218-H1211-H1213)*G1206</f>
        <v>0.40581930948785039</v>
      </c>
      <c r="I1220" s="33">
        <f>(I1218-I1211-I1213)*G1206</f>
        <v>0.37617908762932656</v>
      </c>
      <c r="J1220" s="33">
        <f>(J1218-J1211-J1213)*G1206</f>
        <v>0.34869318073601935</v>
      </c>
      <c r="K1220" s="33">
        <f>(K1218-K1211-K1213)*G1206</f>
        <v>0.32320566632443265</v>
      </c>
      <c r="L1220" s="33">
        <f>(L1218-L1211-L1213)*G1206</f>
        <v>0.29957186586446538</v>
      </c>
      <c r="M1220" s="33">
        <f>(M1218-M1211-M1213)*G1206</f>
        <v>0.27765753654454167</v>
      </c>
      <c r="N1220" s="33">
        <f>(N1218-N1211-N1213)*G1206</f>
        <v>0.25733812097020003</v>
      </c>
      <c r="O1220" s="33">
        <f>(O1218-O1211-O1213)*G1206</f>
        <v>0.23849805065391325</v>
      </c>
      <c r="P1220" s="33">
        <f>(P1218-P1211-P1213)*G1206</f>
        <v>0.22103009944942054</v>
      </c>
      <c r="Q1220" s="33">
        <f>(Q1218-Q1211-Q1213)*G1206</f>
        <v>0.20483478335831984</v>
      </c>
      <c r="R1220" s="33">
        <f>(R1218-R1211-R1213)*G1206</f>
        <v>0.18981980339159407</v>
      </c>
      <c r="S1220" s="33">
        <f>(S1218-S1211-S1213)*G1206</f>
        <v>0.17589952840551429</v>
      </c>
      <c r="T1220" s="33">
        <f>(T1218-T1211-T1213)*G1206</f>
        <v>0.16299451505126752</v>
      </c>
      <c r="U1220" s="33">
        <f>(U1218-U1211-U1213)*G1206</f>
        <v>0.1510310621818946</v>
      </c>
      <c r="V1220" s="33">
        <f>(V1218-V1211-V1213)*G1206</f>
        <v>0.13994079724981376</v>
      </c>
      <c r="W1220" s="33">
        <f>(W1218-W1211-W1213)*G1206</f>
        <v>0.12966029240437396</v>
      </c>
      <c r="X1220" s="33">
        <f>(X1218-X1211-X1213)*G1206</f>
        <v>0.12013070816249749</v>
      </c>
      <c r="Y1220" s="33">
        <f>(Y1218-Y1211-Y1213)*G1206</f>
        <v>0.1112974626774286</v>
      </c>
      <c r="Z1220" s="33">
        <f>(Z1218-Z1211-Z1213)*G1206</f>
        <v>0.10310992477171729</v>
      </c>
      <c r="AA1220" s="33">
        <f>(AA1218-AA1211-AA1213)*G1206</f>
        <v>9.5521129031635135E-2</v>
      </c>
    </row>
    <row r="1221" spans="3:27" outlineLevel="1" x14ac:dyDescent="0.3">
      <c r="C1221" s="21" t="s">
        <v>41</v>
      </c>
      <c r="D1221" s="19">
        <f>分布式光伏电站IRR汇总!$B$17</f>
        <v>0.222</v>
      </c>
      <c r="F1221" s="10" t="s">
        <v>22</v>
      </c>
      <c r="G1221" s="33">
        <f>-G1209</f>
        <v>-24.611999999999995</v>
      </c>
      <c r="H1221" s="33">
        <f t="shared" ref="H1221:AA1221" si="430">H1218-H1220-H1213</f>
        <v>2.31004671351028</v>
      </c>
      <c r="I1221" s="33">
        <f t="shared" si="430"/>
        <v>2.1496482769503427</v>
      </c>
      <c r="J1221" s="33">
        <f t="shared" si="430"/>
        <v>2.0003889011448459</v>
      </c>
      <c r="K1221" s="33">
        <f t="shared" si="430"/>
        <v>1.8614949045216977</v>
      </c>
      <c r="L1221" s="33">
        <f t="shared" si="430"/>
        <v>1.7322463504423682</v>
      </c>
      <c r="M1221" s="33">
        <f t="shared" si="430"/>
        <v>1.611973313230795</v>
      </c>
      <c r="N1221" s="33">
        <f t="shared" si="430"/>
        <v>1.5000524036556189</v>
      </c>
      <c r="O1221" s="33">
        <f t="shared" si="430"/>
        <v>1.3959035358355891</v>
      </c>
      <c r="P1221" s="33">
        <f t="shared" si="430"/>
        <v>1.2989869187911112</v>
      </c>
      <c r="Q1221" s="33">
        <f t="shared" si="430"/>
        <v>1.2088002570308938</v>
      </c>
      <c r="R1221" s="33">
        <f t="shared" si="430"/>
        <v>1.124876145647618</v>
      </c>
      <c r="S1221" s="33">
        <f t="shared" si="430"/>
        <v>1.046779646406109</v>
      </c>
      <c r="T1221" s="33">
        <f t="shared" si="430"/>
        <v>0.9741060322468551</v>
      </c>
      <c r="U1221" s="33">
        <f t="shared" si="430"/>
        <v>0.90647868850180768</v>
      </c>
      <c r="V1221" s="33">
        <f t="shared" si="430"/>
        <v>0.84354715993273455</v>
      </c>
      <c r="W1221" s="33">
        <f t="shared" si="430"/>
        <v>0.78498533345919042</v>
      </c>
      <c r="X1221" s="33">
        <f t="shared" si="430"/>
        <v>0.73048974714736958</v>
      </c>
      <c r="Y1221" s="33">
        <f t="shared" si="430"/>
        <v>0.67977801668637661</v>
      </c>
      <c r="Z1221" s="33">
        <f t="shared" si="430"/>
        <v>0.6325873711881338</v>
      </c>
      <c r="AA1221" s="33">
        <f t="shared" si="430"/>
        <v>0.5886732907145148</v>
      </c>
    </row>
    <row r="1222" spans="3:27" ht="13.5" outlineLevel="1" thickBot="1" x14ac:dyDescent="0.35">
      <c r="C1222" s="21" t="s">
        <v>74</v>
      </c>
      <c r="D1222" s="19">
        <f>分布式光伏电站IRR汇总!$B$18</f>
        <v>0.4</v>
      </c>
      <c r="F1222" s="3" t="s">
        <v>61</v>
      </c>
      <c r="G1222" s="35">
        <f>SUM(G1221:AA1221)/G1209</f>
        <v>3.127917304746719E-2</v>
      </c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</row>
    <row r="1223" spans="3:27" ht="13.5" outlineLevel="1" thickTop="1" x14ac:dyDescent="0.3">
      <c r="C1223" s="18" t="s">
        <v>58</v>
      </c>
      <c r="D1223" s="19">
        <f>分布式光伏电站IRR汇总!$B$19</f>
        <v>0.86599999999999999</v>
      </c>
    </row>
    <row r="1224" spans="3:27" outlineLevel="1" x14ac:dyDescent="0.3">
      <c r="C1224" s="18" t="s">
        <v>62</v>
      </c>
      <c r="D1224" s="19">
        <f>分布式光伏电站IRR汇总!$B$20</f>
        <v>20</v>
      </c>
      <c r="F1224" s="13" t="s">
        <v>25</v>
      </c>
      <c r="G1224" s="14">
        <v>0</v>
      </c>
    </row>
    <row r="1225" spans="3:27" outlineLevel="1" x14ac:dyDescent="0.3">
      <c r="C1225" s="18" t="s">
        <v>59</v>
      </c>
      <c r="D1225" s="52">
        <f>分布式光伏电站IRR汇总!$B$21</f>
        <v>0.02</v>
      </c>
      <c r="F1225" s="13" t="s">
        <v>26</v>
      </c>
      <c r="G1225" s="14">
        <v>0.25</v>
      </c>
      <c r="Q1225" s="15"/>
    </row>
    <row r="1226" spans="3:27" outlineLevel="1" x14ac:dyDescent="0.3">
      <c r="C1226" s="18" t="s">
        <v>60</v>
      </c>
      <c r="D1226" s="52">
        <f>分布式光伏电站IRR汇总!$B$22</f>
        <v>4.4999999999999997E-3</v>
      </c>
      <c r="F1226" s="1" t="s">
        <v>44</v>
      </c>
      <c r="G1226" s="4"/>
      <c r="H1226" s="5">
        <v>1</v>
      </c>
      <c r="I1226" s="5">
        <v>2</v>
      </c>
      <c r="J1226" s="5">
        <v>3</v>
      </c>
      <c r="K1226" s="5">
        <v>4</v>
      </c>
      <c r="L1226" s="5">
        <v>5</v>
      </c>
      <c r="M1226" s="5">
        <v>6</v>
      </c>
      <c r="N1226" s="5">
        <v>7</v>
      </c>
      <c r="O1226" s="5">
        <v>8</v>
      </c>
      <c r="P1226" s="5">
        <v>9</v>
      </c>
      <c r="Q1226" s="5">
        <v>10</v>
      </c>
      <c r="R1226" s="5">
        <v>11</v>
      </c>
      <c r="S1226" s="5">
        <v>12</v>
      </c>
      <c r="T1226" s="5">
        <v>13</v>
      </c>
      <c r="U1226" s="5">
        <v>14</v>
      </c>
      <c r="V1226" s="5">
        <v>15</v>
      </c>
      <c r="W1226" s="5">
        <v>16</v>
      </c>
      <c r="X1226" s="5">
        <v>17</v>
      </c>
      <c r="Y1226" s="5">
        <v>18</v>
      </c>
      <c r="Z1226" s="5">
        <v>19</v>
      </c>
      <c r="AA1226" s="5">
        <v>20</v>
      </c>
    </row>
    <row r="1227" spans="3:27" outlineLevel="1" x14ac:dyDescent="0.3">
      <c r="C1227" s="18" t="s">
        <v>28</v>
      </c>
      <c r="D1227" s="29">
        <f>分布式光伏电站IRR汇总!$B$23</f>
        <v>0.04</v>
      </c>
      <c r="F1227" s="16"/>
      <c r="G1227" s="2" t="s">
        <v>0</v>
      </c>
      <c r="H1227" s="2" t="s">
        <v>1</v>
      </c>
      <c r="I1227" s="2" t="s">
        <v>2</v>
      </c>
      <c r="J1227" s="2" t="s">
        <v>3</v>
      </c>
      <c r="K1227" s="2" t="s">
        <v>4</v>
      </c>
      <c r="L1227" s="2" t="s">
        <v>5</v>
      </c>
      <c r="M1227" s="2" t="s">
        <v>6</v>
      </c>
      <c r="N1227" s="2" t="s">
        <v>7</v>
      </c>
      <c r="O1227" s="2" t="s">
        <v>8</v>
      </c>
      <c r="P1227" s="2" t="s">
        <v>9</v>
      </c>
      <c r="Q1227" s="2" t="s">
        <v>10</v>
      </c>
      <c r="R1227" s="2" t="s">
        <v>11</v>
      </c>
      <c r="S1227" s="2" t="s">
        <v>12</v>
      </c>
      <c r="T1227" s="2" t="s">
        <v>13</v>
      </c>
      <c r="U1227" s="2" t="s">
        <v>45</v>
      </c>
      <c r="V1227" s="2" t="s">
        <v>46</v>
      </c>
      <c r="W1227" s="2" t="s">
        <v>47</v>
      </c>
      <c r="X1227" s="2" t="s">
        <v>48</v>
      </c>
      <c r="Y1227" s="2" t="s">
        <v>49</v>
      </c>
      <c r="Z1227" s="2" t="s">
        <v>50</v>
      </c>
      <c r="AA1227" s="2" t="s">
        <v>51</v>
      </c>
    </row>
    <row r="1228" spans="3:27" outlineLevel="1" x14ac:dyDescent="0.3">
      <c r="C1228" s="18" t="s">
        <v>43</v>
      </c>
      <c r="D1228" s="19">
        <f>分布式光伏电站IRR汇总!$B$24</f>
        <v>0.05</v>
      </c>
      <c r="F1228" s="6" t="s">
        <v>14</v>
      </c>
      <c r="G1228" s="33">
        <f>D1230</f>
        <v>24.611999999999995</v>
      </c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  <c r="AA1228" s="33"/>
    </row>
    <row r="1229" spans="3:27" outlineLevel="1" x14ac:dyDescent="0.3">
      <c r="C1229" s="18" t="s">
        <v>126</v>
      </c>
      <c r="D1229" s="28">
        <f>Backup分地区光伏小时数及电价!E27</f>
        <v>1116</v>
      </c>
      <c r="F1229" s="6" t="s">
        <v>15</v>
      </c>
      <c r="G1229" s="33">
        <f>SUM(H1230:AA1230)</f>
        <v>23.381399999999985</v>
      </c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</row>
    <row r="1230" spans="3:27" outlineLevel="1" x14ac:dyDescent="0.3">
      <c r="C1230" s="24" t="s">
        <v>14</v>
      </c>
      <c r="D1230" s="30">
        <f>D1206*D1211</f>
        <v>24.611999999999995</v>
      </c>
      <c r="F1230" s="7" t="s">
        <v>16</v>
      </c>
      <c r="G1230" s="33"/>
      <c r="H1230" s="33">
        <f>D1230*(1-D1228)/D1224/((1+G1224)^H1226)</f>
        <v>1.1690699999999996</v>
      </c>
      <c r="I1230" s="33">
        <f>D1230*(1-D1228)/D1224/((1+G1224)^I1226)</f>
        <v>1.1690699999999996</v>
      </c>
      <c r="J1230" s="33">
        <f>D1230*(1-D1228)/D1224/((1+G1224)^J1226)</f>
        <v>1.1690699999999996</v>
      </c>
      <c r="K1230" s="33">
        <f>D1230*(1-D1228)/D1224/((1+G1224)^K1226)</f>
        <v>1.1690699999999996</v>
      </c>
      <c r="L1230" s="33">
        <f>D1230*(1-D1228)/D1224/((1+G1224)^L1226)</f>
        <v>1.1690699999999996</v>
      </c>
      <c r="M1230" s="33">
        <f>D1230*(1-D1228)/D1224/((1+G1224)^M1226)</f>
        <v>1.1690699999999996</v>
      </c>
      <c r="N1230" s="33">
        <f>D1230*(1-D1228)/D1224/((1+G1224)^N1226)</f>
        <v>1.1690699999999996</v>
      </c>
      <c r="O1230" s="33">
        <f>D1230*(1-D1228)/D1224/((1+G1224)^O1226)</f>
        <v>1.1690699999999996</v>
      </c>
      <c r="P1230" s="33">
        <f>D1230*(1-D1228)/D1224/((1+G1224)^P1226)</f>
        <v>1.1690699999999996</v>
      </c>
      <c r="Q1230" s="33">
        <f>D1230*(1-D1228)/D1224/((1+G1224)^Q1226)</f>
        <v>1.1690699999999996</v>
      </c>
      <c r="R1230" s="33">
        <f>D1230*(1-D1228)/D1224/((1+G1224)^R1226)</f>
        <v>1.1690699999999996</v>
      </c>
      <c r="S1230" s="33">
        <f>D1230*(1-D1228)/D1224/((1+G1224)^S1226)</f>
        <v>1.1690699999999996</v>
      </c>
      <c r="T1230" s="33">
        <f>D1230*(1-D1228)/D1224/((1+G1224)^T1226)</f>
        <v>1.1690699999999996</v>
      </c>
      <c r="U1230" s="33">
        <f>D1230*(1-D1228)/D1224/((1+G1224)^U1226)</f>
        <v>1.1690699999999996</v>
      </c>
      <c r="V1230" s="33">
        <f>D1230*(1-D1228)/D1224/((1+G1224)^V1226)</f>
        <v>1.1690699999999996</v>
      </c>
      <c r="W1230" s="33">
        <f>D1230*(1-D1228)/D1224/((1+G1224)^W1226)</f>
        <v>1.1690699999999996</v>
      </c>
      <c r="X1230" s="33">
        <f>D1230*(1-D1228)/D1224/((1+G1224)^X1226)</f>
        <v>1.1690699999999996</v>
      </c>
      <c r="Y1230" s="33">
        <f>D1230*(1-D1228)/D1224/((1+G1224)^Y1226)</f>
        <v>1.1690699999999996</v>
      </c>
      <c r="Z1230" s="33">
        <f>D1230*(1-D1228)/D1224/((1+G1224)^Z1226)</f>
        <v>1.1690699999999996</v>
      </c>
      <c r="AA1230" s="33">
        <f>D1230*(1-D1228)/D1224/((1+G1224)^AA1226)</f>
        <v>1.1690699999999996</v>
      </c>
    </row>
    <row r="1231" spans="3:27" outlineLevel="1" x14ac:dyDescent="0.3">
      <c r="C1231" s="18" t="s">
        <v>29</v>
      </c>
      <c r="D1231" s="29">
        <v>0.35980000000000001</v>
      </c>
      <c r="F1231" s="6" t="s">
        <v>17</v>
      </c>
      <c r="G1231" s="33">
        <f>SUM(H1232:AA1232)</f>
        <v>4.8000000000000025</v>
      </c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  <c r="AA1231" s="33"/>
    </row>
    <row r="1232" spans="3:27" outlineLevel="1" x14ac:dyDescent="0.3">
      <c r="C1232" s="18" t="s">
        <v>30</v>
      </c>
      <c r="D1232" s="31">
        <f>Backup分地区光伏小时数及电价!I27</f>
        <v>0.55359999999999998</v>
      </c>
      <c r="F1232" s="7" t="s">
        <v>18</v>
      </c>
      <c r="G1232" s="33"/>
      <c r="H1232" s="33">
        <f>D1227*D1206/((1+G1224)^H1226)</f>
        <v>0.24</v>
      </c>
      <c r="I1232" s="33">
        <f>D1227*D1206/((1+G1224)^I1226)</f>
        <v>0.24</v>
      </c>
      <c r="J1232" s="33">
        <f>D1227*D1206/((1+G1224)^J1226)</f>
        <v>0.24</v>
      </c>
      <c r="K1232" s="33">
        <f>D1227*D1206/((1+G1224)^K1226)</f>
        <v>0.24</v>
      </c>
      <c r="L1232" s="33">
        <f>D1227*D1206/((1+G1224)^L1226)</f>
        <v>0.24</v>
      </c>
      <c r="M1232" s="33">
        <f>D1227*D1206/((1+G1224)^M1226)</f>
        <v>0.24</v>
      </c>
      <c r="N1232" s="33">
        <f>D1227*D1206/((1+G1224)^N1226)</f>
        <v>0.24</v>
      </c>
      <c r="O1232" s="33">
        <f>D1227*D1206/((1+G1224)^O1226)</f>
        <v>0.24</v>
      </c>
      <c r="P1232" s="33">
        <f>D1227*D1206/((1+G1224)^P1226)</f>
        <v>0.24</v>
      </c>
      <c r="Q1232" s="33">
        <f>D1227*D1206/((1+G1224)^Q1226)</f>
        <v>0.24</v>
      </c>
      <c r="R1232" s="33">
        <f>D1227*D1206/((1+G1224)^R1226)</f>
        <v>0.24</v>
      </c>
      <c r="S1232" s="33">
        <f>D1227*D1206/((1+G1224)^S1226)</f>
        <v>0.24</v>
      </c>
      <c r="T1232" s="33">
        <f>D1227*D1206/((1+G1224)^T1226)</f>
        <v>0.24</v>
      </c>
      <c r="U1232" s="33">
        <f>D1227*D1206/((1+G1224)^U1226)</f>
        <v>0.24</v>
      </c>
      <c r="V1232" s="33">
        <f>D1227*D1206/((1+G1224)^V1226)</f>
        <v>0.24</v>
      </c>
      <c r="W1232" s="33">
        <f>D1227*D1206/((1+G1224)^W1226)</f>
        <v>0.24</v>
      </c>
      <c r="X1232" s="33">
        <f>D1227*D1206/((1+G1224)^X1226)</f>
        <v>0.24</v>
      </c>
      <c r="Y1232" s="33">
        <f>D1227*D1206/((1+G1224)^Y1226)</f>
        <v>0.24</v>
      </c>
      <c r="Z1232" s="33">
        <f>D1227*D1206/((1+G1224)^Z1226)</f>
        <v>0.24</v>
      </c>
      <c r="AA1232" s="33">
        <f>D1227*D1206/((1+G1224)^AA1226)</f>
        <v>0.24</v>
      </c>
    </row>
    <row r="1233" spans="2:27" outlineLevel="1" x14ac:dyDescent="0.3">
      <c r="C1233" s="18" t="s">
        <v>70</v>
      </c>
      <c r="D1233" s="32">
        <f>分布式光伏电站IRR汇总!$B$27</f>
        <v>1</v>
      </c>
      <c r="F1233" s="6" t="s">
        <v>19</v>
      </c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>
        <f>D1227*D1230/((1+G1224)^AA1226)</f>
        <v>0.9844799999999998</v>
      </c>
    </row>
    <row r="1234" spans="2:27" outlineLevel="1" x14ac:dyDescent="0.3">
      <c r="C1234" s="18" t="s">
        <v>69</v>
      </c>
      <c r="D1234" s="31">
        <f>D1233*D1232</f>
        <v>0.55359999999999998</v>
      </c>
      <c r="F1234" s="8" t="s">
        <v>64</v>
      </c>
      <c r="G1234" s="33">
        <f>SUM(H1235:AA1235)</f>
        <v>108925.17803304899</v>
      </c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  <c r="AA1234" s="33"/>
    </row>
    <row r="1235" spans="2:27" outlineLevel="1" x14ac:dyDescent="0.3">
      <c r="C1235" s="18" t="s">
        <v>31</v>
      </c>
      <c r="D1235" s="27">
        <v>0</v>
      </c>
      <c r="F1235" s="9" t="s">
        <v>65</v>
      </c>
      <c r="G1235" s="33"/>
      <c r="H1235" s="33">
        <f>D1206*D1223*(1-D1225)*D1229/((1+G1224)^H1226)</f>
        <v>5682.7612799999988</v>
      </c>
      <c r="I1235" s="33">
        <f>D1206*D1223*(1-D1225)*(1-D1226)^(I1226-1)*D1229/((1+G1224)^I1226)</f>
        <v>5657.1888542399993</v>
      </c>
      <c r="J1235" s="33">
        <f>D1206*D1223*(1-D1225)*(1-D1226)^(J1226-1)*D1229/((1+G1224)^J1226)</f>
        <v>5631.7315043959197</v>
      </c>
      <c r="K1235" s="33">
        <f>D1206*D1223*(1-D1225)*(1-D1226)^(K1226-1)*D1229/((1+G1224)^K1226)</f>
        <v>5606.3887126261388</v>
      </c>
      <c r="L1235" s="33">
        <f>D1206*D1223*(1-D1225)*(1-D1226)^(L1226-1)*D1229/((1+G1224)^L1226)</f>
        <v>5581.1599634193217</v>
      </c>
      <c r="M1235" s="33">
        <f>D1206*D1223*(1-D1225)*(1-D1226)^(M1226-1)*D1229/((1+G1224)^M1226)</f>
        <v>5556.0447435839351</v>
      </c>
      <c r="N1235" s="33">
        <f>D1206*D1223*(1-D1225)*(1-D1226)^(N1226-1)*D1229/((1+G1224)^N1226)</f>
        <v>5531.0425422378075</v>
      </c>
      <c r="O1235" s="33">
        <f>D1206*D1223*(1-D1225)*(1-D1226)^(O1226-1)*D1229/((1+G1224)^O1226)</f>
        <v>5506.1528507977373</v>
      </c>
      <c r="P1235" s="33">
        <f>D1206*D1223*(1-D1225)*(1-D1226)^(P1226-1)*D1229/((1+G1224)^P1226)</f>
        <v>5481.3751629691478</v>
      </c>
      <c r="Q1235" s="33">
        <f>D1206*D1223*(1-D1225)*(1-D1226)^(Q1226-1)*D1229/((1+G1224)^Q1226)</f>
        <v>5456.7089747357877</v>
      </c>
      <c r="R1235" s="33">
        <f>D1206*D1223*(1-D1225)*(1-D1226)^(R1226-1)*D1229/((1+G1224)^R1226)</f>
        <v>5432.1537843494771</v>
      </c>
      <c r="S1235" s="33">
        <f>D1206*D1223*(1-D1225)*(1-D1226)^(S1226-1)*D1229/((1+G1224)^S1226)</f>
        <v>5407.7090923199039</v>
      </c>
      <c r="T1235" s="33">
        <f>D1206*D1223*(1-D1225)*(1-D1226)^(T1226-1)*D1229/((1+G1224)^T1226)</f>
        <v>5383.3744014044651</v>
      </c>
      <c r="U1235" s="33">
        <f>D1206*D1223*(1-D1225)*(1-D1226)^(U1226-1)*D1229/((1+G1224)^U1226)</f>
        <v>5359.1492165981454</v>
      </c>
      <c r="V1235" s="33">
        <f>D1206*D1223*(1-D1225)*(1-D1226)^(V1226-1)*D1229/((1+G1224)^V1226)</f>
        <v>5335.0330451234531</v>
      </c>
      <c r="W1235" s="33">
        <f>D1206*D1223*(1-D1225)*(1-D1226)^(W1226-1)*D1229/((1+G1224)^W1226)</f>
        <v>5311.0253964203994</v>
      </c>
      <c r="X1235" s="33">
        <f>D1206*D1223*(1-D1225)*(1-D1226)^(X1226-1)*D1229/((1+G1224)^X1226)</f>
        <v>5287.125782136507</v>
      </c>
      <c r="Y1235" s="33">
        <f>D1206*D1223*(1-D1225)*(1-D1226)^(Y1226-1)*D1229/((1+G1224)^Y1226)</f>
        <v>5263.3337161168929</v>
      </c>
      <c r="Z1235" s="33">
        <f>D1206*D1223*(1-D1225)*(1-D1226)^(Z1226-1)*D1229/((1+G1224)^Z1226)</f>
        <v>5239.6487143943677</v>
      </c>
      <c r="AA1235" s="33">
        <f>D1206*D1223*(1-D1225)*(1-D1226)^(AA1226-1)*D1229/((1+G1224)^AA1226)</f>
        <v>5216.0702951795938</v>
      </c>
    </row>
    <row r="1236" spans="2:27" outlineLevel="1" x14ac:dyDescent="0.3">
      <c r="F1236" s="4" t="s">
        <v>66</v>
      </c>
      <c r="G1236" s="33">
        <f>SUM(H1237:AA1237)</f>
        <v>60.300978559095931</v>
      </c>
      <c r="H1236" s="33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  <c r="AA1236" s="33"/>
    </row>
    <row r="1237" spans="2:27" outlineLevel="1" x14ac:dyDescent="0.3">
      <c r="F1237" s="7" t="s">
        <v>67</v>
      </c>
      <c r="G1237" s="33"/>
      <c r="H1237" s="33">
        <f>H1235*D1234/1000</f>
        <v>3.1459766446079995</v>
      </c>
      <c r="I1237" s="33">
        <f>I1235*D1234/1000</f>
        <v>3.1318197497072635</v>
      </c>
      <c r="J1237" s="33">
        <f>J1235*D1234/1000</f>
        <v>3.1177265608335811</v>
      </c>
      <c r="K1237" s="33">
        <f>K1235*D1234/1000</f>
        <v>3.1036967913098303</v>
      </c>
      <c r="L1237" s="33">
        <f>L1235*D1234/1000</f>
        <v>3.0897301557489363</v>
      </c>
      <c r="M1237" s="33">
        <f>M1235*D1234/1000</f>
        <v>3.0758263700480666</v>
      </c>
      <c r="N1237" s="33">
        <f>N1235*D1234/1000</f>
        <v>3.0619851513828502</v>
      </c>
      <c r="O1237" s="33">
        <f>O1235*D1234/1000</f>
        <v>3.048206218201627</v>
      </c>
      <c r="P1237" s="33">
        <f>P1235*D1234/1000</f>
        <v>3.0344892902197205</v>
      </c>
      <c r="Q1237" s="33">
        <f>Q1235*D1234/1000</f>
        <v>3.0208340884137321</v>
      </c>
      <c r="R1237" s="33">
        <f>R1235*D1234/1000</f>
        <v>3.0072403350158701</v>
      </c>
      <c r="S1237" s="33">
        <f>S1235*D1234/1000</f>
        <v>2.9937077535082985</v>
      </c>
      <c r="T1237" s="33">
        <f>T1235*D1234/1000</f>
        <v>2.9802360686175118</v>
      </c>
      <c r="U1237" s="33">
        <f>U1235*D1234/1000</f>
        <v>2.9668250063087331</v>
      </c>
      <c r="V1237" s="33">
        <f>V1235*D1234/1000</f>
        <v>2.9534742937803435</v>
      </c>
      <c r="W1237" s="33">
        <f>W1235*D1234/1000</f>
        <v>2.940183659458333</v>
      </c>
      <c r="X1237" s="33">
        <f>X1235*D1234/1000</f>
        <v>2.9269528329907701</v>
      </c>
      <c r="Y1237" s="33">
        <f>Y1235*D1234/1000</f>
        <v>2.9137815452423119</v>
      </c>
      <c r="Z1237" s="33">
        <f>Z1235*D1234/1000</f>
        <v>2.9006695282887218</v>
      </c>
      <c r="AA1237" s="33">
        <f>AA1235*D1234/1000</f>
        <v>2.8876165154114228</v>
      </c>
    </row>
    <row r="1238" spans="2:27" outlineLevel="1" x14ac:dyDescent="0.3">
      <c r="F1238" s="4" t="s">
        <v>20</v>
      </c>
      <c r="G1238" s="33">
        <f>SUM(H1239:AA1239)</f>
        <v>8.0298946397739837</v>
      </c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  <c r="AA1238" s="33"/>
    </row>
    <row r="1239" spans="2:27" outlineLevel="1" x14ac:dyDescent="0.3">
      <c r="F1239" s="7" t="s">
        <v>21</v>
      </c>
      <c r="G1239" s="33"/>
      <c r="H1239" s="33">
        <f>(H1237-H1230-H1232)*G1225</f>
        <v>0.43422666115199998</v>
      </c>
      <c r="I1239" s="33">
        <f>(I1237-I1230-I1232)*G1225</f>
        <v>0.43068743742681598</v>
      </c>
      <c r="J1239" s="33">
        <f>(J1237-J1230-J1232)*G1225</f>
        <v>0.42716414020839538</v>
      </c>
      <c r="K1239" s="33">
        <f>(K1237-K1230-K1232)*G1225</f>
        <v>0.42365669782745768</v>
      </c>
      <c r="L1239" s="33">
        <f>(L1237-L1230-L1232)*G1225</f>
        <v>0.42016503893723417</v>
      </c>
      <c r="M1239" s="33">
        <f>(M1237-M1230-M1232)*G1225</f>
        <v>0.41668909251201675</v>
      </c>
      <c r="N1239" s="33">
        <f>(N1237-N1230-N1232)*G1225</f>
        <v>0.41322878784571265</v>
      </c>
      <c r="O1239" s="33">
        <f>(O1237-O1230-O1232)*G1225</f>
        <v>0.40978405455040684</v>
      </c>
      <c r="P1239" s="33">
        <f>(P1237-P1230-P1232)*G1225</f>
        <v>0.40635482255493022</v>
      </c>
      <c r="Q1239" s="33">
        <f>(Q1237-Q1230-Q1232)*G1225</f>
        <v>0.40294102210343313</v>
      </c>
      <c r="R1239" s="33">
        <f>(R1237-R1230-R1232)*G1225</f>
        <v>0.39954258375396762</v>
      </c>
      <c r="S1239" s="33">
        <f>(S1237-S1230-S1232)*G1225</f>
        <v>0.39615943837707474</v>
      </c>
      <c r="T1239" s="33">
        <f>(T1237-T1230-T1232)*G1225</f>
        <v>0.39279151715437804</v>
      </c>
      <c r="U1239" s="33">
        <f>(U1237-U1230-U1232)*G1225</f>
        <v>0.38943875157718338</v>
      </c>
      <c r="V1239" s="33">
        <f>(V1237-V1230-V1232)*G1225</f>
        <v>0.38610107344508598</v>
      </c>
      <c r="W1239" s="33">
        <f>(W1237-W1230-W1232)*G1225</f>
        <v>0.38277841486458336</v>
      </c>
      <c r="X1239" s="33">
        <f>(X1237-X1230-X1232)*G1225</f>
        <v>0.37947070824769263</v>
      </c>
      <c r="Y1239" s="33">
        <f>(Y1237-Y1230-Y1232)*G1225</f>
        <v>0.37617788631057808</v>
      </c>
      <c r="Z1239" s="33">
        <f>(Z1237-Z1230-Z1232)*G1225</f>
        <v>0.37289988207218056</v>
      </c>
      <c r="AA1239" s="33">
        <f>(AA1237-AA1230-AA1232)*G1225</f>
        <v>0.36963662885285581</v>
      </c>
    </row>
    <row r="1240" spans="2:27" outlineLevel="1" x14ac:dyDescent="0.3">
      <c r="F1240" s="10" t="s">
        <v>22</v>
      </c>
      <c r="G1240" s="33">
        <f>-G1228</f>
        <v>-24.611999999999995</v>
      </c>
      <c r="H1240" s="33">
        <f>H1237-H1239-H1232</f>
        <v>2.4717499834559993</v>
      </c>
      <c r="I1240" s="33">
        <f t="shared" ref="I1240" si="431">I1237-I1239-I1232</f>
        <v>2.4611323122804478</v>
      </c>
      <c r="J1240" s="33">
        <f t="shared" ref="J1240" si="432">J1237-J1239-J1232</f>
        <v>2.4505624206251859</v>
      </c>
      <c r="K1240" s="33">
        <f t="shared" ref="K1240" si="433">K1237-K1239-K1232</f>
        <v>2.4400400934823727</v>
      </c>
      <c r="L1240" s="33">
        <f t="shared" ref="L1240" si="434">L1237-L1239-L1232</f>
        <v>2.4295651168117018</v>
      </c>
      <c r="M1240" s="33">
        <f t="shared" ref="M1240" si="435">M1237-M1239-M1232</f>
        <v>2.4191372775360502</v>
      </c>
      <c r="N1240" s="33">
        <f t="shared" ref="N1240" si="436">N1237-N1239-N1232</f>
        <v>2.4087563635371376</v>
      </c>
      <c r="O1240" s="33">
        <f t="shared" ref="O1240" si="437">O1237-O1239-O1232</f>
        <v>2.3984221636512197</v>
      </c>
      <c r="P1240" s="33">
        <f t="shared" ref="P1240" si="438">P1237-P1239-P1232</f>
        <v>2.3881344676647904</v>
      </c>
      <c r="Q1240" s="33">
        <f t="shared" ref="Q1240" si="439">Q1237-Q1239-Q1232</f>
        <v>2.3778930663102988</v>
      </c>
      <c r="R1240" s="33">
        <f t="shared" ref="R1240" si="440">R1237-R1239-R1232</f>
        <v>2.3676977512619022</v>
      </c>
      <c r="S1240" s="33">
        <f t="shared" ref="S1240" si="441">S1237-S1239-S1232</f>
        <v>2.3575483151312238</v>
      </c>
      <c r="T1240" s="33">
        <f t="shared" ref="T1240" si="442">T1237-T1239-T1232</f>
        <v>2.3474445514631341</v>
      </c>
      <c r="U1240" s="33">
        <f t="shared" ref="U1240" si="443">U1237-U1239-U1232</f>
        <v>2.33738625473155</v>
      </c>
      <c r="V1240" s="33">
        <f t="shared" ref="V1240" si="444">V1237-V1239-V1232</f>
        <v>2.3273732203352573</v>
      </c>
      <c r="W1240" s="33">
        <f t="shared" ref="W1240" si="445">W1237-W1239-W1232</f>
        <v>2.3174052445937496</v>
      </c>
      <c r="X1240" s="33">
        <f t="shared" ref="X1240" si="446">X1237-X1239-X1232</f>
        <v>2.3074821247430775</v>
      </c>
      <c r="Y1240" s="33">
        <f t="shared" ref="Y1240" si="447">Y1237-Y1239-Y1232</f>
        <v>2.2976036589317337</v>
      </c>
      <c r="Z1240" s="33">
        <f t="shared" ref="Z1240" si="448">Z1237-Z1239-Z1232</f>
        <v>2.2877696462165416</v>
      </c>
      <c r="AA1240" s="33">
        <f t="shared" ref="AA1240" si="449">AA1237-AA1239-AA1232</f>
        <v>2.2779798865585672</v>
      </c>
    </row>
    <row r="1241" spans="2:27" ht="13.5" outlineLevel="1" thickBot="1" x14ac:dyDescent="0.35">
      <c r="F1241" s="3" t="s">
        <v>68</v>
      </c>
      <c r="G1241" s="40">
        <f>IRR(G1240:AA1240)</f>
        <v>7.4061502815685687E-2</v>
      </c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</row>
    <row r="1242" spans="2:27" ht="13.5" thickTop="1" x14ac:dyDescent="0.3"/>
    <row r="1243" spans="2:27" x14ac:dyDescent="0.3">
      <c r="B1243" s="11" t="s">
        <v>169</v>
      </c>
      <c r="C1243" s="11" t="s">
        <v>52</v>
      </c>
    </row>
    <row r="1244" spans="2:27" x14ac:dyDescent="0.3">
      <c r="C1244" s="11" t="s">
        <v>141</v>
      </c>
      <c r="D1244" s="54">
        <f>D1275</f>
        <v>1103</v>
      </c>
    </row>
    <row r="1245" spans="2:27" x14ac:dyDescent="0.3">
      <c r="C1245" s="16" t="s">
        <v>78</v>
      </c>
      <c r="D1245" s="37">
        <f>(G1274+G1277+G1284)/G1280*1000</f>
        <v>0.37213133390771047</v>
      </c>
    </row>
    <row r="1246" spans="2:27" x14ac:dyDescent="0.3">
      <c r="C1246" s="13" t="s">
        <v>77</v>
      </c>
      <c r="D1246" s="39">
        <f>(G1255+G1258+G1265)/G1261*1000</f>
        <v>0.55810826605045938</v>
      </c>
    </row>
    <row r="1247" spans="2:27" x14ac:dyDescent="0.3">
      <c r="C1247" s="13" t="s">
        <v>61</v>
      </c>
      <c r="D1247" s="36">
        <f>G1268</f>
        <v>0.20213780771300288</v>
      </c>
    </row>
    <row r="1248" spans="2:27" x14ac:dyDescent="0.3">
      <c r="C1248" s="13" t="s">
        <v>73</v>
      </c>
      <c r="D1248" s="25">
        <f>SUM(G1267:AA1267)</f>
        <v>4.9750157234324259</v>
      </c>
    </row>
    <row r="1249" spans="3:27" ht="13.5" thickBot="1" x14ac:dyDescent="0.35">
      <c r="C1249" s="23" t="s">
        <v>68</v>
      </c>
      <c r="D1249" s="26">
        <f>G1287</f>
        <v>9.5422001483485897E-2</v>
      </c>
    </row>
    <row r="1250" spans="3:27" ht="13.5" hidden="1" outlineLevel="1" thickTop="1" x14ac:dyDescent="0.3">
      <c r="E1250" s="20"/>
      <c r="F1250" s="38" t="s">
        <v>75</v>
      </c>
    </row>
    <row r="1251" spans="3:27" hidden="1" outlineLevel="1" x14ac:dyDescent="0.3">
      <c r="C1251" s="11" t="s">
        <v>71</v>
      </c>
      <c r="F1251" s="13" t="s">
        <v>25</v>
      </c>
      <c r="G1251" s="14">
        <v>7.0000000000000007E-2</v>
      </c>
    </row>
    <row r="1252" spans="3:27" hidden="1" outlineLevel="1" x14ac:dyDescent="0.3">
      <c r="C1252" s="18" t="s">
        <v>53</v>
      </c>
      <c r="D1252" s="19">
        <f>分布式光伏电站IRR汇总!$B$2</f>
        <v>6</v>
      </c>
      <c r="F1252" s="13" t="s">
        <v>26</v>
      </c>
      <c r="G1252" s="14">
        <v>0.25</v>
      </c>
    </row>
    <row r="1253" spans="3:27" hidden="1" outlineLevel="1" x14ac:dyDescent="0.3">
      <c r="C1253" s="18" t="s">
        <v>56</v>
      </c>
      <c r="D1253" s="19">
        <f>分布式光伏电站IRR汇总!$B$3</f>
        <v>120</v>
      </c>
      <c r="F1253" s="1" t="s">
        <v>44</v>
      </c>
      <c r="G1253" s="4"/>
      <c r="H1253" s="5">
        <v>1</v>
      </c>
      <c r="I1253" s="5">
        <v>2</v>
      </c>
      <c r="J1253" s="5">
        <v>3</v>
      </c>
      <c r="K1253" s="5">
        <v>4</v>
      </c>
      <c r="L1253" s="5">
        <v>5</v>
      </c>
      <c r="M1253" s="5">
        <v>6</v>
      </c>
      <c r="N1253" s="5">
        <v>7</v>
      </c>
      <c r="O1253" s="5">
        <v>8</v>
      </c>
      <c r="P1253" s="5">
        <v>9</v>
      </c>
      <c r="Q1253" s="5">
        <v>10</v>
      </c>
      <c r="R1253" s="5">
        <v>11</v>
      </c>
      <c r="S1253" s="5">
        <v>12</v>
      </c>
      <c r="T1253" s="5">
        <v>13</v>
      </c>
      <c r="U1253" s="5">
        <v>14</v>
      </c>
      <c r="V1253" s="5">
        <v>15</v>
      </c>
      <c r="W1253" s="5">
        <v>16</v>
      </c>
      <c r="X1253" s="5">
        <v>17</v>
      </c>
      <c r="Y1253" s="5">
        <v>18</v>
      </c>
      <c r="Z1253" s="5">
        <v>19</v>
      </c>
      <c r="AA1253" s="5">
        <v>20</v>
      </c>
    </row>
    <row r="1254" spans="3:27" hidden="1" outlineLevel="1" x14ac:dyDescent="0.3">
      <c r="C1254" s="18" t="s">
        <v>57</v>
      </c>
      <c r="D1254" s="19">
        <f>分布式光伏电站IRR汇总!$B$4</f>
        <v>3</v>
      </c>
      <c r="F1254" s="16"/>
      <c r="G1254" s="2" t="s">
        <v>0</v>
      </c>
      <c r="H1254" s="2" t="s">
        <v>1</v>
      </c>
      <c r="I1254" s="2" t="s">
        <v>2</v>
      </c>
      <c r="J1254" s="2" t="s">
        <v>3</v>
      </c>
      <c r="K1254" s="2" t="s">
        <v>4</v>
      </c>
      <c r="L1254" s="2" t="s">
        <v>5</v>
      </c>
      <c r="M1254" s="2" t="s">
        <v>6</v>
      </c>
      <c r="N1254" s="2" t="s">
        <v>7</v>
      </c>
      <c r="O1254" s="2" t="s">
        <v>8</v>
      </c>
      <c r="P1254" s="2" t="s">
        <v>9</v>
      </c>
      <c r="Q1254" s="2" t="s">
        <v>10</v>
      </c>
      <c r="R1254" s="2" t="s">
        <v>11</v>
      </c>
      <c r="S1254" s="2" t="s">
        <v>12</v>
      </c>
      <c r="T1254" s="2" t="s">
        <v>13</v>
      </c>
      <c r="U1254" s="2" t="s">
        <v>45</v>
      </c>
      <c r="V1254" s="2" t="s">
        <v>46</v>
      </c>
      <c r="W1254" s="2" t="s">
        <v>47</v>
      </c>
      <c r="X1254" s="2" t="s">
        <v>48</v>
      </c>
      <c r="Y1254" s="2" t="s">
        <v>49</v>
      </c>
      <c r="Z1254" s="2" t="s">
        <v>50</v>
      </c>
      <c r="AA1254" s="2" t="s">
        <v>127</v>
      </c>
    </row>
    <row r="1255" spans="3:27" hidden="1" outlineLevel="1" x14ac:dyDescent="0.3">
      <c r="C1255" s="18" t="s">
        <v>54</v>
      </c>
      <c r="D1255" s="19">
        <f>分布式光伏电站IRR汇总!$B$5</f>
        <v>5</v>
      </c>
      <c r="F1255" s="6" t="s">
        <v>14</v>
      </c>
      <c r="G1255" s="33">
        <f>D1276</f>
        <v>24.611999999999995</v>
      </c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  <c r="AA1255" s="33"/>
    </row>
    <row r="1256" spans="3:27" hidden="1" outlineLevel="1" x14ac:dyDescent="0.3">
      <c r="C1256" s="18" t="s">
        <v>55</v>
      </c>
      <c r="D1256" s="19">
        <f>分布式光伏电站IRR汇总!$B$6</f>
        <v>15</v>
      </c>
      <c r="F1256" s="6" t="s">
        <v>15</v>
      </c>
      <c r="G1256" s="33">
        <f>SUM(H1257:AA1257)</f>
        <v>12.385144234005573</v>
      </c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</row>
    <row r="1257" spans="3:27" hidden="1" outlineLevel="1" x14ac:dyDescent="0.3">
      <c r="C1257" s="18" t="s">
        <v>42</v>
      </c>
      <c r="D1257" s="19">
        <f>分布式光伏电站IRR汇总!$B$7</f>
        <v>4.1019999999999994</v>
      </c>
      <c r="F1257" s="7" t="s">
        <v>16</v>
      </c>
      <c r="G1257" s="33"/>
      <c r="H1257" s="33">
        <f>D1276*(1-D1274)/D1270/((1+G1251)^H1253)</f>
        <v>1.0925887850467286</v>
      </c>
      <c r="I1257" s="33">
        <f>D1276*(1-D1274)/D1270/((1+G1251)^I1253)</f>
        <v>1.0211110140623632</v>
      </c>
      <c r="J1257" s="33">
        <f>D1276*(1-D1274)/D1270/((1+G1251)^J1253)</f>
        <v>0.95430935893678792</v>
      </c>
      <c r="K1257" s="33">
        <f>D1276*(1-D1274)/D1270/((1+G1251)^K1253)</f>
        <v>0.89187790554839996</v>
      </c>
      <c r="L1257" s="33">
        <f>D1276*(1-D1274)/D1270/((1+G1251)^L1253)</f>
        <v>0.83353075284897193</v>
      </c>
      <c r="M1257" s="33">
        <f>D1276*(1-D1274)/D1270/((1+G1251)^M1253)</f>
        <v>0.77900070359717</v>
      </c>
      <c r="N1257" s="33">
        <f>D1276*(1-D1274)/D1270/((1+G1251)^N1253)</f>
        <v>0.72803804074501866</v>
      </c>
      <c r="O1257" s="33">
        <f>D1276*(1-D1274)/D1270/((1+G1251)^O1253)</f>
        <v>0.6804093838738493</v>
      </c>
      <c r="P1257" s="33">
        <f>D1276*(1-D1274)/D1270/((1+G1251)^P1253)</f>
        <v>0.63589662044284967</v>
      </c>
      <c r="Q1257" s="33">
        <f>D1276*(1-D1274)/D1270/((1+G1251)^Q1253)</f>
        <v>0.59429590695593437</v>
      </c>
      <c r="R1257" s="33">
        <f>D1276*(1-D1274)/D1270/((1+G1251)^R1253)</f>
        <v>0.55541673547283577</v>
      </c>
      <c r="S1257" s="33">
        <f>D1276*(1-D1274)/D1270/((1+G1251)^S1253)</f>
        <v>0.51908106118956621</v>
      </c>
      <c r="T1257" s="33">
        <f>D1276*(1-D1274)/D1270/((1+G1251)^T1253)</f>
        <v>0.4851224870930525</v>
      </c>
      <c r="U1257" s="33">
        <f>D1276*(1-D1274)/D1270/((1+G1251)^U1253)</f>
        <v>0.45338550195612387</v>
      </c>
      <c r="V1257" s="33">
        <f>D1276*(1-D1274)/D1270/((1+G1251)^V1253)</f>
        <v>0.4237247681832933</v>
      </c>
      <c r="W1257" s="33">
        <f>D1276*(1-D1274)/D1270/((1+G1251)^W1253)</f>
        <v>0.39600445624606856</v>
      </c>
      <c r="X1257" s="33">
        <f>D1276*(1-D1274)/D1270/((1+G1251)^X1253)</f>
        <v>0.37009762265987711</v>
      </c>
      <c r="Y1257" s="33">
        <f>D1276*(1-D1274)/D1270/((1+G1251)^Y1253)</f>
        <v>0.34588562865409078</v>
      </c>
      <c r="Z1257" s="33">
        <f>D1276*(1-D1274)/D1270/((1+G1251)^Z1253)</f>
        <v>0.323257596872982</v>
      </c>
      <c r="AA1257" s="33">
        <f>D1276*(1-D1274)/D1270/((1+G1251)^AA1253)</f>
        <v>0.30210990361960938</v>
      </c>
    </row>
    <row r="1258" spans="3:27" hidden="1" outlineLevel="1" x14ac:dyDescent="0.3">
      <c r="C1258" s="21" t="s">
        <v>32</v>
      </c>
      <c r="D1258" s="19">
        <f>分布式光伏电站IRR汇总!$B$8</f>
        <v>1.8870000000000002</v>
      </c>
      <c r="F1258" s="6" t="s">
        <v>17</v>
      </c>
      <c r="G1258" s="33">
        <f>SUM(H1259:AA1259)</f>
        <v>2.5425634189238777</v>
      </c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  <c r="AA1258" s="33"/>
    </row>
    <row r="1259" spans="3:27" hidden="1" outlineLevel="1" x14ac:dyDescent="0.3">
      <c r="C1259" s="21" t="s">
        <v>33</v>
      </c>
      <c r="D1259" s="19">
        <f>分布式光伏电站IRR汇总!$B$9</f>
        <v>0.18500000000000003</v>
      </c>
      <c r="F1259" s="7" t="s">
        <v>18</v>
      </c>
      <c r="G1259" s="33"/>
      <c r="H1259" s="33">
        <f>D1273*D1252/((1+G1251)^H1253)</f>
        <v>0.22429906542056072</v>
      </c>
      <c r="I1259" s="33">
        <f>D1273*D1252/((1+G1251)^I1253)</f>
        <v>0.20962529478557079</v>
      </c>
      <c r="J1259" s="33">
        <f>D1273*D1252/((1+G1251)^J1253)</f>
        <v>0.19591149045380446</v>
      </c>
      <c r="K1259" s="33">
        <f>D1273*D1252/((1+G1251)^K1253)</f>
        <v>0.18309485089140604</v>
      </c>
      <c r="L1259" s="33">
        <f>D1273*D1252/((1+G1251)^L1253)</f>
        <v>0.17111668307608041</v>
      </c>
      <c r="M1259" s="33">
        <f>D1273*D1252/((1+G1251)^M1253)</f>
        <v>0.15992213371596301</v>
      </c>
      <c r="N1259" s="33">
        <f>D1273*D1252/((1+G1251)^N1253)</f>
        <v>0.14945993805230187</v>
      </c>
      <c r="O1259" s="33">
        <f>D1273*D1252/((1+G1251)^O1253)</f>
        <v>0.13968218509560923</v>
      </c>
      <c r="P1259" s="33">
        <f>D1273*D1252/((1+G1251)^P1253)</f>
        <v>0.13054409822019553</v>
      </c>
      <c r="Q1259" s="33">
        <f>D1273*D1252/((1+G1251)^Q1253)</f>
        <v>0.12200383011233226</v>
      </c>
      <c r="R1259" s="33">
        <f>D1273*D1252/((1+G1251)^R1253)</f>
        <v>0.1140222711330208</v>
      </c>
      <c r="S1259" s="33">
        <f>D1273*D1252/((1+G1251)^S1253)</f>
        <v>0.10656287021777647</v>
      </c>
      <c r="T1259" s="33">
        <f>D1273*D1252/((1+G1251)^T1253)</f>
        <v>9.9591467493249028E-2</v>
      </c>
      <c r="U1259" s="33">
        <f>D1273*D1252/((1+G1251)^U1253)</f>
        <v>9.3076137844157969E-2</v>
      </c>
      <c r="V1259" s="33">
        <f>D1273*D1252/((1+G1251)^V1253)</f>
        <v>8.6987044714166323E-2</v>
      </c>
      <c r="W1259" s="33">
        <f>D1273*D1252/((1+G1251)^W1253)</f>
        <v>8.1296303471183481E-2</v>
      </c>
      <c r="X1259" s="33">
        <f>D1273*D1252/((1+G1251)^X1253)</f>
        <v>7.5977853711386434E-2</v>
      </c>
      <c r="Y1259" s="33">
        <f>D1273*D1252/((1+G1251)^Y1253)</f>
        <v>7.1007339917183582E-2</v>
      </c>
      <c r="Z1259" s="33">
        <f>D1273*D1252/((1+G1251)^Z1253)</f>
        <v>6.6361999922601472E-2</v>
      </c>
      <c r="AA1259" s="33">
        <f>D1273*D1252/((1+G1251)^AA1253)</f>
        <v>6.2020560675328483E-2</v>
      </c>
    </row>
    <row r="1260" spans="3:27" hidden="1" outlineLevel="1" x14ac:dyDescent="0.3">
      <c r="C1260" s="21" t="s">
        <v>34</v>
      </c>
      <c r="D1260" s="19">
        <f>分布式光伏电站IRR汇总!$B$10</f>
        <v>0.222</v>
      </c>
      <c r="F1260" s="6" t="s">
        <v>19</v>
      </c>
      <c r="G1260" s="33"/>
      <c r="H1260" s="33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  <c r="AA1260" s="33">
        <f>D1273*D1276/((1+G1251)^AA1253)</f>
        <v>0.2544083398901974</v>
      </c>
    </row>
    <row r="1261" spans="3:27" hidden="1" outlineLevel="1" x14ac:dyDescent="0.3">
      <c r="C1261" s="21" t="s">
        <v>35</v>
      </c>
      <c r="D1261" s="19">
        <f>分布式光伏电站IRR汇总!$B$11</f>
        <v>0.44400000000000001</v>
      </c>
      <c r="F1261" s="8" t="s">
        <v>64</v>
      </c>
      <c r="G1261" s="33">
        <f>SUM(H1262:AA1262)</f>
        <v>57588.31280202559</v>
      </c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</row>
    <row r="1262" spans="3:27" hidden="1" outlineLevel="1" x14ac:dyDescent="0.3">
      <c r="C1262" s="21" t="s">
        <v>36</v>
      </c>
      <c r="D1262" s="19">
        <f>分布式光伏电站IRR汇总!$B$12</f>
        <v>0.222</v>
      </c>
      <c r="F1262" s="9" t="s">
        <v>65</v>
      </c>
      <c r="G1262" s="33"/>
      <c r="H1262" s="33">
        <f>D1252*D1269*(1-D1271)*D1275/((1+G1251)^H1253)</f>
        <v>5249.1254579439237</v>
      </c>
      <c r="I1262" s="33">
        <f>D1252*D1269*(1-D1271)*(1-D1272)^(I1253-1)*D1275/((1+G1251)^I1253)</f>
        <v>4883.6489657786706</v>
      </c>
      <c r="J1262" s="33">
        <f>D1252*D1269*(1-D1271)*(1-D1272)^(J1253-1)*D1275/((1+G1251)^J1253)</f>
        <v>4543.61920133894</v>
      </c>
      <c r="K1262" s="33">
        <f>D1252*D1269*(1-D1271)*(1-D1272)^(K1253-1)*D1275/((1+G1251)^K1253)</f>
        <v>4227.2644064793603</v>
      </c>
      <c r="L1262" s="33">
        <f>D1252*D1269*(1-D1271)*(1-D1272)^(L1253-1)*D1275/((1+G1251)^L1253)</f>
        <v>3932.9361837852366</v>
      </c>
      <c r="M1262" s="33">
        <f>D1252*D1269*(1-D1271)*(1-D1272)^(M1253-1)*D1275/((1+G1251)^M1253)</f>
        <v>3659.1009074375738</v>
      </c>
      <c r="N1262" s="33">
        <f>D1252*D1269*(1-D1271)*(1-D1272)^(N1253-1)*D1275/((1+G1251)^N1253)</f>
        <v>3404.3317321066397</v>
      </c>
      <c r="O1262" s="33">
        <f>D1252*D1269*(1-D1271)*(1-D1272)^(O1253-1)*D1275/((1+G1251)^O1253)</f>
        <v>3167.301158235663</v>
      </c>
      <c r="P1262" s="33">
        <f>D1252*D1269*(1-D1271)*(1-D1272)^(P1253-1)*D1275/((1+G1251)^P1253)</f>
        <v>2946.7741149753297</v>
      </c>
      <c r="Q1262" s="33">
        <f>D1252*D1269*(1-D1271)*(1-D1272)^(Q1253-1)*D1275/((1+G1251)^Q1253)</f>
        <v>2741.6015247270479</v>
      </c>
      <c r="R1262" s="33">
        <f>D1252*D1269*(1-D1271)*(1-D1272)^(R1253-1)*D1275/((1+G1251)^R1253)</f>
        <v>2550.7143157624078</v>
      </c>
      <c r="S1262" s="33">
        <f>D1252*D1269*(1-D1271)*(1-D1272)^(S1253-1)*D1275/((1+G1251)^S1253)</f>
        <v>2373.1178517210069</v>
      </c>
      <c r="T1262" s="33">
        <f>D1252*D1269*(1-D1271)*(1-D1272)^(T1253-1)*D1275/((1+G1251)^T1253)</f>
        <v>2207.8867489609929</v>
      </c>
      <c r="U1262" s="33">
        <f>D1252*D1269*(1-D1271)*(1-D1272)^(U1253-1)*D1275/((1+G1251)^U1253)</f>
        <v>2054.160054757634</v>
      </c>
      <c r="V1262" s="33">
        <f>D1252*D1269*(1-D1271)*(1-D1272)^(V1253-1)*D1275/((1+G1251)^V1253)</f>
        <v>1911.1367612254435</v>
      </c>
      <c r="W1262" s="33">
        <f>D1252*D1269*(1-D1271)*(1-D1272)^(W1253-1)*D1275/((1+G1251)^W1253)</f>
        <v>1778.0716315887191</v>
      </c>
      <c r="X1262" s="33">
        <f>D1252*D1269*(1-D1271)*(1-D1272)^(X1253-1)*D1275/((1+G1251)^X1253)</f>
        <v>1654.2713170528691</v>
      </c>
      <c r="Y1262" s="33">
        <f>D1252*D1269*(1-D1271)*(1-D1272)^(Y1253-1)*D1275/((1+G1251)^Y1253)</f>
        <v>1539.0907440431131</v>
      </c>
      <c r="Z1262" s="33">
        <f>D1252*D1269*(1-D1271)*(1-D1272)^(Z1253-1)*D1275/((1+G1251)^Z1253)</f>
        <v>1431.9297529859059</v>
      </c>
      <c r="AA1262" s="33">
        <f>D1252*D1269*(1-D1271)*(1-D1272)^(AA1253-1)*D1275/((1+G1251)^AA1253)</f>
        <v>1332.2299711191306</v>
      </c>
    </row>
    <row r="1263" spans="3:27" hidden="1" outlineLevel="1" x14ac:dyDescent="0.3">
      <c r="C1263" s="21" t="s">
        <v>37</v>
      </c>
      <c r="D1263" s="19">
        <f>分布式光伏电站IRR汇总!$B$13</f>
        <v>0.15</v>
      </c>
      <c r="F1263" s="4" t="s">
        <v>66</v>
      </c>
      <c r="G1263" s="33">
        <f>SUM(H1264:AA1264)</f>
        <v>37.863536305498577</v>
      </c>
      <c r="H1263" s="33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  <c r="AA1263" s="33"/>
    </row>
    <row r="1264" spans="3:27" hidden="1" outlineLevel="1" x14ac:dyDescent="0.3">
      <c r="C1264" s="21" t="s">
        <v>38</v>
      </c>
      <c r="D1264" s="19">
        <f>分布式光伏电站IRR汇总!$B$14</f>
        <v>3.7000000000000005E-2</v>
      </c>
      <c r="F1264" s="7" t="s">
        <v>67</v>
      </c>
      <c r="G1264" s="33"/>
      <c r="H1264" s="33">
        <f>H1262*D1280/1000</f>
        <v>3.4512289504335989</v>
      </c>
      <c r="I1264" s="33">
        <f>I1262*D1280/1000</f>
        <v>3.2109331029501389</v>
      </c>
      <c r="J1264" s="33">
        <f>J1262*D1280/1000</f>
        <v>2.9873681345671614</v>
      </c>
      <c r="K1264" s="33">
        <f>K1262*D1280/1000</f>
        <v>2.7793691382818784</v>
      </c>
      <c r="L1264" s="33">
        <f>L1262*D1280/1000</f>
        <v>2.5858523151024393</v>
      </c>
      <c r="M1264" s="33">
        <f>M1262*D1280/1000</f>
        <v>2.4058093268079244</v>
      </c>
      <c r="N1264" s="33">
        <f>N1262*D1280/1000</f>
        <v>2.2383020419040078</v>
      </c>
      <c r="O1264" s="33">
        <f>O1262*D1280/1000</f>
        <v>2.0824576473976073</v>
      </c>
      <c r="P1264" s="33">
        <f>P1262*D1280/1000</f>
        <v>1.9374641009199234</v>
      </c>
      <c r="Q1264" s="33">
        <f>Q1262*D1280/1000</f>
        <v>1.8025658995007328</v>
      </c>
      <c r="R1264" s="33">
        <f>R1262*D1280/1000</f>
        <v>1.6770601429467096</v>
      </c>
      <c r="S1264" s="33">
        <f>S1262*D1280/1000</f>
        <v>1.5602928713116353</v>
      </c>
      <c r="T1264" s="33">
        <f>T1262*D1280/1000</f>
        <v>1.451655657374517</v>
      </c>
      <c r="U1264" s="33">
        <f>U1262*D1280/1000</f>
        <v>1.3505824363704033</v>
      </c>
      <c r="V1264" s="33">
        <f>V1262*D1280/1000</f>
        <v>1.2565465564548939</v>
      </c>
      <c r="W1264" s="33">
        <f>W1262*D1280/1000</f>
        <v>1.169058034533502</v>
      </c>
      <c r="X1264" s="33">
        <f>X1262*D1280/1000</f>
        <v>1.0876610031571039</v>
      </c>
      <c r="Y1264" s="33">
        <f>Y1262*D1280/1000</f>
        <v>1.0119313351802774</v>
      </c>
      <c r="Z1264" s="33">
        <f>Z1262*D1280/1000</f>
        <v>0.94147443380557605</v>
      </c>
      <c r="AA1264" s="33">
        <f>AA1262*D1280/1000</f>
        <v>0.87592317649855245</v>
      </c>
    </row>
    <row r="1265" spans="3:27" hidden="1" outlineLevel="1" x14ac:dyDescent="0.3">
      <c r="C1265" s="21" t="s">
        <v>39</v>
      </c>
      <c r="D1265" s="19">
        <f>分布式光伏电站IRR汇总!$B$15</f>
        <v>0.25900000000000006</v>
      </c>
      <c r="F1265" s="4" t="s">
        <v>20</v>
      </c>
      <c r="G1265" s="33">
        <f>SUM(H1266:V1266)</f>
        <v>4.9859499837861083</v>
      </c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</row>
    <row r="1266" spans="3:27" hidden="1" outlineLevel="1" x14ac:dyDescent="0.3">
      <c r="C1266" s="21" t="s">
        <v>40</v>
      </c>
      <c r="D1266" s="19">
        <f>分布式光伏电站IRR汇总!$B$16</f>
        <v>7.400000000000001E-2</v>
      </c>
      <c r="F1266" s="7" t="s">
        <v>21</v>
      </c>
      <c r="G1266" s="33"/>
      <c r="H1266" s="33">
        <f>(H1264-H1257-H1259)*G1252</f>
        <v>0.53358527499157737</v>
      </c>
      <c r="I1266" s="33">
        <f>(I1264-I1257-I1259)*G1252</f>
        <v>0.49504919852555124</v>
      </c>
      <c r="J1266" s="33">
        <f>(J1264-J1257-J1259)*G1252</f>
        <v>0.45928682129414233</v>
      </c>
      <c r="K1266" s="33">
        <f>(K1264-K1257-K1259)*G1252</f>
        <v>0.42609909546051811</v>
      </c>
      <c r="L1266" s="33">
        <f>(L1264-L1257-L1259)*G1252</f>
        <v>0.39530121979434674</v>
      </c>
      <c r="M1266" s="33">
        <f>(M1264-M1257-M1259)*G1252</f>
        <v>0.36672162237369782</v>
      </c>
      <c r="N1266" s="33">
        <f>(N1264-N1257-N1259)*G1252</f>
        <v>0.34020101577667183</v>
      </c>
      <c r="O1266" s="33">
        <f>(O1264-O1257-O1259)*G1252</f>
        <v>0.31559151960703724</v>
      </c>
      <c r="P1266" s="33">
        <f>(P1264-P1257-P1259)*G1252</f>
        <v>0.29275584556421952</v>
      </c>
      <c r="Q1266" s="33">
        <f>(Q1264-Q1257-Q1259)*G1252</f>
        <v>0.27156654060811652</v>
      </c>
      <c r="R1266" s="33">
        <f>(R1264-R1257-R1259)*G1252</f>
        <v>0.25190528408521329</v>
      </c>
      <c r="S1266" s="33">
        <f>(S1264-S1257-S1259)*G1252</f>
        <v>0.23366223497607316</v>
      </c>
      <c r="T1266" s="33">
        <f>(T1264-T1257-T1259)*G1252</f>
        <v>0.21673542569705387</v>
      </c>
      <c r="U1266" s="33">
        <f>(U1264-U1257-U1259)*G1252</f>
        <v>0.20103019914253034</v>
      </c>
      <c r="V1266" s="33">
        <f>(V1264-V1257-V1259)*G1252</f>
        <v>0.18645868588935857</v>
      </c>
      <c r="W1266" s="33">
        <f>(W1264-W1257-W1259)*G1252</f>
        <v>0.17293931870406251</v>
      </c>
      <c r="X1266" s="33">
        <f>(X1264-X1257-X1259)*G1252</f>
        <v>0.16039638169646009</v>
      </c>
      <c r="Y1266" s="33">
        <f>(Y1264-Y1257-Y1259)*G1252</f>
        <v>0.14875959165225078</v>
      </c>
      <c r="Z1266" s="33">
        <f>(Z1264-Z1257-Z1259)*G1252</f>
        <v>0.13796370925249812</v>
      </c>
      <c r="AA1266" s="33">
        <f>(AA1264-AA1257-AA1259)*G1252</f>
        <v>0.12794817805090367</v>
      </c>
    </row>
    <row r="1267" spans="3:27" hidden="1" outlineLevel="1" x14ac:dyDescent="0.3">
      <c r="C1267" s="21" t="s">
        <v>41</v>
      </c>
      <c r="D1267" s="19">
        <f>分布式光伏电站IRR汇总!$B$17</f>
        <v>0.222</v>
      </c>
      <c r="F1267" s="10" t="s">
        <v>22</v>
      </c>
      <c r="G1267" s="33">
        <f>-G1255</f>
        <v>-24.611999999999995</v>
      </c>
      <c r="H1267" s="33">
        <f t="shared" ref="H1267:AA1267" si="450">H1264-H1266-H1259</f>
        <v>2.6933446100214606</v>
      </c>
      <c r="I1267" s="33">
        <f t="shared" si="450"/>
        <v>2.5062586096390165</v>
      </c>
      <c r="J1267" s="33">
        <f t="shared" si="450"/>
        <v>2.3321698228192149</v>
      </c>
      <c r="K1267" s="33">
        <f t="shared" si="450"/>
        <v>2.1701751919299546</v>
      </c>
      <c r="L1267" s="33">
        <f t="shared" si="450"/>
        <v>2.0194344122320125</v>
      </c>
      <c r="M1267" s="33">
        <f t="shared" si="450"/>
        <v>1.8791655707182633</v>
      </c>
      <c r="N1267" s="33">
        <f t="shared" si="450"/>
        <v>1.748641088075034</v>
      </c>
      <c r="O1267" s="33">
        <f t="shared" si="450"/>
        <v>1.6271839426949608</v>
      </c>
      <c r="P1267" s="33">
        <f t="shared" si="450"/>
        <v>1.5141641571355082</v>
      </c>
      <c r="Q1267" s="33">
        <f t="shared" si="450"/>
        <v>1.408995528780284</v>
      </c>
      <c r="R1267" s="33">
        <f t="shared" si="450"/>
        <v>1.3111325877284754</v>
      </c>
      <c r="S1267" s="33">
        <f t="shared" si="450"/>
        <v>1.2200677661177857</v>
      </c>
      <c r="T1267" s="33">
        <f t="shared" si="450"/>
        <v>1.135328764184214</v>
      </c>
      <c r="U1267" s="33">
        <f t="shared" si="450"/>
        <v>1.056476099383715</v>
      </c>
      <c r="V1267" s="33">
        <f t="shared" si="450"/>
        <v>0.98310082585136893</v>
      </c>
      <c r="W1267" s="33">
        <f t="shared" si="450"/>
        <v>0.91482241235825601</v>
      </c>
      <c r="X1267" s="33">
        <f t="shared" si="450"/>
        <v>0.85128676774925738</v>
      </c>
      <c r="Y1267" s="33">
        <f t="shared" si="450"/>
        <v>0.79216440361084306</v>
      </c>
      <c r="Z1267" s="33">
        <f t="shared" si="450"/>
        <v>0.73714872463047643</v>
      </c>
      <c r="AA1267" s="33">
        <f t="shared" si="450"/>
        <v>0.68595443777232035</v>
      </c>
    </row>
    <row r="1268" spans="3:27" ht="13.5" hidden="1" outlineLevel="1" thickBot="1" x14ac:dyDescent="0.35">
      <c r="C1268" s="21" t="s">
        <v>74</v>
      </c>
      <c r="D1268" s="19">
        <f>分布式光伏电站IRR汇总!$B$18</f>
        <v>0.4</v>
      </c>
      <c r="F1268" s="3" t="s">
        <v>61</v>
      </c>
      <c r="G1268" s="35">
        <f>SUM(G1267:AA1267)/G1255</f>
        <v>0.20213780771300288</v>
      </c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</row>
    <row r="1269" spans="3:27" ht="13.5" hidden="1" outlineLevel="1" thickTop="1" x14ac:dyDescent="0.3">
      <c r="C1269" s="18" t="s">
        <v>58</v>
      </c>
      <c r="D1269" s="19">
        <f>分布式光伏电站IRR汇总!$B$19</f>
        <v>0.86599999999999999</v>
      </c>
    </row>
    <row r="1270" spans="3:27" hidden="1" outlineLevel="1" x14ac:dyDescent="0.3">
      <c r="C1270" s="18" t="s">
        <v>62</v>
      </c>
      <c r="D1270" s="19">
        <f>分布式光伏电站IRR汇总!$B$20</f>
        <v>20</v>
      </c>
      <c r="F1270" s="13" t="s">
        <v>25</v>
      </c>
      <c r="G1270" s="14">
        <v>0</v>
      </c>
    </row>
    <row r="1271" spans="3:27" hidden="1" outlineLevel="1" x14ac:dyDescent="0.3">
      <c r="C1271" s="18" t="s">
        <v>59</v>
      </c>
      <c r="D1271" s="52">
        <f>分布式光伏电站IRR汇总!$B$21</f>
        <v>0.02</v>
      </c>
      <c r="F1271" s="13" t="s">
        <v>26</v>
      </c>
      <c r="G1271" s="14">
        <v>0.25</v>
      </c>
      <c r="Q1271" s="15"/>
    </row>
    <row r="1272" spans="3:27" hidden="1" outlineLevel="1" x14ac:dyDescent="0.3">
      <c r="C1272" s="18" t="s">
        <v>60</v>
      </c>
      <c r="D1272" s="52">
        <f>分布式光伏电站IRR汇总!$B$22</f>
        <v>4.4999999999999997E-3</v>
      </c>
      <c r="F1272" s="1" t="s">
        <v>44</v>
      </c>
      <c r="G1272" s="4"/>
      <c r="H1272" s="5">
        <v>1</v>
      </c>
      <c r="I1272" s="5">
        <v>2</v>
      </c>
      <c r="J1272" s="5">
        <v>3</v>
      </c>
      <c r="K1272" s="5">
        <v>4</v>
      </c>
      <c r="L1272" s="5">
        <v>5</v>
      </c>
      <c r="M1272" s="5">
        <v>6</v>
      </c>
      <c r="N1272" s="5">
        <v>7</v>
      </c>
      <c r="O1272" s="5">
        <v>8</v>
      </c>
      <c r="P1272" s="5">
        <v>9</v>
      </c>
      <c r="Q1272" s="5">
        <v>10</v>
      </c>
      <c r="R1272" s="5">
        <v>11</v>
      </c>
      <c r="S1272" s="5">
        <v>12</v>
      </c>
      <c r="T1272" s="5">
        <v>13</v>
      </c>
      <c r="U1272" s="5">
        <v>14</v>
      </c>
      <c r="V1272" s="5">
        <v>15</v>
      </c>
      <c r="W1272" s="5">
        <v>16</v>
      </c>
      <c r="X1272" s="5">
        <v>17</v>
      </c>
      <c r="Y1272" s="5">
        <v>18</v>
      </c>
      <c r="Z1272" s="5">
        <v>19</v>
      </c>
      <c r="AA1272" s="5">
        <v>20</v>
      </c>
    </row>
    <row r="1273" spans="3:27" hidden="1" outlineLevel="1" x14ac:dyDescent="0.3">
      <c r="C1273" s="18" t="s">
        <v>28</v>
      </c>
      <c r="D1273" s="29">
        <f>分布式光伏电站IRR汇总!$B$23</f>
        <v>0.04</v>
      </c>
      <c r="F1273" s="16"/>
      <c r="G1273" s="2" t="s">
        <v>0</v>
      </c>
      <c r="H1273" s="2" t="s">
        <v>1</v>
      </c>
      <c r="I1273" s="2" t="s">
        <v>2</v>
      </c>
      <c r="J1273" s="2" t="s">
        <v>3</v>
      </c>
      <c r="K1273" s="2" t="s">
        <v>4</v>
      </c>
      <c r="L1273" s="2" t="s">
        <v>5</v>
      </c>
      <c r="M1273" s="2" t="s">
        <v>6</v>
      </c>
      <c r="N1273" s="2" t="s">
        <v>7</v>
      </c>
      <c r="O1273" s="2" t="s">
        <v>8</v>
      </c>
      <c r="P1273" s="2" t="s">
        <v>9</v>
      </c>
      <c r="Q1273" s="2" t="s">
        <v>10</v>
      </c>
      <c r="R1273" s="2" t="s">
        <v>11</v>
      </c>
      <c r="S1273" s="2" t="s">
        <v>12</v>
      </c>
      <c r="T1273" s="2" t="s">
        <v>13</v>
      </c>
      <c r="U1273" s="2" t="s">
        <v>45</v>
      </c>
      <c r="V1273" s="2" t="s">
        <v>46</v>
      </c>
      <c r="W1273" s="2" t="s">
        <v>47</v>
      </c>
      <c r="X1273" s="2" t="s">
        <v>48</v>
      </c>
      <c r="Y1273" s="2" t="s">
        <v>49</v>
      </c>
      <c r="Z1273" s="2" t="s">
        <v>50</v>
      </c>
      <c r="AA1273" s="2" t="s">
        <v>51</v>
      </c>
    </row>
    <row r="1274" spans="3:27" hidden="1" outlineLevel="1" x14ac:dyDescent="0.3">
      <c r="C1274" s="18" t="s">
        <v>43</v>
      </c>
      <c r="D1274" s="19">
        <f>分布式光伏电站IRR汇总!$B$24</f>
        <v>0.05</v>
      </c>
      <c r="F1274" s="6" t="s">
        <v>14</v>
      </c>
      <c r="G1274" s="33">
        <f>D1276</f>
        <v>24.611999999999995</v>
      </c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</row>
    <row r="1275" spans="3:27" hidden="1" outlineLevel="1" x14ac:dyDescent="0.3">
      <c r="C1275" s="18" t="s">
        <v>126</v>
      </c>
      <c r="D1275" s="28">
        <f>Backup分地区光伏小时数及电价!E28</f>
        <v>1103</v>
      </c>
      <c r="F1275" s="6" t="s">
        <v>15</v>
      </c>
      <c r="G1275" s="33">
        <f>SUM(H1276:AA1276)</f>
        <v>23.381399999999985</v>
      </c>
      <c r="H1275" s="33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</row>
    <row r="1276" spans="3:27" hidden="1" outlineLevel="1" x14ac:dyDescent="0.3">
      <c r="C1276" s="24" t="s">
        <v>14</v>
      </c>
      <c r="D1276" s="30">
        <f>D1252*D1257</f>
        <v>24.611999999999995</v>
      </c>
      <c r="F1276" s="7" t="s">
        <v>16</v>
      </c>
      <c r="G1276" s="33"/>
      <c r="H1276" s="33">
        <f>D1276*(1-D1274)/D1270/((1+G1270)^H1272)</f>
        <v>1.1690699999999996</v>
      </c>
      <c r="I1276" s="33">
        <f>D1276*(1-D1274)/D1270/((1+G1270)^I1272)</f>
        <v>1.1690699999999996</v>
      </c>
      <c r="J1276" s="33">
        <f>D1276*(1-D1274)/D1270/((1+G1270)^J1272)</f>
        <v>1.1690699999999996</v>
      </c>
      <c r="K1276" s="33">
        <f>D1276*(1-D1274)/D1270/((1+G1270)^K1272)</f>
        <v>1.1690699999999996</v>
      </c>
      <c r="L1276" s="33">
        <f>D1276*(1-D1274)/D1270/((1+G1270)^L1272)</f>
        <v>1.1690699999999996</v>
      </c>
      <c r="M1276" s="33">
        <f>D1276*(1-D1274)/D1270/((1+G1270)^M1272)</f>
        <v>1.1690699999999996</v>
      </c>
      <c r="N1276" s="33">
        <f>D1276*(1-D1274)/D1270/((1+G1270)^N1272)</f>
        <v>1.1690699999999996</v>
      </c>
      <c r="O1276" s="33">
        <f>D1276*(1-D1274)/D1270/((1+G1270)^O1272)</f>
        <v>1.1690699999999996</v>
      </c>
      <c r="P1276" s="33">
        <f>D1276*(1-D1274)/D1270/((1+G1270)^P1272)</f>
        <v>1.1690699999999996</v>
      </c>
      <c r="Q1276" s="33">
        <f>D1276*(1-D1274)/D1270/((1+G1270)^Q1272)</f>
        <v>1.1690699999999996</v>
      </c>
      <c r="R1276" s="33">
        <f>D1276*(1-D1274)/D1270/((1+G1270)^R1272)</f>
        <v>1.1690699999999996</v>
      </c>
      <c r="S1276" s="33">
        <f>D1276*(1-D1274)/D1270/((1+G1270)^S1272)</f>
        <v>1.1690699999999996</v>
      </c>
      <c r="T1276" s="33">
        <f>D1276*(1-D1274)/D1270/((1+G1270)^T1272)</f>
        <v>1.1690699999999996</v>
      </c>
      <c r="U1276" s="33">
        <f>D1276*(1-D1274)/D1270/((1+G1270)^U1272)</f>
        <v>1.1690699999999996</v>
      </c>
      <c r="V1276" s="33">
        <f>D1276*(1-D1274)/D1270/((1+G1270)^V1272)</f>
        <v>1.1690699999999996</v>
      </c>
      <c r="W1276" s="33">
        <f>D1276*(1-D1274)/D1270/((1+G1270)^W1272)</f>
        <v>1.1690699999999996</v>
      </c>
      <c r="X1276" s="33">
        <f>D1276*(1-D1274)/D1270/((1+G1270)^X1272)</f>
        <v>1.1690699999999996</v>
      </c>
      <c r="Y1276" s="33">
        <f>D1276*(1-D1274)/D1270/((1+G1270)^Y1272)</f>
        <v>1.1690699999999996</v>
      </c>
      <c r="Z1276" s="33">
        <f>D1276*(1-D1274)/D1270/((1+G1270)^Z1272)</f>
        <v>1.1690699999999996</v>
      </c>
      <c r="AA1276" s="33">
        <f>D1276*(1-D1274)/D1270/((1+G1270)^AA1272)</f>
        <v>1.1690699999999996</v>
      </c>
    </row>
    <row r="1277" spans="3:27" hidden="1" outlineLevel="1" x14ac:dyDescent="0.3">
      <c r="C1277" s="18" t="s">
        <v>29</v>
      </c>
      <c r="D1277" s="29">
        <v>0.35980000000000001</v>
      </c>
      <c r="F1277" s="6" t="s">
        <v>17</v>
      </c>
      <c r="G1277" s="33">
        <f>SUM(H1278:AA1278)</f>
        <v>4.8000000000000025</v>
      </c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</row>
    <row r="1278" spans="3:27" hidden="1" outlineLevel="1" x14ac:dyDescent="0.3">
      <c r="C1278" s="18" t="s">
        <v>30</v>
      </c>
      <c r="D1278" s="31">
        <f>Backup分地区光伏小时数及电价!I28</f>
        <v>0.65748646666666666</v>
      </c>
      <c r="F1278" s="7" t="s">
        <v>18</v>
      </c>
      <c r="G1278" s="33"/>
      <c r="H1278" s="33">
        <f>D1273*D1252/((1+G1270)^H1272)</f>
        <v>0.24</v>
      </c>
      <c r="I1278" s="33">
        <f>D1273*D1252/((1+G1270)^I1272)</f>
        <v>0.24</v>
      </c>
      <c r="J1278" s="33">
        <f>D1273*D1252/((1+G1270)^J1272)</f>
        <v>0.24</v>
      </c>
      <c r="K1278" s="33">
        <f>D1273*D1252/((1+G1270)^K1272)</f>
        <v>0.24</v>
      </c>
      <c r="L1278" s="33">
        <f>D1273*D1252/((1+G1270)^L1272)</f>
        <v>0.24</v>
      </c>
      <c r="M1278" s="33">
        <f>D1273*D1252/((1+G1270)^M1272)</f>
        <v>0.24</v>
      </c>
      <c r="N1278" s="33">
        <f>D1273*D1252/((1+G1270)^N1272)</f>
        <v>0.24</v>
      </c>
      <c r="O1278" s="33">
        <f>D1273*D1252/((1+G1270)^O1272)</f>
        <v>0.24</v>
      </c>
      <c r="P1278" s="33">
        <f>D1273*D1252/((1+G1270)^P1272)</f>
        <v>0.24</v>
      </c>
      <c r="Q1278" s="33">
        <f>D1273*D1252/((1+G1270)^Q1272)</f>
        <v>0.24</v>
      </c>
      <c r="R1278" s="33">
        <f>D1273*D1252/((1+G1270)^R1272)</f>
        <v>0.24</v>
      </c>
      <c r="S1278" s="33">
        <f>D1273*D1252/((1+G1270)^S1272)</f>
        <v>0.24</v>
      </c>
      <c r="T1278" s="33">
        <f>D1273*D1252/((1+G1270)^T1272)</f>
        <v>0.24</v>
      </c>
      <c r="U1278" s="33">
        <f>D1273*D1252/((1+G1270)^U1272)</f>
        <v>0.24</v>
      </c>
      <c r="V1278" s="33">
        <f>D1273*D1252/((1+G1270)^V1272)</f>
        <v>0.24</v>
      </c>
      <c r="W1278" s="33">
        <f>D1273*D1252/((1+G1270)^W1272)</f>
        <v>0.24</v>
      </c>
      <c r="X1278" s="33">
        <f>D1273*D1252/((1+G1270)^X1272)</f>
        <v>0.24</v>
      </c>
      <c r="Y1278" s="33">
        <f>D1273*D1252/((1+G1270)^Y1272)</f>
        <v>0.24</v>
      </c>
      <c r="Z1278" s="33">
        <f>D1273*D1252/((1+G1270)^Z1272)</f>
        <v>0.24</v>
      </c>
      <c r="AA1278" s="33">
        <f>D1273*D1252/((1+G1270)^AA1272)</f>
        <v>0.24</v>
      </c>
    </row>
    <row r="1279" spans="3:27" hidden="1" outlineLevel="1" x14ac:dyDescent="0.3">
      <c r="C1279" s="18" t="s">
        <v>70</v>
      </c>
      <c r="D1279" s="32">
        <f>分布式光伏电站IRR汇总!$B$27</f>
        <v>1</v>
      </c>
      <c r="F1279" s="6" t="s">
        <v>19</v>
      </c>
      <c r="G1279" s="33"/>
      <c r="H1279" s="33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f>D1273*D1276/((1+G1270)^AA1272)</f>
        <v>0.9844799999999998</v>
      </c>
    </row>
    <row r="1280" spans="3:27" hidden="1" outlineLevel="1" x14ac:dyDescent="0.3">
      <c r="C1280" s="18" t="s">
        <v>69</v>
      </c>
      <c r="D1280" s="31">
        <f>D1279*D1278</f>
        <v>0.65748646666666666</v>
      </c>
      <c r="F1280" s="8" t="s">
        <v>64</v>
      </c>
      <c r="G1280" s="33">
        <f>SUM(H1281:AA1281)</f>
        <v>107656.33635345254</v>
      </c>
      <c r="H1280" s="33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</row>
    <row r="1281" spans="2:27" hidden="1" outlineLevel="1" x14ac:dyDescent="0.3">
      <c r="C1281" s="18" t="s">
        <v>31</v>
      </c>
      <c r="D1281" s="27">
        <v>0</v>
      </c>
      <c r="F1281" s="9" t="s">
        <v>65</v>
      </c>
      <c r="G1281" s="33"/>
      <c r="H1281" s="33">
        <f>D1252*D1269*(1-D1271)*D1275/((1+G1270)^H1272)</f>
        <v>5616.5642399999988</v>
      </c>
      <c r="I1281" s="33">
        <f>D1252*D1269*(1-D1271)*(1-D1272)^(I1272-1)*D1275/((1+G1270)^I1272)</f>
        <v>5591.2897009199996</v>
      </c>
      <c r="J1281" s="33">
        <f>D1252*D1269*(1-D1271)*(1-D1272)^(J1272-1)*D1275/((1+G1270)^J1272)</f>
        <v>5566.1288972658595</v>
      </c>
      <c r="K1281" s="33">
        <f>D1252*D1269*(1-D1271)*(1-D1272)^(K1272-1)*D1275/((1+G1270)^K1272)</f>
        <v>5541.0813172281642</v>
      </c>
      <c r="L1281" s="33">
        <f>D1252*D1269*(1-D1271)*(1-D1272)^(L1272-1)*D1275/((1+G1270)^L1272)</f>
        <v>5516.1464513006376</v>
      </c>
      <c r="M1281" s="33">
        <f>D1252*D1269*(1-D1271)*(1-D1272)^(M1272-1)*D1275/((1+G1270)^M1272)</f>
        <v>5491.3237922697854</v>
      </c>
      <c r="N1281" s="33">
        <f>D1252*D1269*(1-D1271)*(1-D1272)^(N1272-1)*D1275/((1+G1270)^N1272)</f>
        <v>5466.6128352045716</v>
      </c>
      <c r="O1281" s="33">
        <f>D1252*D1269*(1-D1271)*(1-D1272)^(O1272-1)*D1275/((1+G1270)^O1272)</f>
        <v>5442.0130774461504</v>
      </c>
      <c r="P1281" s="33">
        <f>D1252*D1269*(1-D1271)*(1-D1272)^(P1272-1)*D1275/((1+G1270)^P1272)</f>
        <v>5417.5240185976436</v>
      </c>
      <c r="Q1281" s="33">
        <f>D1252*D1269*(1-D1271)*(1-D1272)^(Q1272-1)*D1275/((1+G1270)^Q1272)</f>
        <v>5393.1451605139546</v>
      </c>
      <c r="R1281" s="33">
        <f>D1252*D1269*(1-D1271)*(1-D1272)^(R1272-1)*D1275/((1+G1270)^R1272)</f>
        <v>5368.876007291643</v>
      </c>
      <c r="S1281" s="33">
        <f>D1252*D1269*(1-D1271)*(1-D1272)^(S1272-1)*D1275/((1+G1270)^S1272)</f>
        <v>5344.71606525883</v>
      </c>
      <c r="T1281" s="33">
        <f>D1252*D1269*(1-D1271)*(1-D1272)^(T1272-1)*D1275/((1+G1270)^T1272)</f>
        <v>5320.6648429651659</v>
      </c>
      <c r="U1281" s="33">
        <f>D1252*D1269*(1-D1271)*(1-D1272)^(U1272-1)*D1275/((1+G1270)^U1272)</f>
        <v>5296.7218511718229</v>
      </c>
      <c r="V1281" s="33">
        <f>D1252*D1269*(1-D1271)*(1-D1272)^(V1272-1)*D1275/((1+G1270)^V1272)</f>
        <v>5272.8866028415496</v>
      </c>
      <c r="W1281" s="33">
        <f>D1252*D1269*(1-D1271)*(1-D1272)^(W1272-1)*D1275/((1+G1270)^W1272)</f>
        <v>5249.1586131287631</v>
      </c>
      <c r="X1281" s="33">
        <f>D1252*D1269*(1-D1271)*(1-D1272)^(X1272-1)*D1275/((1+G1270)^X1272)</f>
        <v>5225.537399369684</v>
      </c>
      <c r="Y1281" s="33">
        <f>D1252*D1269*(1-D1271)*(1-D1272)^(Y1272-1)*D1275/((1+G1270)^Y1272)</f>
        <v>5202.0224810725203</v>
      </c>
      <c r="Z1281" s="33">
        <f>D1252*D1269*(1-D1271)*(1-D1272)^(Z1272-1)*D1275/((1+G1270)^Z1272)</f>
        <v>5178.6133799076952</v>
      </c>
      <c r="AA1281" s="33">
        <f>D1252*D1269*(1-D1271)*(1-D1272)^(AA1272-1)*D1275/((1+G1270)^AA1272)</f>
        <v>5155.3096196981114</v>
      </c>
    </row>
    <row r="1282" spans="2:27" hidden="1" outlineLevel="1" x14ac:dyDescent="0.3">
      <c r="F1282" s="4" t="s">
        <v>66</v>
      </c>
      <c r="G1282" s="33">
        <f>SUM(H1283:AA1283)</f>
        <v>70.782584203309739</v>
      </c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  <c r="AA1282" s="33"/>
    </row>
    <row r="1283" spans="2:27" hidden="1" outlineLevel="1" x14ac:dyDescent="0.3">
      <c r="F1283" s="7" t="s">
        <v>67</v>
      </c>
      <c r="G1283" s="33"/>
      <c r="H1283" s="33">
        <f>H1281*D1280/1000</f>
        <v>3.6928149769639513</v>
      </c>
      <c r="I1283" s="33">
        <f>I1281*D1280/1000</f>
        <v>3.6761973095676139</v>
      </c>
      <c r="J1283" s="33">
        <f>J1281*D1280/1000</f>
        <v>3.6596544216745595</v>
      </c>
      <c r="K1283" s="33">
        <f>K1281*D1280/1000</f>
        <v>3.6431859767770249</v>
      </c>
      <c r="L1283" s="33">
        <f>L1281*D1280/1000</f>
        <v>3.6267916398815281</v>
      </c>
      <c r="M1283" s="33">
        <f>M1281*D1280/1000</f>
        <v>3.6104710775020616</v>
      </c>
      <c r="N1283" s="33">
        <f>N1281*D1280/1000</f>
        <v>3.5942239576533024</v>
      </c>
      <c r="O1283" s="33">
        <f>O1281*D1280/1000</f>
        <v>3.5780499498438627</v>
      </c>
      <c r="P1283" s="33">
        <f>P1281*D1280/1000</f>
        <v>3.5619487250695658</v>
      </c>
      <c r="Q1283" s="33">
        <f>Q1281*D1280/1000</f>
        <v>3.5459199558067529</v>
      </c>
      <c r="R1283" s="33">
        <f>R1281*D1280/1000</f>
        <v>3.5299633160056234</v>
      </c>
      <c r="S1283" s="33">
        <f>S1281*D1280/1000</f>
        <v>3.5140784810835974</v>
      </c>
      <c r="T1283" s="33">
        <f>T1281*D1280/1000</f>
        <v>3.4982651279187218</v>
      </c>
      <c r="U1283" s="33">
        <f>U1281*D1280/1000</f>
        <v>3.4825229348430877</v>
      </c>
      <c r="V1283" s="33">
        <f>V1281*D1280/1000</f>
        <v>3.4668515816362939</v>
      </c>
      <c r="W1283" s="33">
        <f>W1281*D1280/1000</f>
        <v>3.4512507495189308</v>
      </c>
      <c r="X1283" s="33">
        <f>X1281*D1280/1000</f>
        <v>3.4357201211460957</v>
      </c>
      <c r="Y1283" s="33">
        <f>Y1281*D1280/1000</f>
        <v>3.420259380600938</v>
      </c>
      <c r="Z1283" s="33">
        <f>Z1281*D1280/1000</f>
        <v>3.4048682133882346</v>
      </c>
      <c r="AA1283" s="33">
        <f>AA1281*D1280/1000</f>
        <v>3.3895463064279885</v>
      </c>
    </row>
    <row r="1284" spans="2:27" hidden="1" outlineLevel="1" x14ac:dyDescent="0.3">
      <c r="F1284" s="4" t="s">
        <v>20</v>
      </c>
      <c r="G1284" s="33">
        <f>SUM(H1285:AA1285)</f>
        <v>10.650296050827436</v>
      </c>
      <c r="H1284" s="33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  <c r="AA1284" s="33"/>
    </row>
    <row r="1285" spans="2:27" hidden="1" outlineLevel="1" x14ac:dyDescent="0.3">
      <c r="F1285" s="7" t="s">
        <v>21</v>
      </c>
      <c r="G1285" s="33"/>
      <c r="H1285" s="33">
        <f>(H1283-H1276-H1278)*G1271</f>
        <v>0.57093624424098799</v>
      </c>
      <c r="I1285" s="33">
        <f>(I1283-I1276-I1278)*G1271</f>
        <v>0.56678182739190364</v>
      </c>
      <c r="J1285" s="33">
        <f>(J1283-J1276-J1278)*G1271</f>
        <v>0.56264610541864002</v>
      </c>
      <c r="K1285" s="33">
        <f>(K1283-K1276-K1278)*G1271</f>
        <v>0.55852899419425639</v>
      </c>
      <c r="L1285" s="33">
        <f>(L1283-L1276-L1278)*G1271</f>
        <v>0.55443040997038207</v>
      </c>
      <c r="M1285" s="33">
        <f>(M1283-M1276-M1278)*G1271</f>
        <v>0.55035026937551557</v>
      </c>
      <c r="N1285" s="33">
        <f>(N1283-N1276-N1278)*G1271</f>
        <v>0.54628848941332575</v>
      </c>
      <c r="O1285" s="33">
        <f>(O1283-O1276-O1278)*G1271</f>
        <v>0.54224498746096583</v>
      </c>
      <c r="P1285" s="33">
        <f>(P1283-P1276-P1278)*G1271</f>
        <v>0.53821968126739161</v>
      </c>
      <c r="Q1285" s="33">
        <f>(Q1283-Q1276-Q1278)*G1271</f>
        <v>0.53421248895168838</v>
      </c>
      <c r="R1285" s="33">
        <f>(R1283-R1276-R1278)*G1271</f>
        <v>0.53022332900140601</v>
      </c>
      <c r="S1285" s="33">
        <f>(S1283-S1276-S1278)*G1271</f>
        <v>0.5262521202708994</v>
      </c>
      <c r="T1285" s="33">
        <f>(T1283-T1276-T1278)*G1271</f>
        <v>0.52229878197968049</v>
      </c>
      <c r="U1285" s="33">
        <f>(U1283-U1276-U1278)*G1271</f>
        <v>0.51836323371077198</v>
      </c>
      <c r="V1285" s="33">
        <f>(V1283-V1276-V1278)*G1271</f>
        <v>0.51444539540907352</v>
      </c>
      <c r="W1285" s="33">
        <f>(W1283-W1276-W1278)*G1271</f>
        <v>0.51054518737973287</v>
      </c>
      <c r="X1285" s="33">
        <f>(X1283-X1276-X1278)*G1271</f>
        <v>0.50666253028652397</v>
      </c>
      <c r="Y1285" s="33">
        <f>(Y1283-Y1276-Y1278)*G1271</f>
        <v>0.50279734515023455</v>
      </c>
      <c r="Z1285" s="33">
        <f>(Z1283-Z1276-Z1278)*G1271</f>
        <v>0.49894955334705876</v>
      </c>
      <c r="AA1285" s="33">
        <f>(AA1283-AA1276-AA1278)*G1271</f>
        <v>0.49511907660699722</v>
      </c>
    </row>
    <row r="1286" spans="2:27" hidden="1" outlineLevel="1" x14ac:dyDescent="0.3">
      <c r="F1286" s="10" t="s">
        <v>22</v>
      </c>
      <c r="G1286" s="33">
        <f>-G1274</f>
        <v>-24.611999999999995</v>
      </c>
      <c r="H1286" s="33">
        <f>H1283-H1285-H1278</f>
        <v>2.8818787327229636</v>
      </c>
      <c r="I1286" s="33">
        <f t="shared" ref="I1286" si="451">I1283-I1285-I1278</f>
        <v>2.8694154821757101</v>
      </c>
      <c r="J1286" s="33">
        <f t="shared" ref="J1286" si="452">J1283-J1285-J1278</f>
        <v>2.8570083162559197</v>
      </c>
      <c r="K1286" s="33">
        <f t="shared" ref="K1286" si="453">K1283-K1285-K1278</f>
        <v>2.8446569825827686</v>
      </c>
      <c r="L1286" s="33">
        <f t="shared" ref="L1286" si="454">L1283-L1285-L1278</f>
        <v>2.8323612299111458</v>
      </c>
      <c r="M1286" s="33">
        <f t="shared" ref="M1286" si="455">M1283-M1285-M1278</f>
        <v>2.8201208081265463</v>
      </c>
      <c r="N1286" s="33">
        <f t="shared" ref="N1286" si="456">N1283-N1285-N1278</f>
        <v>2.8079354682399762</v>
      </c>
      <c r="O1286" s="33">
        <f t="shared" ref="O1286" si="457">O1283-O1285-O1278</f>
        <v>2.7958049623828964</v>
      </c>
      <c r="P1286" s="33">
        <f t="shared" ref="P1286" si="458">P1283-P1285-P1278</f>
        <v>2.7837290438021745</v>
      </c>
      <c r="Q1286" s="33">
        <f t="shared" ref="Q1286" si="459">Q1283-Q1285-Q1278</f>
        <v>2.7717074668550641</v>
      </c>
      <c r="R1286" s="33">
        <f t="shared" ref="R1286" si="460">R1283-R1285-R1278</f>
        <v>2.7597399870042176</v>
      </c>
      <c r="S1286" s="33">
        <f t="shared" ref="S1286" si="461">S1283-S1285-S1278</f>
        <v>2.7478263608126978</v>
      </c>
      <c r="T1286" s="33">
        <f t="shared" ref="T1286" si="462">T1283-T1285-T1278</f>
        <v>2.7359663459390413</v>
      </c>
      <c r="U1286" s="33">
        <f t="shared" ref="U1286" si="463">U1283-U1285-U1278</f>
        <v>2.724159701132316</v>
      </c>
      <c r="V1286" s="33">
        <f t="shared" ref="V1286" si="464">V1283-V1285-V1278</f>
        <v>2.71240618622722</v>
      </c>
      <c r="W1286" s="33">
        <f t="shared" ref="W1286" si="465">W1283-W1285-W1278</f>
        <v>2.7007055621391975</v>
      </c>
      <c r="X1286" s="33">
        <f t="shared" ref="X1286" si="466">X1283-X1285-X1278</f>
        <v>2.689057590859572</v>
      </c>
      <c r="Y1286" s="33">
        <f t="shared" ref="Y1286" si="467">Y1283-Y1285-Y1278</f>
        <v>2.677462035450703</v>
      </c>
      <c r="Z1286" s="33">
        <f t="shared" ref="Z1286" si="468">Z1283-Z1285-Z1278</f>
        <v>2.6659186600411759</v>
      </c>
      <c r="AA1286" s="33">
        <f t="shared" ref="AA1286" si="469">AA1283-AA1285-AA1278</f>
        <v>2.6544272298209917</v>
      </c>
    </row>
    <row r="1287" spans="2:27" ht="13.5" hidden="1" outlineLevel="1" thickBot="1" x14ac:dyDescent="0.35">
      <c r="F1287" s="3" t="s">
        <v>68</v>
      </c>
      <c r="G1287" s="40">
        <f>IRR(G1286:AA1286)</f>
        <v>9.5422001483485897E-2</v>
      </c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</row>
    <row r="1288" spans="2:27" ht="13.5" collapsed="1" thickTop="1" x14ac:dyDescent="0.3"/>
    <row r="1289" spans="2:27" x14ac:dyDescent="0.3">
      <c r="B1289" s="11" t="s">
        <v>170</v>
      </c>
      <c r="C1289" s="11" t="s">
        <v>52</v>
      </c>
    </row>
    <row r="1290" spans="2:27" x14ac:dyDescent="0.3">
      <c r="C1290" s="11" t="s">
        <v>141</v>
      </c>
      <c r="D1290" s="54">
        <f>D1321</f>
        <v>1071</v>
      </c>
    </row>
    <row r="1291" spans="2:27" x14ac:dyDescent="0.3">
      <c r="C1291" s="16" t="s">
        <v>78</v>
      </c>
      <c r="D1291" s="37">
        <f>(G1320+G1323+G1330)/G1326*1000</f>
        <v>0.38844729049194315</v>
      </c>
    </row>
    <row r="1292" spans="2:27" x14ac:dyDescent="0.3">
      <c r="C1292" s="13" t="s">
        <v>77</v>
      </c>
      <c r="D1292" s="39">
        <f>(G1301+G1304+G1311)/G1307*1000</f>
        <v>0.57928284037446742</v>
      </c>
    </row>
    <row r="1293" spans="2:27" x14ac:dyDescent="0.3">
      <c r="C1293" s="13" t="s">
        <v>61</v>
      </c>
      <c r="D1293" s="36">
        <f>G1314</f>
        <v>0.23756126692741339</v>
      </c>
    </row>
    <row r="1294" spans="2:27" x14ac:dyDescent="0.3">
      <c r="C1294" s="13" t="s">
        <v>73</v>
      </c>
      <c r="D1294" s="25">
        <f>SUM(G1313:AA1313)</f>
        <v>5.8468579016174971</v>
      </c>
    </row>
    <row r="1295" spans="2:27" ht="13.5" thickBot="1" x14ac:dyDescent="0.35">
      <c r="C1295" s="23" t="s">
        <v>68</v>
      </c>
      <c r="D1295" s="26">
        <f>G1333</f>
        <v>9.9701399642109889E-2</v>
      </c>
    </row>
    <row r="1296" spans="2:27" ht="13.5" hidden="1" outlineLevel="1" thickTop="1" x14ac:dyDescent="0.3">
      <c r="E1296" s="20"/>
      <c r="F1296" s="38" t="s">
        <v>75</v>
      </c>
    </row>
    <row r="1297" spans="3:27" hidden="1" outlineLevel="1" x14ac:dyDescent="0.3">
      <c r="C1297" s="11" t="s">
        <v>71</v>
      </c>
      <c r="F1297" s="13" t="s">
        <v>25</v>
      </c>
      <c r="G1297" s="14">
        <v>7.0000000000000007E-2</v>
      </c>
    </row>
    <row r="1298" spans="3:27" hidden="1" outlineLevel="1" x14ac:dyDescent="0.3">
      <c r="C1298" s="18" t="s">
        <v>53</v>
      </c>
      <c r="D1298" s="19">
        <f>分布式光伏电站IRR汇总!$B$2</f>
        <v>6</v>
      </c>
      <c r="F1298" s="13" t="s">
        <v>26</v>
      </c>
      <c r="G1298" s="14">
        <v>0.25</v>
      </c>
    </row>
    <row r="1299" spans="3:27" hidden="1" outlineLevel="1" x14ac:dyDescent="0.3">
      <c r="C1299" s="18" t="s">
        <v>56</v>
      </c>
      <c r="D1299" s="19">
        <f>分布式光伏电站IRR汇总!$B$3</f>
        <v>120</v>
      </c>
      <c r="F1299" s="1" t="s">
        <v>44</v>
      </c>
      <c r="G1299" s="4"/>
      <c r="H1299" s="5">
        <v>1</v>
      </c>
      <c r="I1299" s="5">
        <v>2</v>
      </c>
      <c r="J1299" s="5">
        <v>3</v>
      </c>
      <c r="K1299" s="5">
        <v>4</v>
      </c>
      <c r="L1299" s="5">
        <v>5</v>
      </c>
      <c r="M1299" s="5">
        <v>6</v>
      </c>
      <c r="N1299" s="5">
        <v>7</v>
      </c>
      <c r="O1299" s="5">
        <v>8</v>
      </c>
      <c r="P1299" s="5">
        <v>9</v>
      </c>
      <c r="Q1299" s="5">
        <v>10</v>
      </c>
      <c r="R1299" s="5">
        <v>11</v>
      </c>
      <c r="S1299" s="5">
        <v>12</v>
      </c>
      <c r="T1299" s="5">
        <v>13</v>
      </c>
      <c r="U1299" s="5">
        <v>14</v>
      </c>
      <c r="V1299" s="5">
        <v>15</v>
      </c>
      <c r="W1299" s="5">
        <v>16</v>
      </c>
      <c r="X1299" s="5">
        <v>17</v>
      </c>
      <c r="Y1299" s="5">
        <v>18</v>
      </c>
      <c r="Z1299" s="5">
        <v>19</v>
      </c>
      <c r="AA1299" s="5">
        <v>20</v>
      </c>
    </row>
    <row r="1300" spans="3:27" hidden="1" outlineLevel="1" x14ac:dyDescent="0.3">
      <c r="C1300" s="18" t="s">
        <v>57</v>
      </c>
      <c r="D1300" s="19">
        <f>分布式光伏电站IRR汇总!$B$4</f>
        <v>3</v>
      </c>
      <c r="F1300" s="16"/>
      <c r="G1300" s="2" t="s">
        <v>0</v>
      </c>
      <c r="H1300" s="2" t="s">
        <v>1</v>
      </c>
      <c r="I1300" s="2" t="s">
        <v>2</v>
      </c>
      <c r="J1300" s="2" t="s">
        <v>3</v>
      </c>
      <c r="K1300" s="2" t="s">
        <v>4</v>
      </c>
      <c r="L1300" s="2" t="s">
        <v>5</v>
      </c>
      <c r="M1300" s="2" t="s">
        <v>6</v>
      </c>
      <c r="N1300" s="2" t="s">
        <v>7</v>
      </c>
      <c r="O1300" s="2" t="s">
        <v>8</v>
      </c>
      <c r="P1300" s="2" t="s">
        <v>9</v>
      </c>
      <c r="Q1300" s="2" t="s">
        <v>10</v>
      </c>
      <c r="R1300" s="2" t="s">
        <v>11</v>
      </c>
      <c r="S1300" s="2" t="s">
        <v>12</v>
      </c>
      <c r="T1300" s="2" t="s">
        <v>13</v>
      </c>
      <c r="U1300" s="2" t="s">
        <v>45</v>
      </c>
      <c r="V1300" s="2" t="s">
        <v>46</v>
      </c>
      <c r="W1300" s="2" t="s">
        <v>47</v>
      </c>
      <c r="X1300" s="2" t="s">
        <v>48</v>
      </c>
      <c r="Y1300" s="2" t="s">
        <v>49</v>
      </c>
      <c r="Z1300" s="2" t="s">
        <v>50</v>
      </c>
      <c r="AA1300" s="2" t="s">
        <v>127</v>
      </c>
    </row>
    <row r="1301" spans="3:27" hidden="1" outlineLevel="1" x14ac:dyDescent="0.3">
      <c r="C1301" s="18" t="s">
        <v>54</v>
      </c>
      <c r="D1301" s="19">
        <f>分布式光伏电站IRR汇总!$B$5</f>
        <v>5</v>
      </c>
      <c r="F1301" s="6" t="s">
        <v>14</v>
      </c>
      <c r="G1301" s="33">
        <f>D1322</f>
        <v>24.611999999999995</v>
      </c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</row>
    <row r="1302" spans="3:27" hidden="1" outlineLevel="1" x14ac:dyDescent="0.3">
      <c r="C1302" s="18" t="s">
        <v>55</v>
      </c>
      <c r="D1302" s="19">
        <f>分布式光伏电站IRR汇总!$B$6</f>
        <v>15</v>
      </c>
      <c r="F1302" s="6" t="s">
        <v>15</v>
      </c>
      <c r="G1302" s="33">
        <f>SUM(H1303:AA1303)</f>
        <v>12.385144234005573</v>
      </c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  <c r="AA1302" s="33"/>
    </row>
    <row r="1303" spans="3:27" hidden="1" outlineLevel="1" x14ac:dyDescent="0.3">
      <c r="C1303" s="18" t="s">
        <v>42</v>
      </c>
      <c r="D1303" s="19">
        <f>分布式光伏电站IRR汇总!$B$7</f>
        <v>4.1019999999999994</v>
      </c>
      <c r="F1303" s="7" t="s">
        <v>16</v>
      </c>
      <c r="G1303" s="33"/>
      <c r="H1303" s="33">
        <f>D1322*(1-D1320)/D1316/((1+G1297)^H1299)</f>
        <v>1.0925887850467286</v>
      </c>
      <c r="I1303" s="33">
        <f>D1322*(1-D1320)/D1316/((1+G1297)^I1299)</f>
        <v>1.0211110140623632</v>
      </c>
      <c r="J1303" s="33">
        <f>D1322*(1-D1320)/D1316/((1+G1297)^J1299)</f>
        <v>0.95430935893678792</v>
      </c>
      <c r="K1303" s="33">
        <f>D1322*(1-D1320)/D1316/((1+G1297)^K1299)</f>
        <v>0.89187790554839996</v>
      </c>
      <c r="L1303" s="33">
        <f>D1322*(1-D1320)/D1316/((1+G1297)^L1299)</f>
        <v>0.83353075284897193</v>
      </c>
      <c r="M1303" s="33">
        <f>D1322*(1-D1320)/D1316/((1+G1297)^M1299)</f>
        <v>0.77900070359717</v>
      </c>
      <c r="N1303" s="33">
        <f>D1322*(1-D1320)/D1316/((1+G1297)^N1299)</f>
        <v>0.72803804074501866</v>
      </c>
      <c r="O1303" s="33">
        <f>D1322*(1-D1320)/D1316/((1+G1297)^O1299)</f>
        <v>0.6804093838738493</v>
      </c>
      <c r="P1303" s="33">
        <f>D1322*(1-D1320)/D1316/((1+G1297)^P1299)</f>
        <v>0.63589662044284967</v>
      </c>
      <c r="Q1303" s="33">
        <f>D1322*(1-D1320)/D1316/((1+G1297)^Q1299)</f>
        <v>0.59429590695593437</v>
      </c>
      <c r="R1303" s="33">
        <f>D1322*(1-D1320)/D1316/((1+G1297)^R1299)</f>
        <v>0.55541673547283577</v>
      </c>
      <c r="S1303" s="33">
        <f>D1322*(1-D1320)/D1316/((1+G1297)^S1299)</f>
        <v>0.51908106118956621</v>
      </c>
      <c r="T1303" s="33">
        <f>D1322*(1-D1320)/D1316/((1+G1297)^T1299)</f>
        <v>0.4851224870930525</v>
      </c>
      <c r="U1303" s="33">
        <f>D1322*(1-D1320)/D1316/((1+G1297)^U1299)</f>
        <v>0.45338550195612387</v>
      </c>
      <c r="V1303" s="33">
        <f>D1322*(1-D1320)/D1316/((1+G1297)^V1299)</f>
        <v>0.4237247681832933</v>
      </c>
      <c r="W1303" s="33">
        <f>D1322*(1-D1320)/D1316/((1+G1297)^W1299)</f>
        <v>0.39600445624606856</v>
      </c>
      <c r="X1303" s="33">
        <f>D1322*(1-D1320)/D1316/((1+G1297)^X1299)</f>
        <v>0.37009762265987711</v>
      </c>
      <c r="Y1303" s="33">
        <f>D1322*(1-D1320)/D1316/((1+G1297)^Y1299)</f>
        <v>0.34588562865409078</v>
      </c>
      <c r="Z1303" s="33">
        <f>D1322*(1-D1320)/D1316/((1+G1297)^Z1299)</f>
        <v>0.323257596872982</v>
      </c>
      <c r="AA1303" s="33">
        <f>D1322*(1-D1320)/D1316/((1+G1297)^AA1299)</f>
        <v>0.30210990361960938</v>
      </c>
    </row>
    <row r="1304" spans="3:27" hidden="1" outlineLevel="1" x14ac:dyDescent="0.3">
      <c r="C1304" s="21" t="s">
        <v>32</v>
      </c>
      <c r="D1304" s="19">
        <f>分布式光伏电站IRR汇总!$B$8</f>
        <v>1.8870000000000002</v>
      </c>
      <c r="F1304" s="6" t="s">
        <v>17</v>
      </c>
      <c r="G1304" s="33">
        <f>SUM(H1305:AA1305)</f>
        <v>2.5425634189238777</v>
      </c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/>
    </row>
    <row r="1305" spans="3:27" hidden="1" outlineLevel="1" x14ac:dyDescent="0.3">
      <c r="C1305" s="21" t="s">
        <v>33</v>
      </c>
      <c r="D1305" s="19">
        <f>分布式光伏电站IRR汇总!$B$9</f>
        <v>0.18500000000000003</v>
      </c>
      <c r="F1305" s="7" t="s">
        <v>18</v>
      </c>
      <c r="G1305" s="33"/>
      <c r="H1305" s="33">
        <f>D1319*D1298/((1+G1297)^H1299)</f>
        <v>0.22429906542056072</v>
      </c>
      <c r="I1305" s="33">
        <f>D1319*D1298/((1+G1297)^I1299)</f>
        <v>0.20962529478557079</v>
      </c>
      <c r="J1305" s="33">
        <f>D1319*D1298/((1+G1297)^J1299)</f>
        <v>0.19591149045380446</v>
      </c>
      <c r="K1305" s="33">
        <f>D1319*D1298/((1+G1297)^K1299)</f>
        <v>0.18309485089140604</v>
      </c>
      <c r="L1305" s="33">
        <f>D1319*D1298/((1+G1297)^L1299)</f>
        <v>0.17111668307608041</v>
      </c>
      <c r="M1305" s="33">
        <f>D1319*D1298/((1+G1297)^M1299)</f>
        <v>0.15992213371596301</v>
      </c>
      <c r="N1305" s="33">
        <f>D1319*D1298/((1+G1297)^N1299)</f>
        <v>0.14945993805230187</v>
      </c>
      <c r="O1305" s="33">
        <f>D1319*D1298/((1+G1297)^O1299)</f>
        <v>0.13968218509560923</v>
      </c>
      <c r="P1305" s="33">
        <f>D1319*D1298/((1+G1297)^P1299)</f>
        <v>0.13054409822019553</v>
      </c>
      <c r="Q1305" s="33">
        <f>D1319*D1298/((1+G1297)^Q1299)</f>
        <v>0.12200383011233226</v>
      </c>
      <c r="R1305" s="33">
        <f>D1319*D1298/((1+G1297)^R1299)</f>
        <v>0.1140222711330208</v>
      </c>
      <c r="S1305" s="33">
        <f>D1319*D1298/((1+G1297)^S1299)</f>
        <v>0.10656287021777647</v>
      </c>
      <c r="T1305" s="33">
        <f>D1319*D1298/((1+G1297)^T1299)</f>
        <v>9.9591467493249028E-2</v>
      </c>
      <c r="U1305" s="33">
        <f>D1319*D1298/((1+G1297)^U1299)</f>
        <v>9.3076137844157969E-2</v>
      </c>
      <c r="V1305" s="33">
        <f>D1319*D1298/((1+G1297)^V1299)</f>
        <v>8.6987044714166323E-2</v>
      </c>
      <c r="W1305" s="33">
        <f>D1319*D1298/((1+G1297)^W1299)</f>
        <v>8.1296303471183481E-2</v>
      </c>
      <c r="X1305" s="33">
        <f>D1319*D1298/((1+G1297)^X1299)</f>
        <v>7.5977853711386434E-2</v>
      </c>
      <c r="Y1305" s="33">
        <f>D1319*D1298/((1+G1297)^Y1299)</f>
        <v>7.1007339917183582E-2</v>
      </c>
      <c r="Z1305" s="33">
        <f>D1319*D1298/((1+G1297)^Z1299)</f>
        <v>6.6361999922601472E-2</v>
      </c>
      <c r="AA1305" s="33">
        <f>D1319*D1298/((1+G1297)^AA1299)</f>
        <v>6.2020560675328483E-2</v>
      </c>
    </row>
    <row r="1306" spans="3:27" hidden="1" outlineLevel="1" x14ac:dyDescent="0.3">
      <c r="C1306" s="21" t="s">
        <v>34</v>
      </c>
      <c r="D1306" s="19">
        <f>分布式光伏电站IRR汇总!$B$10</f>
        <v>0.222</v>
      </c>
      <c r="F1306" s="6" t="s">
        <v>19</v>
      </c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>
        <f>D1319*D1322/((1+G1297)^AA1299)</f>
        <v>0.2544083398901974</v>
      </c>
    </row>
    <row r="1307" spans="3:27" hidden="1" outlineLevel="1" x14ac:dyDescent="0.3">
      <c r="C1307" s="21" t="s">
        <v>35</v>
      </c>
      <c r="D1307" s="19">
        <f>分布式光伏电站IRR汇总!$B$11</f>
        <v>0.44400000000000001</v>
      </c>
      <c r="F1307" s="8" t="s">
        <v>64</v>
      </c>
      <c r="G1307" s="33">
        <f>SUM(H1308:AA1308)</f>
        <v>55917.572992719346</v>
      </c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/>
    </row>
    <row r="1308" spans="3:27" hidden="1" outlineLevel="1" x14ac:dyDescent="0.3">
      <c r="C1308" s="21" t="s">
        <v>36</v>
      </c>
      <c r="D1308" s="19">
        <f>分布式光伏电站IRR汇总!$B$12</f>
        <v>0.222</v>
      </c>
      <c r="F1308" s="9" t="s">
        <v>65</v>
      </c>
      <c r="G1308" s="33"/>
      <c r="H1308" s="33">
        <f>D1298*D1315*(1-D1317)*D1321/((1+G1297)^H1299)</f>
        <v>5096.8389532710271</v>
      </c>
      <c r="I1308" s="33">
        <f>D1298*D1315*(1-D1317)*(1-D1318)^(I1299-1)*D1321/((1+G1297)^I1299)</f>
        <v>4741.9655868984191</v>
      </c>
      <c r="J1308" s="33">
        <f>D1298*D1315*(1-D1317)*(1-D1318)^(J1299-1)*D1321/((1+G1297)^J1299)</f>
        <v>4411.8006932311928</v>
      </c>
      <c r="K1308" s="33">
        <f>D1298*D1315*(1-D1317)*(1-D1318)^(K1299-1)*D1321/((1+G1297)^K1299)</f>
        <v>4104.6239159921988</v>
      </c>
      <c r="L1308" s="33">
        <f>D1298*D1315*(1-D1317)*(1-D1318)^(L1299-1)*D1321/((1+G1297)^L1299)</f>
        <v>3818.8346807198445</v>
      </c>
      <c r="M1308" s="33">
        <f>D1298*D1315*(1-D1317)*(1-D1318)^(M1299-1)*D1321/((1+G1297)^M1299)</f>
        <v>3552.9438548192579</v>
      </c>
      <c r="N1308" s="33">
        <f>D1298*D1315*(1-D1317)*(1-D1318)^(N1299-1)*D1321/((1+G1297)^N1299)</f>
        <v>3305.5659882921227</v>
      </c>
      <c r="O1308" s="33">
        <f>D1298*D1315*(1-D1317)*(1-D1318)^(O1299-1)*D1321/((1+G1297)^O1299)</f>
        <v>3075.412094714774</v>
      </c>
      <c r="P1308" s="33">
        <f>D1298*D1315*(1-D1317)*(1-D1318)^(P1299-1)*D1321/((1+G1297)^P1299)</f>
        <v>2861.2829348491186</v>
      </c>
      <c r="Q1308" s="33">
        <f>D1298*D1315*(1-D1317)*(1-D1318)^(Q1299-1)*D1321/((1+G1297)^Q1299)</f>
        <v>2662.0627678899987</v>
      </c>
      <c r="R1308" s="33">
        <f>D1298*D1315*(1-D1317)*(1-D1318)^(R1299-1)*D1321/((1+G1297)^R1299)</f>
        <v>2476.7135377892459</v>
      </c>
      <c r="S1308" s="33">
        <f>D1298*D1315*(1-D1317)*(1-D1318)^(S1299-1)*D1321/((1+G1297)^S1299)</f>
        <v>2304.2694643637337</v>
      </c>
      <c r="T1308" s="33">
        <f>D1298*D1315*(1-D1317)*(1-D1318)^(T1299-1)*D1321/((1+G1297)^T1299)</f>
        <v>2143.8320110038289</v>
      </c>
      <c r="U1308" s="33">
        <f>D1298*D1315*(1-D1317)*(1-D1318)^(U1299-1)*D1321/((1+G1297)^U1299)</f>
        <v>1994.5652027610392</v>
      </c>
      <c r="V1308" s="33">
        <f>D1298*D1315*(1-D1317)*(1-D1318)^(V1299-1)*D1321/((1+G1297)^V1299)</f>
        <v>1855.6912704192655</v>
      </c>
      <c r="W1308" s="33">
        <f>D1298*D1315*(1-D1317)*(1-D1318)^(W1299-1)*D1321/((1+G1297)^W1299)</f>
        <v>1726.4865978526909</v>
      </c>
      <c r="X1308" s="33">
        <f>D1298*D1315*(1-D1317)*(1-D1318)^(X1299-1)*D1321/((1+G1297)^X1299)</f>
        <v>1606.277951553602</v>
      </c>
      <c r="Y1308" s="33">
        <f>D1298*D1315*(1-D1317)*(1-D1318)^(Y1299-1)*D1321/((1+G1297)^Y1299)</f>
        <v>1494.4389726837483</v>
      </c>
      <c r="Z1308" s="33">
        <f>D1298*D1315*(1-D1317)*(1-D1318)^(Z1299-1)*D1321/((1+G1297)^Z1299)</f>
        <v>1390.386913370721</v>
      </c>
      <c r="AA1308" s="33">
        <f>D1298*D1315*(1-D1317)*(1-D1318)^(AA1299-1)*D1321/((1+G1297)^AA1299)</f>
        <v>1293.5796002435077</v>
      </c>
    </row>
    <row r="1309" spans="3:27" hidden="1" outlineLevel="1" x14ac:dyDescent="0.3">
      <c r="C1309" s="21" t="s">
        <v>37</v>
      </c>
      <c r="D1309" s="19">
        <f>分布式光伏电站IRR汇总!$B$13</f>
        <v>0.15</v>
      </c>
      <c r="F1309" s="4" t="s">
        <v>66</v>
      </c>
      <c r="G1309" s="33">
        <f>SUM(H1310:AA1310)</f>
        <v>39.025992543078672</v>
      </c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</row>
    <row r="1310" spans="3:27" hidden="1" outlineLevel="1" x14ac:dyDescent="0.3">
      <c r="C1310" s="21" t="s">
        <v>38</v>
      </c>
      <c r="D1310" s="19">
        <f>分布式光伏电站IRR汇总!$B$14</f>
        <v>3.7000000000000005E-2</v>
      </c>
      <c r="F1310" s="7" t="s">
        <v>67</v>
      </c>
      <c r="G1310" s="33"/>
      <c r="H1310" s="33">
        <f>H1308*D1326/1000</f>
        <v>3.5571858422669154</v>
      </c>
      <c r="I1310" s="33">
        <f>I1308*D1326/1000</f>
        <v>3.3095126224081444</v>
      </c>
      <c r="J1310" s="33">
        <f>J1308*D1326/1000</f>
        <v>3.0790839398199141</v>
      </c>
      <c r="K1310" s="33">
        <f>K1308*D1326/1000</f>
        <v>2.8646991234492751</v>
      </c>
      <c r="L1310" s="33">
        <f>L1308*D1326/1000</f>
        <v>2.6652411003679939</v>
      </c>
      <c r="M1310" s="33">
        <f>M1308*D1326/1000</f>
        <v>2.4796705751554562</v>
      </c>
      <c r="N1310" s="33">
        <f>N1308*D1326/1000</f>
        <v>2.3070206145488381</v>
      </c>
      <c r="O1310" s="33">
        <f>O1308*D1326/1000</f>
        <v>2.1463916091433348</v>
      </c>
      <c r="P1310" s="33">
        <f>P1308*D1326/1000</f>
        <v>1.9969465858898969</v>
      </c>
      <c r="Q1310" s="33">
        <f>Q1308*D1326/1000</f>
        <v>1.8579068469657878</v>
      </c>
      <c r="R1310" s="33">
        <f>R1308*D1326/1000</f>
        <v>1.7285479122938705</v>
      </c>
      <c r="S1310" s="33">
        <f>S1308*D1326/1000</f>
        <v>1.6081957445687369</v>
      </c>
      <c r="T1310" s="33">
        <f>T1308*D1326/1000</f>
        <v>1.4962232371197921</v>
      </c>
      <c r="U1310" s="33">
        <f>U1308*D1326/1000</f>
        <v>1.3920469463109844</v>
      </c>
      <c r="V1310" s="33">
        <f>V1308*D1326/1000</f>
        <v>1.2951240514510136</v>
      </c>
      <c r="W1310" s="33">
        <f>W1308*D1326/1000</f>
        <v>1.2049495263733498</v>
      </c>
      <c r="X1310" s="33">
        <f>X1308*D1326/1000</f>
        <v>1.12105350794829</v>
      </c>
      <c r="Y1310" s="33">
        <f>Y1308*D1326/1000</f>
        <v>1.0429988478154417</v>
      </c>
      <c r="Z1310" s="33">
        <f>Z1308*D1326/1000</f>
        <v>0.97037883457969365</v>
      </c>
      <c r="AA1310" s="33">
        <f>AA1308*D1326/1000</f>
        <v>0.90281507460194887</v>
      </c>
    </row>
    <row r="1311" spans="3:27" hidden="1" outlineLevel="1" x14ac:dyDescent="0.3">
      <c r="C1311" s="21" t="s">
        <v>39</v>
      </c>
      <c r="D1311" s="19">
        <f>分布式光伏电站IRR汇总!$B$15</f>
        <v>0.25900000000000006</v>
      </c>
      <c r="F1311" s="4" t="s">
        <v>20</v>
      </c>
      <c r="G1311" s="33">
        <f>SUM(H1312:V1312)</f>
        <v>5.2375270911452034</v>
      </c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  <c r="AA1311" s="33"/>
    </row>
    <row r="1312" spans="3:27" hidden="1" outlineLevel="1" x14ac:dyDescent="0.3">
      <c r="C1312" s="21" t="s">
        <v>40</v>
      </c>
      <c r="D1312" s="19">
        <f>分布式光伏电站IRR汇总!$B$16</f>
        <v>7.400000000000001E-2</v>
      </c>
      <c r="F1312" s="7" t="s">
        <v>21</v>
      </c>
      <c r="G1312" s="33"/>
      <c r="H1312" s="33">
        <f>(H1310-H1303-H1305)*G1298</f>
        <v>0.56007449794990649</v>
      </c>
      <c r="I1312" s="33">
        <f>(I1310-I1303-I1305)*G1298</f>
        <v>0.51969407839005255</v>
      </c>
      <c r="J1312" s="33">
        <f>(J1310-J1303-J1305)*G1298</f>
        <v>0.4822157726073304</v>
      </c>
      <c r="K1312" s="33">
        <f>(K1310-K1303-K1305)*G1298</f>
        <v>0.4474315917523673</v>
      </c>
      <c r="L1312" s="33">
        <f>(L1310-L1303-L1305)*G1298</f>
        <v>0.41514841611073539</v>
      </c>
      <c r="M1312" s="33">
        <f>(M1310-M1303-M1305)*G1298</f>
        <v>0.38518693446058078</v>
      </c>
      <c r="N1312" s="33">
        <f>(N1310-N1303-N1305)*G1298</f>
        <v>0.3573806589378794</v>
      </c>
      <c r="O1312" s="33">
        <f>(O1310-O1303-O1305)*G1298</f>
        <v>0.33157501004346912</v>
      </c>
      <c r="P1312" s="33">
        <f>(P1310-P1303-P1305)*G1298</f>
        <v>0.30762646680671291</v>
      </c>
      <c r="Q1312" s="33">
        <f>(Q1310-Q1303-Q1305)*G1298</f>
        <v>0.28540177747438028</v>
      </c>
      <c r="R1312" s="33">
        <f>(R1310-R1303-R1305)*G1298</f>
        <v>0.26477722642200352</v>
      </c>
      <c r="S1312" s="33">
        <f>(S1310-S1303-S1305)*G1298</f>
        <v>0.24563795329034857</v>
      </c>
      <c r="T1312" s="33">
        <f>(T1310-T1303-T1305)*G1298</f>
        <v>0.22787732063337268</v>
      </c>
      <c r="U1312" s="33">
        <f>(U1310-U1303-U1305)*G1298</f>
        <v>0.2113963266276756</v>
      </c>
      <c r="V1312" s="33">
        <f>(V1310-V1303-V1305)*G1298</f>
        <v>0.1961030596383885</v>
      </c>
      <c r="W1312" s="33">
        <f>(W1310-W1303-W1305)*G1298</f>
        <v>0.18191219166402448</v>
      </c>
      <c r="X1312" s="33">
        <f>(X1310-X1303-X1305)*G1298</f>
        <v>0.1687445078942566</v>
      </c>
      <c r="Y1312" s="33">
        <f>(Y1310-Y1303-Y1305)*G1298</f>
        <v>0.15652646981104185</v>
      </c>
      <c r="Z1312" s="33">
        <f>(Z1310-Z1303-Z1305)*G1298</f>
        <v>0.14518980944602755</v>
      </c>
      <c r="AA1312" s="33">
        <f>(AA1310-AA1303-AA1305)*G1298</f>
        <v>0.13467115257675275</v>
      </c>
    </row>
    <row r="1313" spans="3:27" hidden="1" outlineLevel="1" x14ac:dyDescent="0.3">
      <c r="C1313" s="21" t="s">
        <v>41</v>
      </c>
      <c r="D1313" s="19">
        <f>分布式光伏电站IRR汇总!$B$17</f>
        <v>0.222</v>
      </c>
      <c r="F1313" s="10" t="s">
        <v>22</v>
      </c>
      <c r="G1313" s="33">
        <f>-G1301</f>
        <v>-24.611999999999995</v>
      </c>
      <c r="H1313" s="33">
        <f t="shared" ref="H1313:AA1313" si="470">H1310-H1312-H1305</f>
        <v>2.7728122788964482</v>
      </c>
      <c r="I1313" s="33">
        <f t="shared" si="470"/>
        <v>2.5801932492325212</v>
      </c>
      <c r="J1313" s="33">
        <f t="shared" si="470"/>
        <v>2.4009566767587796</v>
      </c>
      <c r="K1313" s="33">
        <f t="shared" si="470"/>
        <v>2.2341726808055018</v>
      </c>
      <c r="L1313" s="33">
        <f t="shared" si="470"/>
        <v>2.0789760011811778</v>
      </c>
      <c r="M1313" s="33">
        <f t="shared" si="470"/>
        <v>1.9345615069789122</v>
      </c>
      <c r="N1313" s="33">
        <f t="shared" si="470"/>
        <v>1.8001800175586569</v>
      </c>
      <c r="O1313" s="33">
        <f t="shared" si="470"/>
        <v>1.6751344140042566</v>
      </c>
      <c r="P1313" s="33">
        <f t="shared" si="470"/>
        <v>1.5587760208629886</v>
      </c>
      <c r="Q1313" s="33">
        <f t="shared" si="470"/>
        <v>1.4505012393790753</v>
      </c>
      <c r="R1313" s="33">
        <f t="shared" si="470"/>
        <v>1.3497484147388463</v>
      </c>
      <c r="S1313" s="33">
        <f t="shared" si="470"/>
        <v>1.2559949210606118</v>
      </c>
      <c r="T1313" s="33">
        <f t="shared" si="470"/>
        <v>1.1687544489931705</v>
      </c>
      <c r="U1313" s="33">
        <f t="shared" si="470"/>
        <v>1.0875744818391506</v>
      </c>
      <c r="V1313" s="33">
        <f t="shared" si="470"/>
        <v>1.0120339470984587</v>
      </c>
      <c r="W1313" s="33">
        <f t="shared" si="470"/>
        <v>0.9417410312381419</v>
      </c>
      <c r="X1313" s="33">
        <f t="shared" si="470"/>
        <v>0.87633114634264686</v>
      </c>
      <c r="Y1313" s="33">
        <f t="shared" si="470"/>
        <v>0.81546503808721638</v>
      </c>
      <c r="Z1313" s="33">
        <f t="shared" si="470"/>
        <v>0.7588270252110646</v>
      </c>
      <c r="AA1313" s="33">
        <f t="shared" si="470"/>
        <v>0.70612336134986764</v>
      </c>
    </row>
    <row r="1314" spans="3:27" ht="13.5" hidden="1" outlineLevel="1" thickBot="1" x14ac:dyDescent="0.35">
      <c r="C1314" s="21" t="s">
        <v>74</v>
      </c>
      <c r="D1314" s="19">
        <f>分布式光伏电站IRR汇总!$B$18</f>
        <v>0.4</v>
      </c>
      <c r="F1314" s="3" t="s">
        <v>61</v>
      </c>
      <c r="G1314" s="35">
        <f>SUM(G1313:AA1313)/G1301</f>
        <v>0.23756126692741339</v>
      </c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</row>
    <row r="1315" spans="3:27" ht="13.5" hidden="1" outlineLevel="1" thickTop="1" x14ac:dyDescent="0.3">
      <c r="C1315" s="18" t="s">
        <v>58</v>
      </c>
      <c r="D1315" s="19">
        <f>分布式光伏电站IRR汇总!$B$19</f>
        <v>0.86599999999999999</v>
      </c>
    </row>
    <row r="1316" spans="3:27" hidden="1" outlineLevel="1" x14ac:dyDescent="0.3">
      <c r="C1316" s="18" t="s">
        <v>62</v>
      </c>
      <c r="D1316" s="19">
        <f>分布式光伏电站IRR汇总!$B$20</f>
        <v>20</v>
      </c>
      <c r="F1316" s="13" t="s">
        <v>25</v>
      </c>
      <c r="G1316" s="14">
        <v>0</v>
      </c>
    </row>
    <row r="1317" spans="3:27" hidden="1" outlineLevel="1" x14ac:dyDescent="0.3">
      <c r="C1317" s="18" t="s">
        <v>59</v>
      </c>
      <c r="D1317" s="52">
        <f>分布式光伏电站IRR汇总!$B$21</f>
        <v>0.02</v>
      </c>
      <c r="F1317" s="13" t="s">
        <v>26</v>
      </c>
      <c r="G1317" s="14">
        <v>0.25</v>
      </c>
      <c r="Q1317" s="15"/>
    </row>
    <row r="1318" spans="3:27" hidden="1" outlineLevel="1" x14ac:dyDescent="0.3">
      <c r="C1318" s="18" t="s">
        <v>60</v>
      </c>
      <c r="D1318" s="52">
        <f>分布式光伏电站IRR汇总!$B$22</f>
        <v>4.4999999999999997E-3</v>
      </c>
      <c r="F1318" s="1" t="s">
        <v>44</v>
      </c>
      <c r="G1318" s="4"/>
      <c r="H1318" s="5">
        <v>1</v>
      </c>
      <c r="I1318" s="5">
        <v>2</v>
      </c>
      <c r="J1318" s="5">
        <v>3</v>
      </c>
      <c r="K1318" s="5">
        <v>4</v>
      </c>
      <c r="L1318" s="5">
        <v>5</v>
      </c>
      <c r="M1318" s="5">
        <v>6</v>
      </c>
      <c r="N1318" s="5">
        <v>7</v>
      </c>
      <c r="O1318" s="5">
        <v>8</v>
      </c>
      <c r="P1318" s="5">
        <v>9</v>
      </c>
      <c r="Q1318" s="5">
        <v>10</v>
      </c>
      <c r="R1318" s="5">
        <v>11</v>
      </c>
      <c r="S1318" s="5">
        <v>12</v>
      </c>
      <c r="T1318" s="5">
        <v>13</v>
      </c>
      <c r="U1318" s="5">
        <v>14</v>
      </c>
      <c r="V1318" s="5">
        <v>15</v>
      </c>
      <c r="W1318" s="5">
        <v>16</v>
      </c>
      <c r="X1318" s="5">
        <v>17</v>
      </c>
      <c r="Y1318" s="5">
        <v>18</v>
      </c>
      <c r="Z1318" s="5">
        <v>19</v>
      </c>
      <c r="AA1318" s="5">
        <v>20</v>
      </c>
    </row>
    <row r="1319" spans="3:27" hidden="1" outlineLevel="1" x14ac:dyDescent="0.3">
      <c r="C1319" s="18" t="s">
        <v>28</v>
      </c>
      <c r="D1319" s="29">
        <f>分布式光伏电站IRR汇总!$B$23</f>
        <v>0.04</v>
      </c>
      <c r="F1319" s="16"/>
      <c r="G1319" s="2" t="s">
        <v>0</v>
      </c>
      <c r="H1319" s="2" t="s">
        <v>1</v>
      </c>
      <c r="I1319" s="2" t="s">
        <v>2</v>
      </c>
      <c r="J1319" s="2" t="s">
        <v>3</v>
      </c>
      <c r="K1319" s="2" t="s">
        <v>4</v>
      </c>
      <c r="L1319" s="2" t="s">
        <v>5</v>
      </c>
      <c r="M1319" s="2" t="s">
        <v>6</v>
      </c>
      <c r="N1319" s="2" t="s">
        <v>7</v>
      </c>
      <c r="O1319" s="2" t="s">
        <v>8</v>
      </c>
      <c r="P1319" s="2" t="s">
        <v>9</v>
      </c>
      <c r="Q1319" s="2" t="s">
        <v>10</v>
      </c>
      <c r="R1319" s="2" t="s">
        <v>11</v>
      </c>
      <c r="S1319" s="2" t="s">
        <v>12</v>
      </c>
      <c r="T1319" s="2" t="s">
        <v>13</v>
      </c>
      <c r="U1319" s="2" t="s">
        <v>45</v>
      </c>
      <c r="V1319" s="2" t="s">
        <v>46</v>
      </c>
      <c r="W1319" s="2" t="s">
        <v>47</v>
      </c>
      <c r="X1319" s="2" t="s">
        <v>48</v>
      </c>
      <c r="Y1319" s="2" t="s">
        <v>49</v>
      </c>
      <c r="Z1319" s="2" t="s">
        <v>50</v>
      </c>
      <c r="AA1319" s="2" t="s">
        <v>51</v>
      </c>
    </row>
    <row r="1320" spans="3:27" hidden="1" outlineLevel="1" x14ac:dyDescent="0.3">
      <c r="C1320" s="18" t="s">
        <v>43</v>
      </c>
      <c r="D1320" s="19">
        <f>分布式光伏电站IRR汇总!$B$24</f>
        <v>0.05</v>
      </c>
      <c r="F1320" s="6" t="s">
        <v>14</v>
      </c>
      <c r="G1320" s="33">
        <f>D1322</f>
        <v>24.611999999999995</v>
      </c>
      <c r="H1320" s="33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  <c r="AA1320" s="33"/>
    </row>
    <row r="1321" spans="3:27" hidden="1" outlineLevel="1" x14ac:dyDescent="0.3">
      <c r="C1321" s="18" t="s">
        <v>126</v>
      </c>
      <c r="D1321" s="28">
        <f>Backup分地区光伏小时数及电价!E29</f>
        <v>1071</v>
      </c>
      <c r="F1321" s="6" t="s">
        <v>15</v>
      </c>
      <c r="G1321" s="33">
        <f>SUM(H1322:AA1322)</f>
        <v>23.381399999999985</v>
      </c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</row>
    <row r="1322" spans="3:27" hidden="1" outlineLevel="1" x14ac:dyDescent="0.3">
      <c r="C1322" s="24" t="s">
        <v>14</v>
      </c>
      <c r="D1322" s="30">
        <f>D1298*D1303</f>
        <v>24.611999999999995</v>
      </c>
      <c r="F1322" s="7" t="s">
        <v>16</v>
      </c>
      <c r="G1322" s="33"/>
      <c r="H1322" s="33">
        <f>D1322*(1-D1320)/D1316/((1+G1316)^H1318)</f>
        <v>1.1690699999999996</v>
      </c>
      <c r="I1322" s="33">
        <f>D1322*(1-D1320)/D1316/((1+G1316)^I1318)</f>
        <v>1.1690699999999996</v>
      </c>
      <c r="J1322" s="33">
        <f>D1322*(1-D1320)/D1316/((1+G1316)^J1318)</f>
        <v>1.1690699999999996</v>
      </c>
      <c r="K1322" s="33">
        <f>D1322*(1-D1320)/D1316/((1+G1316)^K1318)</f>
        <v>1.1690699999999996</v>
      </c>
      <c r="L1322" s="33">
        <f>D1322*(1-D1320)/D1316/((1+G1316)^L1318)</f>
        <v>1.1690699999999996</v>
      </c>
      <c r="M1322" s="33">
        <f>D1322*(1-D1320)/D1316/((1+G1316)^M1318)</f>
        <v>1.1690699999999996</v>
      </c>
      <c r="N1322" s="33">
        <f>D1322*(1-D1320)/D1316/((1+G1316)^N1318)</f>
        <v>1.1690699999999996</v>
      </c>
      <c r="O1322" s="33">
        <f>D1322*(1-D1320)/D1316/((1+G1316)^O1318)</f>
        <v>1.1690699999999996</v>
      </c>
      <c r="P1322" s="33">
        <f>D1322*(1-D1320)/D1316/((1+G1316)^P1318)</f>
        <v>1.1690699999999996</v>
      </c>
      <c r="Q1322" s="33">
        <f>D1322*(1-D1320)/D1316/((1+G1316)^Q1318)</f>
        <v>1.1690699999999996</v>
      </c>
      <c r="R1322" s="33">
        <f>D1322*(1-D1320)/D1316/((1+G1316)^R1318)</f>
        <v>1.1690699999999996</v>
      </c>
      <c r="S1322" s="33">
        <f>D1322*(1-D1320)/D1316/((1+G1316)^S1318)</f>
        <v>1.1690699999999996</v>
      </c>
      <c r="T1322" s="33">
        <f>D1322*(1-D1320)/D1316/((1+G1316)^T1318)</f>
        <v>1.1690699999999996</v>
      </c>
      <c r="U1322" s="33">
        <f>D1322*(1-D1320)/D1316/((1+G1316)^U1318)</f>
        <v>1.1690699999999996</v>
      </c>
      <c r="V1322" s="33">
        <f>D1322*(1-D1320)/D1316/((1+G1316)^V1318)</f>
        <v>1.1690699999999996</v>
      </c>
      <c r="W1322" s="33">
        <f>D1322*(1-D1320)/D1316/((1+G1316)^W1318)</f>
        <v>1.1690699999999996</v>
      </c>
      <c r="X1322" s="33">
        <f>D1322*(1-D1320)/D1316/((1+G1316)^X1318)</f>
        <v>1.1690699999999996</v>
      </c>
      <c r="Y1322" s="33">
        <f>D1322*(1-D1320)/D1316/((1+G1316)^Y1318)</f>
        <v>1.1690699999999996</v>
      </c>
      <c r="Z1322" s="33">
        <f>D1322*(1-D1320)/D1316/((1+G1316)^Z1318)</f>
        <v>1.1690699999999996</v>
      </c>
      <c r="AA1322" s="33">
        <f>D1322*(1-D1320)/D1316/((1+G1316)^AA1318)</f>
        <v>1.1690699999999996</v>
      </c>
    </row>
    <row r="1323" spans="3:27" hidden="1" outlineLevel="1" x14ac:dyDescent="0.3">
      <c r="C1323" s="18" t="s">
        <v>29</v>
      </c>
      <c r="D1323" s="29">
        <v>0.35980000000000001</v>
      </c>
      <c r="F1323" s="6" t="s">
        <v>17</v>
      </c>
      <c r="G1323" s="33">
        <f>SUM(H1324:AA1324)</f>
        <v>4.8000000000000025</v>
      </c>
      <c r="H1323" s="33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  <c r="AA1323" s="33"/>
    </row>
    <row r="1324" spans="3:27" hidden="1" outlineLevel="1" x14ac:dyDescent="0.3">
      <c r="C1324" s="18" t="s">
        <v>30</v>
      </c>
      <c r="D1324" s="31">
        <f>Backup分地区光伏小时数及电价!I29</f>
        <v>0.69791999999999998</v>
      </c>
      <c r="F1324" s="7" t="s">
        <v>18</v>
      </c>
      <c r="G1324" s="33"/>
      <c r="H1324" s="33">
        <f>D1319*D1298/((1+G1316)^H1318)</f>
        <v>0.24</v>
      </c>
      <c r="I1324" s="33">
        <f>D1319*D1298/((1+G1316)^I1318)</f>
        <v>0.24</v>
      </c>
      <c r="J1324" s="33">
        <f>D1319*D1298/((1+G1316)^J1318)</f>
        <v>0.24</v>
      </c>
      <c r="K1324" s="33">
        <f>D1319*D1298/((1+G1316)^K1318)</f>
        <v>0.24</v>
      </c>
      <c r="L1324" s="33">
        <f>D1319*D1298/((1+G1316)^L1318)</f>
        <v>0.24</v>
      </c>
      <c r="M1324" s="33">
        <f>D1319*D1298/((1+G1316)^M1318)</f>
        <v>0.24</v>
      </c>
      <c r="N1324" s="33">
        <f>D1319*D1298/((1+G1316)^N1318)</f>
        <v>0.24</v>
      </c>
      <c r="O1324" s="33">
        <f>D1319*D1298/((1+G1316)^O1318)</f>
        <v>0.24</v>
      </c>
      <c r="P1324" s="33">
        <f>D1319*D1298/((1+G1316)^P1318)</f>
        <v>0.24</v>
      </c>
      <c r="Q1324" s="33">
        <f>D1319*D1298/((1+G1316)^Q1318)</f>
        <v>0.24</v>
      </c>
      <c r="R1324" s="33">
        <f>D1319*D1298/((1+G1316)^R1318)</f>
        <v>0.24</v>
      </c>
      <c r="S1324" s="33">
        <f>D1319*D1298/((1+G1316)^S1318)</f>
        <v>0.24</v>
      </c>
      <c r="T1324" s="33">
        <f>D1319*D1298/((1+G1316)^T1318)</f>
        <v>0.24</v>
      </c>
      <c r="U1324" s="33">
        <f>D1319*D1298/((1+G1316)^U1318)</f>
        <v>0.24</v>
      </c>
      <c r="V1324" s="33">
        <f>D1319*D1298/((1+G1316)^V1318)</f>
        <v>0.24</v>
      </c>
      <c r="W1324" s="33">
        <f>D1319*D1298/((1+G1316)^W1318)</f>
        <v>0.24</v>
      </c>
      <c r="X1324" s="33">
        <f>D1319*D1298/((1+G1316)^X1318)</f>
        <v>0.24</v>
      </c>
      <c r="Y1324" s="33">
        <f>D1319*D1298/((1+G1316)^Y1318)</f>
        <v>0.24</v>
      </c>
      <c r="Z1324" s="33">
        <f>D1319*D1298/((1+G1316)^Z1318)</f>
        <v>0.24</v>
      </c>
      <c r="AA1324" s="33">
        <f>D1319*D1298/((1+G1316)^AA1318)</f>
        <v>0.24</v>
      </c>
    </row>
    <row r="1325" spans="3:27" hidden="1" outlineLevel="1" x14ac:dyDescent="0.3">
      <c r="C1325" s="18" t="s">
        <v>70</v>
      </c>
      <c r="D1325" s="32">
        <f>分布式光伏电站IRR汇总!$B$27</f>
        <v>1</v>
      </c>
      <c r="F1325" s="6" t="s">
        <v>19</v>
      </c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>
        <f>D1319*D1322/((1+G1316)^AA1318)</f>
        <v>0.9844799999999998</v>
      </c>
    </row>
    <row r="1326" spans="3:27" hidden="1" outlineLevel="1" x14ac:dyDescent="0.3">
      <c r="C1326" s="18" t="s">
        <v>69</v>
      </c>
      <c r="D1326" s="31">
        <f>D1325*D1324</f>
        <v>0.69791999999999998</v>
      </c>
      <c r="F1326" s="8" t="s">
        <v>64</v>
      </c>
      <c r="G1326" s="33">
        <f>SUM(H1327:AA1327)</f>
        <v>104533.03375752285</v>
      </c>
      <c r="H1326" s="33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  <c r="AA1326" s="33"/>
    </row>
    <row r="1327" spans="3:27" hidden="1" outlineLevel="1" x14ac:dyDescent="0.3">
      <c r="C1327" s="18" t="s">
        <v>31</v>
      </c>
      <c r="D1327" s="27">
        <v>0</v>
      </c>
      <c r="F1327" s="9" t="s">
        <v>65</v>
      </c>
      <c r="G1327" s="33"/>
      <c r="H1327" s="33">
        <f>D1298*D1315*(1-D1317)*D1321/((1+G1316)^H1318)</f>
        <v>5453.6176799999994</v>
      </c>
      <c r="I1327" s="33">
        <f>D1298*D1315*(1-D1317)*(1-D1318)^(I1318-1)*D1321/((1+G1316)^I1318)</f>
        <v>5429.0764004399998</v>
      </c>
      <c r="J1327" s="33">
        <f>D1298*D1315*(1-D1317)*(1-D1318)^(J1318-1)*D1321/((1+G1316)^J1318)</f>
        <v>5404.64555663802</v>
      </c>
      <c r="K1327" s="33">
        <f>D1298*D1315*(1-D1317)*(1-D1318)^(K1318-1)*D1321/((1+G1316)^K1318)</f>
        <v>5380.3246516331492</v>
      </c>
      <c r="L1327" s="33">
        <f>D1298*D1315*(1-D1317)*(1-D1318)^(L1318-1)*D1321/((1+G1316)^L1318)</f>
        <v>5356.1131907008003</v>
      </c>
      <c r="M1327" s="33">
        <f>D1298*D1315*(1-D1317)*(1-D1318)^(M1318-1)*D1321/((1+G1316)^M1318)</f>
        <v>5332.0106813426473</v>
      </c>
      <c r="N1327" s="33">
        <f>D1298*D1315*(1-D1317)*(1-D1318)^(N1318-1)*D1321/((1+G1316)^N1318)</f>
        <v>5308.0166332766057</v>
      </c>
      <c r="O1327" s="33">
        <f>D1298*D1315*(1-D1317)*(1-D1318)^(O1318-1)*D1321/((1+G1316)^O1318)</f>
        <v>5284.1305584268612</v>
      </c>
      <c r="P1327" s="33">
        <f>D1298*D1315*(1-D1317)*(1-D1318)^(P1318-1)*D1321/((1+G1316)^P1318)</f>
        <v>5260.35197091394</v>
      </c>
      <c r="Q1327" s="33">
        <f>D1298*D1315*(1-D1317)*(1-D1318)^(Q1318-1)*D1321/((1+G1316)^Q1318)</f>
        <v>5236.6803870448284</v>
      </c>
      <c r="R1327" s="33">
        <f>D1298*D1315*(1-D1317)*(1-D1318)^(R1318-1)*D1321/((1+G1316)^R1318)</f>
        <v>5213.1153253031271</v>
      </c>
      <c r="S1327" s="33">
        <f>D1298*D1315*(1-D1317)*(1-D1318)^(S1318-1)*D1321/((1+G1316)^S1318)</f>
        <v>5189.6563063392632</v>
      </c>
      <c r="T1327" s="33">
        <f>D1298*D1315*(1-D1317)*(1-D1318)^(T1318-1)*D1321/((1+G1316)^T1318)</f>
        <v>5166.3028529607373</v>
      </c>
      <c r="U1327" s="33">
        <f>D1298*D1315*(1-D1317)*(1-D1318)^(U1318-1)*D1321/((1+G1316)^U1318)</f>
        <v>5143.0544901224139</v>
      </c>
      <c r="V1327" s="33">
        <f>D1298*D1315*(1-D1317)*(1-D1318)^(V1318-1)*D1321/((1+G1316)^V1318)</f>
        <v>5119.9107449168623</v>
      </c>
      <c r="W1327" s="33">
        <f>D1298*D1315*(1-D1317)*(1-D1318)^(W1318-1)*D1321/((1+G1316)^W1318)</f>
        <v>5096.8711465647375</v>
      </c>
      <c r="X1327" s="33">
        <f>D1298*D1315*(1-D1317)*(1-D1318)^(X1318-1)*D1321/((1+G1316)^X1318)</f>
        <v>5073.9352264051968</v>
      </c>
      <c r="Y1327" s="33">
        <f>D1298*D1315*(1-D1317)*(1-D1318)^(Y1318-1)*D1321/((1+G1316)^Y1318)</f>
        <v>5051.1025178863729</v>
      </c>
      <c r="Z1327" s="33">
        <f>D1298*D1315*(1-D1317)*(1-D1318)^(Z1318-1)*D1321/((1+G1316)^Z1318)</f>
        <v>5028.3725565558852</v>
      </c>
      <c r="AA1327" s="33">
        <f>D1298*D1315*(1-D1317)*(1-D1318)^(AA1318-1)*D1321/((1+G1316)^AA1318)</f>
        <v>5005.7448800513848</v>
      </c>
    </row>
    <row r="1328" spans="3:27" hidden="1" outlineLevel="1" x14ac:dyDescent="0.3">
      <c r="F1328" s="4" t="s">
        <v>66</v>
      </c>
      <c r="G1328" s="33">
        <f>SUM(H1329:AA1329)</f>
        <v>72.955694920050334</v>
      </c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  <c r="AA1328" s="33"/>
    </row>
    <row r="1329" spans="2:27" hidden="1" outlineLevel="1" x14ac:dyDescent="0.3">
      <c r="F1329" s="7" t="s">
        <v>67</v>
      </c>
      <c r="G1329" s="33"/>
      <c r="H1329" s="33">
        <f>H1327*D1326/1000</f>
        <v>3.8061888512255995</v>
      </c>
      <c r="I1329" s="33">
        <f>I1327*D1326/1000</f>
        <v>3.7890610013950847</v>
      </c>
      <c r="J1329" s="33">
        <f>J1327*D1326/1000</f>
        <v>3.7720102268888067</v>
      </c>
      <c r="K1329" s="33">
        <f>K1327*D1326/1000</f>
        <v>3.7550361808678074</v>
      </c>
      <c r="L1329" s="33">
        <f>L1327*D1326/1000</f>
        <v>3.7381385180539022</v>
      </c>
      <c r="M1329" s="33">
        <f>M1327*D1326/1000</f>
        <v>3.7213168947226603</v>
      </c>
      <c r="N1329" s="33">
        <f>N1327*D1326/1000</f>
        <v>3.7045709686964088</v>
      </c>
      <c r="O1329" s="33">
        <f>O1327*D1326/1000</f>
        <v>3.6879003993372748</v>
      </c>
      <c r="P1329" s="33">
        <f>P1327*D1326/1000</f>
        <v>3.6713048475402572</v>
      </c>
      <c r="Q1329" s="33">
        <f>Q1327*D1326/1000</f>
        <v>3.6547839757263265</v>
      </c>
      <c r="R1329" s="33">
        <f>R1327*D1326/1000</f>
        <v>3.6383374478355588</v>
      </c>
      <c r="S1329" s="33">
        <f>S1327*D1326/1000</f>
        <v>3.6219649293202982</v>
      </c>
      <c r="T1329" s="33">
        <f>T1327*D1326/1000</f>
        <v>3.6056660871383577</v>
      </c>
      <c r="U1329" s="33">
        <f>U1327*D1326/1000</f>
        <v>3.5894405897462351</v>
      </c>
      <c r="V1329" s="33">
        <f>V1327*D1326/1000</f>
        <v>3.5732881070923765</v>
      </c>
      <c r="W1329" s="33">
        <f>W1327*D1326/1000</f>
        <v>3.5572083106104615</v>
      </c>
      <c r="X1329" s="33">
        <f>X1327*D1326/1000</f>
        <v>3.5412008732127145</v>
      </c>
      <c r="Y1329" s="33">
        <f>Y1327*D1326/1000</f>
        <v>3.5252654692832572</v>
      </c>
      <c r="Z1329" s="33">
        <f>Z1327*D1326/1000</f>
        <v>3.5094017746714834</v>
      </c>
      <c r="AA1329" s="33">
        <f>AA1327*D1326/1000</f>
        <v>3.4936094666854625</v>
      </c>
    </row>
    <row r="1330" spans="2:27" hidden="1" outlineLevel="1" x14ac:dyDescent="0.3">
      <c r="F1330" s="4" t="s">
        <v>20</v>
      </c>
      <c r="G1330" s="33">
        <f>SUM(H1331:AA1331)</f>
        <v>11.193573730012583</v>
      </c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</row>
    <row r="1331" spans="2:27" hidden="1" outlineLevel="1" x14ac:dyDescent="0.3">
      <c r="F1331" s="7" t="s">
        <v>21</v>
      </c>
      <c r="G1331" s="33"/>
      <c r="H1331" s="33">
        <f>(H1329-H1322-H1324)*G1317</f>
        <v>0.59927971280640002</v>
      </c>
      <c r="I1331" s="33">
        <f>(I1329-I1322-I1324)*G1317</f>
        <v>0.59499775034877134</v>
      </c>
      <c r="J1331" s="33">
        <f>(J1329-J1322-J1324)*G1317</f>
        <v>0.59073505672220183</v>
      </c>
      <c r="K1331" s="33">
        <f>(K1329-K1322-K1324)*G1317</f>
        <v>0.5864915452169519</v>
      </c>
      <c r="L1331" s="33">
        <f>(L1329-L1322-L1324)*G1317</f>
        <v>0.58226712951347559</v>
      </c>
      <c r="M1331" s="33">
        <f>(M1329-M1322-M1324)*G1317</f>
        <v>0.57806172368066511</v>
      </c>
      <c r="N1331" s="33">
        <f>(N1329-N1322-N1324)*G1317</f>
        <v>0.57387524217410224</v>
      </c>
      <c r="O1331" s="33">
        <f>(O1329-O1322-O1324)*G1317</f>
        <v>0.56970759983431885</v>
      </c>
      <c r="P1331" s="33">
        <f>(P1329-P1322-P1324)*G1317</f>
        <v>0.56555871188506446</v>
      </c>
      <c r="Q1331" s="33">
        <f>(Q1329-Q1322-Q1324)*G1317</f>
        <v>0.56142849393158167</v>
      </c>
      <c r="R1331" s="33">
        <f>(R1329-R1322-R1324)*G1317</f>
        <v>0.55731686195888974</v>
      </c>
      <c r="S1331" s="33">
        <f>(S1329-S1322-S1324)*G1317</f>
        <v>0.5532237323300746</v>
      </c>
      <c r="T1331" s="33">
        <f>(T1329-T1322-T1324)*G1317</f>
        <v>0.54914902178458957</v>
      </c>
      <c r="U1331" s="33">
        <f>(U1329-U1322-U1324)*G1317</f>
        <v>0.54509264743655894</v>
      </c>
      <c r="V1331" s="33">
        <f>(V1329-V1322-V1324)*G1317</f>
        <v>0.54105452677309418</v>
      </c>
      <c r="W1331" s="33">
        <f>(W1329-W1322-W1324)*G1317</f>
        <v>0.53703457765261553</v>
      </c>
      <c r="X1331" s="33">
        <f>(X1329-X1322-X1324)*G1317</f>
        <v>0.53303271830317867</v>
      </c>
      <c r="Y1331" s="33">
        <f>(Y1329-Y1322-Y1324)*G1317</f>
        <v>0.52904886732081446</v>
      </c>
      <c r="Z1331" s="33">
        <f>(Z1329-Z1322-Z1324)*G1317</f>
        <v>0.525082943667871</v>
      </c>
      <c r="AA1331" s="33">
        <f>(AA1329-AA1322-AA1324)*G1317</f>
        <v>0.52113486667136577</v>
      </c>
    </row>
    <row r="1332" spans="2:27" hidden="1" outlineLevel="1" x14ac:dyDescent="0.3">
      <c r="F1332" s="10" t="s">
        <v>22</v>
      </c>
      <c r="G1332" s="33">
        <f>-G1320</f>
        <v>-24.611999999999995</v>
      </c>
      <c r="H1332" s="33">
        <f>H1329-H1331-H1324</f>
        <v>2.966909138419199</v>
      </c>
      <c r="I1332" s="33">
        <f t="shared" ref="I1332" si="471">I1329-I1331-I1324</f>
        <v>2.9540632510463132</v>
      </c>
      <c r="J1332" s="33">
        <f t="shared" ref="J1332" si="472">J1329-J1331-J1324</f>
        <v>2.9412751701666044</v>
      </c>
      <c r="K1332" s="33">
        <f t="shared" ref="K1332" si="473">K1329-K1331-K1324</f>
        <v>2.9285446356508551</v>
      </c>
      <c r="L1332" s="33">
        <f t="shared" ref="L1332" si="474">L1329-L1331-L1324</f>
        <v>2.9158713885404266</v>
      </c>
      <c r="M1332" s="33">
        <f t="shared" ref="M1332" si="475">M1329-M1331-M1324</f>
        <v>2.9032551710419954</v>
      </c>
      <c r="N1332" s="33">
        <f t="shared" ref="N1332" si="476">N1329-N1331-N1324</f>
        <v>2.8906957265223063</v>
      </c>
      <c r="O1332" s="33">
        <f t="shared" ref="O1332" si="477">O1329-O1331-O1324</f>
        <v>2.8781927995029557</v>
      </c>
      <c r="P1332" s="33">
        <f t="shared" ref="P1332" si="478">P1329-P1331-P1324</f>
        <v>2.8657461356551925</v>
      </c>
      <c r="Q1332" s="33">
        <f t="shared" ref="Q1332" si="479">Q1329-Q1331-Q1324</f>
        <v>2.8533554817947451</v>
      </c>
      <c r="R1332" s="33">
        <f t="shared" ref="R1332" si="480">R1329-R1331-R1324</f>
        <v>2.8410205858766693</v>
      </c>
      <c r="S1332" s="33">
        <f t="shared" ref="S1332" si="481">S1329-S1331-S1324</f>
        <v>2.8287411969902232</v>
      </c>
      <c r="T1332" s="33">
        <f t="shared" ref="T1332" si="482">T1329-T1331-T1324</f>
        <v>2.8165170653537679</v>
      </c>
      <c r="U1332" s="33">
        <f t="shared" ref="U1332" si="483">U1329-U1331-U1324</f>
        <v>2.8043479423096764</v>
      </c>
      <c r="V1332" s="33">
        <f t="shared" ref="V1332" si="484">V1329-V1331-V1324</f>
        <v>2.7922335803192819</v>
      </c>
      <c r="W1332" s="33">
        <f t="shared" ref="W1332" si="485">W1329-W1331-W1324</f>
        <v>2.780173732957846</v>
      </c>
      <c r="X1332" s="33">
        <f t="shared" ref="X1332" si="486">X1329-X1331-X1324</f>
        <v>2.768168154909536</v>
      </c>
      <c r="Y1332" s="33">
        <f t="shared" ref="Y1332" si="487">Y1329-Y1331-Y1324</f>
        <v>2.7562166019624428</v>
      </c>
      <c r="Z1332" s="33">
        <f t="shared" ref="Z1332" si="488">Z1329-Z1331-Z1324</f>
        <v>2.7443188310036124</v>
      </c>
      <c r="AA1332" s="33">
        <f t="shared" ref="AA1332" si="489">AA1329-AA1331-AA1324</f>
        <v>2.7324746000140969</v>
      </c>
    </row>
    <row r="1333" spans="2:27" ht="13.5" hidden="1" outlineLevel="1" thickBot="1" x14ac:dyDescent="0.35">
      <c r="F1333" s="3" t="s">
        <v>68</v>
      </c>
      <c r="G1333" s="40">
        <f>IRR(G1332:AA1332)</f>
        <v>9.9701399642109889E-2</v>
      </c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</row>
    <row r="1334" spans="2:27" ht="13.5" collapsed="1" thickTop="1" x14ac:dyDescent="0.3"/>
    <row r="1335" spans="2:27" x14ac:dyDescent="0.3">
      <c r="B1335" s="11" t="s">
        <v>171</v>
      </c>
      <c r="C1335" s="11" t="s">
        <v>52</v>
      </c>
    </row>
    <row r="1336" spans="2:27" x14ac:dyDescent="0.3">
      <c r="C1336" s="11" t="s">
        <v>141</v>
      </c>
      <c r="D1336" s="54">
        <f>D1367</f>
        <v>1063</v>
      </c>
    </row>
    <row r="1337" spans="2:27" x14ac:dyDescent="0.3">
      <c r="C1337" s="16" t="s">
        <v>78</v>
      </c>
      <c r="D1337" s="37">
        <f>(G1366+G1369+G1376)/G1372*1000</f>
        <v>0.39024758054268222</v>
      </c>
    </row>
    <row r="1338" spans="2:27" x14ac:dyDescent="0.3">
      <c r="C1338" s="13" t="s">
        <v>77</v>
      </c>
      <c r="D1338" s="39">
        <f>(G1347+G1350+G1357)/G1353*1000</f>
        <v>0.58267019710861256</v>
      </c>
    </row>
    <row r="1339" spans="2:27" x14ac:dyDescent="0.3">
      <c r="C1339" s="13" t="s">
        <v>61</v>
      </c>
      <c r="D1339" s="36">
        <f>G1360</f>
        <v>0.22996342541665479</v>
      </c>
    </row>
    <row r="1340" spans="2:27" x14ac:dyDescent="0.3">
      <c r="C1340" s="13" t="s">
        <v>73</v>
      </c>
      <c r="D1340" s="25">
        <f>SUM(G1359:AA1359)</f>
        <v>5.6598598263547064</v>
      </c>
    </row>
    <row r="1341" spans="2:27" ht="13.5" thickBot="1" x14ac:dyDescent="0.35">
      <c r="C1341" s="23" t="s">
        <v>68</v>
      </c>
      <c r="D1341" s="26">
        <f>G1379</f>
        <v>9.8787316489960197E-2</v>
      </c>
    </row>
    <row r="1342" spans="2:27" ht="13.5" hidden="1" outlineLevel="1" thickTop="1" x14ac:dyDescent="0.3">
      <c r="E1342" s="20"/>
      <c r="F1342" s="38" t="s">
        <v>75</v>
      </c>
    </row>
    <row r="1343" spans="2:27" hidden="1" outlineLevel="1" x14ac:dyDescent="0.3">
      <c r="C1343" s="11" t="s">
        <v>71</v>
      </c>
      <c r="F1343" s="13" t="s">
        <v>25</v>
      </c>
      <c r="G1343" s="14">
        <v>7.0000000000000007E-2</v>
      </c>
    </row>
    <row r="1344" spans="2:27" hidden="1" outlineLevel="1" x14ac:dyDescent="0.3">
      <c r="C1344" s="18" t="s">
        <v>53</v>
      </c>
      <c r="D1344" s="19">
        <f>分布式光伏电站IRR汇总!$B$2</f>
        <v>6</v>
      </c>
      <c r="F1344" s="13" t="s">
        <v>26</v>
      </c>
      <c r="G1344" s="14">
        <v>0.25</v>
      </c>
    </row>
    <row r="1345" spans="3:27" hidden="1" outlineLevel="1" x14ac:dyDescent="0.3">
      <c r="C1345" s="18" t="s">
        <v>56</v>
      </c>
      <c r="D1345" s="19">
        <f>分布式光伏电站IRR汇总!$B$3</f>
        <v>120</v>
      </c>
      <c r="F1345" s="1" t="s">
        <v>44</v>
      </c>
      <c r="G1345" s="4"/>
      <c r="H1345" s="5">
        <v>1</v>
      </c>
      <c r="I1345" s="5">
        <v>2</v>
      </c>
      <c r="J1345" s="5">
        <v>3</v>
      </c>
      <c r="K1345" s="5">
        <v>4</v>
      </c>
      <c r="L1345" s="5">
        <v>5</v>
      </c>
      <c r="M1345" s="5">
        <v>6</v>
      </c>
      <c r="N1345" s="5">
        <v>7</v>
      </c>
      <c r="O1345" s="5">
        <v>8</v>
      </c>
      <c r="P1345" s="5">
        <v>9</v>
      </c>
      <c r="Q1345" s="5">
        <v>10</v>
      </c>
      <c r="R1345" s="5">
        <v>11</v>
      </c>
      <c r="S1345" s="5">
        <v>12</v>
      </c>
      <c r="T1345" s="5">
        <v>13</v>
      </c>
      <c r="U1345" s="5">
        <v>14</v>
      </c>
      <c r="V1345" s="5">
        <v>15</v>
      </c>
      <c r="W1345" s="5">
        <v>16</v>
      </c>
      <c r="X1345" s="5">
        <v>17</v>
      </c>
      <c r="Y1345" s="5">
        <v>18</v>
      </c>
      <c r="Z1345" s="5">
        <v>19</v>
      </c>
      <c r="AA1345" s="5">
        <v>20</v>
      </c>
    </row>
    <row r="1346" spans="3:27" hidden="1" outlineLevel="1" x14ac:dyDescent="0.3">
      <c r="C1346" s="18" t="s">
        <v>57</v>
      </c>
      <c r="D1346" s="19">
        <f>分布式光伏电站IRR汇总!$B$4</f>
        <v>3</v>
      </c>
      <c r="F1346" s="16"/>
      <c r="G1346" s="2" t="s">
        <v>0</v>
      </c>
      <c r="H1346" s="2" t="s">
        <v>1</v>
      </c>
      <c r="I1346" s="2" t="s">
        <v>2</v>
      </c>
      <c r="J1346" s="2" t="s">
        <v>3</v>
      </c>
      <c r="K1346" s="2" t="s">
        <v>4</v>
      </c>
      <c r="L1346" s="2" t="s">
        <v>5</v>
      </c>
      <c r="M1346" s="2" t="s">
        <v>6</v>
      </c>
      <c r="N1346" s="2" t="s">
        <v>7</v>
      </c>
      <c r="O1346" s="2" t="s">
        <v>8</v>
      </c>
      <c r="P1346" s="2" t="s">
        <v>9</v>
      </c>
      <c r="Q1346" s="2" t="s">
        <v>10</v>
      </c>
      <c r="R1346" s="2" t="s">
        <v>11</v>
      </c>
      <c r="S1346" s="2" t="s">
        <v>12</v>
      </c>
      <c r="T1346" s="2" t="s">
        <v>13</v>
      </c>
      <c r="U1346" s="2" t="s">
        <v>45</v>
      </c>
      <c r="V1346" s="2" t="s">
        <v>46</v>
      </c>
      <c r="W1346" s="2" t="s">
        <v>47</v>
      </c>
      <c r="X1346" s="2" t="s">
        <v>48</v>
      </c>
      <c r="Y1346" s="2" t="s">
        <v>49</v>
      </c>
      <c r="Z1346" s="2" t="s">
        <v>50</v>
      </c>
      <c r="AA1346" s="2" t="s">
        <v>127</v>
      </c>
    </row>
    <row r="1347" spans="3:27" hidden="1" outlineLevel="1" x14ac:dyDescent="0.3">
      <c r="C1347" s="18" t="s">
        <v>54</v>
      </c>
      <c r="D1347" s="19">
        <f>分布式光伏电站IRR汇总!$B$5</f>
        <v>5</v>
      </c>
      <c r="F1347" s="6" t="s">
        <v>14</v>
      </c>
      <c r="G1347" s="33">
        <f>D1368</f>
        <v>24.611999999999995</v>
      </c>
      <c r="H1347" s="33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/>
    </row>
    <row r="1348" spans="3:27" hidden="1" outlineLevel="1" x14ac:dyDescent="0.3">
      <c r="C1348" s="18" t="s">
        <v>55</v>
      </c>
      <c r="D1348" s="19">
        <f>分布式光伏电站IRR汇总!$B$6</f>
        <v>15</v>
      </c>
      <c r="F1348" s="6" t="s">
        <v>15</v>
      </c>
      <c r="G1348" s="33">
        <f>SUM(H1349:AA1349)</f>
        <v>12.385144234005573</v>
      </c>
      <c r="H1348" s="33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  <c r="AA1348" s="33"/>
    </row>
    <row r="1349" spans="3:27" hidden="1" outlineLevel="1" x14ac:dyDescent="0.3">
      <c r="C1349" s="18" t="s">
        <v>42</v>
      </c>
      <c r="D1349" s="19">
        <f>分布式光伏电站IRR汇总!$B$7</f>
        <v>4.1019999999999994</v>
      </c>
      <c r="F1349" s="7" t="s">
        <v>16</v>
      </c>
      <c r="G1349" s="33"/>
      <c r="H1349" s="33">
        <f>D1368*(1-D1366)/D1362/((1+G1343)^H1345)</f>
        <v>1.0925887850467286</v>
      </c>
      <c r="I1349" s="33">
        <f>D1368*(1-D1366)/D1362/((1+G1343)^I1345)</f>
        <v>1.0211110140623632</v>
      </c>
      <c r="J1349" s="33">
        <f>D1368*(1-D1366)/D1362/((1+G1343)^J1345)</f>
        <v>0.95430935893678792</v>
      </c>
      <c r="K1349" s="33">
        <f>D1368*(1-D1366)/D1362/((1+G1343)^K1345)</f>
        <v>0.89187790554839996</v>
      </c>
      <c r="L1349" s="33">
        <f>D1368*(1-D1366)/D1362/((1+G1343)^L1345)</f>
        <v>0.83353075284897193</v>
      </c>
      <c r="M1349" s="33">
        <f>D1368*(1-D1366)/D1362/((1+G1343)^M1345)</f>
        <v>0.77900070359717</v>
      </c>
      <c r="N1349" s="33">
        <f>D1368*(1-D1366)/D1362/((1+G1343)^N1345)</f>
        <v>0.72803804074501866</v>
      </c>
      <c r="O1349" s="33">
        <f>D1368*(1-D1366)/D1362/((1+G1343)^O1345)</f>
        <v>0.6804093838738493</v>
      </c>
      <c r="P1349" s="33">
        <f>D1368*(1-D1366)/D1362/((1+G1343)^P1345)</f>
        <v>0.63589662044284967</v>
      </c>
      <c r="Q1349" s="33">
        <f>D1368*(1-D1366)/D1362/((1+G1343)^Q1345)</f>
        <v>0.59429590695593437</v>
      </c>
      <c r="R1349" s="33">
        <f>D1368*(1-D1366)/D1362/((1+G1343)^R1345)</f>
        <v>0.55541673547283577</v>
      </c>
      <c r="S1349" s="33">
        <f>D1368*(1-D1366)/D1362/((1+G1343)^S1345)</f>
        <v>0.51908106118956621</v>
      </c>
      <c r="T1349" s="33">
        <f>D1368*(1-D1366)/D1362/((1+G1343)^T1345)</f>
        <v>0.4851224870930525</v>
      </c>
      <c r="U1349" s="33">
        <f>D1368*(1-D1366)/D1362/((1+G1343)^U1345)</f>
        <v>0.45338550195612387</v>
      </c>
      <c r="V1349" s="33">
        <f>D1368*(1-D1366)/D1362/((1+G1343)^V1345)</f>
        <v>0.4237247681832933</v>
      </c>
      <c r="W1349" s="33">
        <f>D1368*(1-D1366)/D1362/((1+G1343)^W1345)</f>
        <v>0.39600445624606856</v>
      </c>
      <c r="X1349" s="33">
        <f>D1368*(1-D1366)/D1362/((1+G1343)^X1345)</f>
        <v>0.37009762265987711</v>
      </c>
      <c r="Y1349" s="33">
        <f>D1368*(1-D1366)/D1362/((1+G1343)^Y1345)</f>
        <v>0.34588562865409078</v>
      </c>
      <c r="Z1349" s="33">
        <f>D1368*(1-D1366)/D1362/((1+G1343)^Z1345)</f>
        <v>0.323257596872982</v>
      </c>
      <c r="AA1349" s="33">
        <f>D1368*(1-D1366)/D1362/((1+G1343)^AA1345)</f>
        <v>0.30210990361960938</v>
      </c>
    </row>
    <row r="1350" spans="3:27" hidden="1" outlineLevel="1" x14ac:dyDescent="0.3">
      <c r="C1350" s="21" t="s">
        <v>32</v>
      </c>
      <c r="D1350" s="19">
        <f>分布式光伏电站IRR汇总!$B$8</f>
        <v>1.8870000000000002</v>
      </c>
      <c r="F1350" s="6" t="s">
        <v>17</v>
      </c>
      <c r="G1350" s="33">
        <f>SUM(H1351:AA1351)</f>
        <v>2.5425634189238777</v>
      </c>
      <c r="H1350" s="33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  <c r="AA1350" s="33"/>
    </row>
    <row r="1351" spans="3:27" hidden="1" outlineLevel="1" x14ac:dyDescent="0.3">
      <c r="C1351" s="21" t="s">
        <v>33</v>
      </c>
      <c r="D1351" s="19">
        <f>分布式光伏电站IRR汇总!$B$9</f>
        <v>0.18500000000000003</v>
      </c>
      <c r="F1351" s="7" t="s">
        <v>18</v>
      </c>
      <c r="G1351" s="33"/>
      <c r="H1351" s="33">
        <f>D1365*D1344/((1+G1343)^H1345)</f>
        <v>0.22429906542056072</v>
      </c>
      <c r="I1351" s="33">
        <f>D1365*D1344/((1+G1343)^I1345)</f>
        <v>0.20962529478557079</v>
      </c>
      <c r="J1351" s="33">
        <f>D1365*D1344/((1+G1343)^J1345)</f>
        <v>0.19591149045380446</v>
      </c>
      <c r="K1351" s="33">
        <f>D1365*D1344/((1+G1343)^K1345)</f>
        <v>0.18309485089140604</v>
      </c>
      <c r="L1351" s="33">
        <f>D1365*D1344/((1+G1343)^L1345)</f>
        <v>0.17111668307608041</v>
      </c>
      <c r="M1351" s="33">
        <f>D1365*D1344/((1+G1343)^M1345)</f>
        <v>0.15992213371596301</v>
      </c>
      <c r="N1351" s="33">
        <f>D1365*D1344/((1+G1343)^N1345)</f>
        <v>0.14945993805230187</v>
      </c>
      <c r="O1351" s="33">
        <f>D1365*D1344/((1+G1343)^O1345)</f>
        <v>0.13968218509560923</v>
      </c>
      <c r="P1351" s="33">
        <f>D1365*D1344/((1+G1343)^P1345)</f>
        <v>0.13054409822019553</v>
      </c>
      <c r="Q1351" s="33">
        <f>D1365*D1344/((1+G1343)^Q1345)</f>
        <v>0.12200383011233226</v>
      </c>
      <c r="R1351" s="33">
        <f>D1365*D1344/((1+G1343)^R1345)</f>
        <v>0.1140222711330208</v>
      </c>
      <c r="S1351" s="33">
        <f>D1365*D1344/((1+G1343)^S1345)</f>
        <v>0.10656287021777647</v>
      </c>
      <c r="T1351" s="33">
        <f>D1365*D1344/((1+G1343)^T1345)</f>
        <v>9.9591467493249028E-2</v>
      </c>
      <c r="U1351" s="33">
        <f>D1365*D1344/((1+G1343)^U1345)</f>
        <v>9.3076137844157969E-2</v>
      </c>
      <c r="V1351" s="33">
        <f>D1365*D1344/((1+G1343)^V1345)</f>
        <v>8.6987044714166323E-2</v>
      </c>
      <c r="W1351" s="33">
        <f>D1365*D1344/((1+G1343)^W1345)</f>
        <v>8.1296303471183481E-2</v>
      </c>
      <c r="X1351" s="33">
        <f>D1365*D1344/((1+G1343)^X1345)</f>
        <v>7.5977853711386434E-2</v>
      </c>
      <c r="Y1351" s="33">
        <f>D1365*D1344/((1+G1343)^Y1345)</f>
        <v>7.1007339917183582E-2</v>
      </c>
      <c r="Z1351" s="33">
        <f>D1365*D1344/((1+G1343)^Z1345)</f>
        <v>6.6361999922601472E-2</v>
      </c>
      <c r="AA1351" s="33">
        <f>D1365*D1344/((1+G1343)^AA1345)</f>
        <v>6.2020560675328483E-2</v>
      </c>
    </row>
    <row r="1352" spans="3:27" hidden="1" outlineLevel="1" x14ac:dyDescent="0.3">
      <c r="C1352" s="21" t="s">
        <v>34</v>
      </c>
      <c r="D1352" s="19">
        <f>分布式光伏电站IRR汇总!$B$10</f>
        <v>0.222</v>
      </c>
      <c r="F1352" s="6" t="s">
        <v>19</v>
      </c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  <c r="AA1352" s="33">
        <f>D1365*D1368/((1+G1343)^AA1345)</f>
        <v>0.2544083398901974</v>
      </c>
    </row>
    <row r="1353" spans="3:27" hidden="1" outlineLevel="1" x14ac:dyDescent="0.3">
      <c r="C1353" s="21" t="s">
        <v>35</v>
      </c>
      <c r="D1353" s="19">
        <f>分布式光伏电站IRR汇总!$B$11</f>
        <v>0.44400000000000001</v>
      </c>
      <c r="F1353" s="8" t="s">
        <v>64</v>
      </c>
      <c r="G1353" s="33">
        <f>SUM(H1354:AA1354)</f>
        <v>55499.888040392754</v>
      </c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</row>
    <row r="1354" spans="3:27" hidden="1" outlineLevel="1" x14ac:dyDescent="0.3">
      <c r="C1354" s="21" t="s">
        <v>36</v>
      </c>
      <c r="D1354" s="19">
        <f>分布式光伏电站IRR汇总!$B$12</f>
        <v>0.222</v>
      </c>
      <c r="F1354" s="9" t="s">
        <v>65</v>
      </c>
      <c r="G1354" s="33"/>
      <c r="H1354" s="33">
        <f>D1344*D1361*(1-D1363)*D1367/((1+G1343)^H1345)</f>
        <v>5058.7673271028025</v>
      </c>
      <c r="I1354" s="33">
        <f>D1344*D1361*(1-D1363)*(1-D1364)^(I1345-1)*D1367/((1+G1343)^I1345)</f>
        <v>4706.5447421783556</v>
      </c>
      <c r="J1354" s="33">
        <f>D1344*D1361*(1-D1363)*(1-D1364)^(J1345-1)*D1367/((1+G1343)^J1345)</f>
        <v>4378.8460662042553</v>
      </c>
      <c r="K1354" s="33">
        <f>D1344*D1361*(1-D1363)*(1-D1364)^(K1345-1)*D1367/((1+G1343)^K1345)</f>
        <v>4073.9637933704084</v>
      </c>
      <c r="L1354" s="33">
        <f>D1344*D1361*(1-D1363)*(1-D1364)^(L1345-1)*D1367/((1+G1343)^L1345)</f>
        <v>3790.3093049534964</v>
      </c>
      <c r="M1354" s="33">
        <f>D1344*D1361*(1-D1363)*(1-D1364)^(M1345-1)*D1367/((1+G1343)^M1345)</f>
        <v>3526.4045916646787</v>
      </c>
      <c r="N1354" s="33">
        <f>D1344*D1361*(1-D1363)*(1-D1364)^(N1345-1)*D1367/((1+G1343)^N1345)</f>
        <v>3280.8745523384932</v>
      </c>
      <c r="O1354" s="33">
        <f>D1344*D1361*(1-D1363)*(1-D1364)^(O1345-1)*D1367/((1+G1343)^O1345)</f>
        <v>3052.4398288345515</v>
      </c>
      <c r="P1354" s="33">
        <f>D1344*D1361*(1-D1363)*(1-D1364)^(P1345-1)*D1367/((1+G1343)^P1345)</f>
        <v>2839.9101398175662</v>
      </c>
      <c r="Q1354" s="33">
        <f>D1344*D1361*(1-D1363)*(1-D1364)^(Q1345-1)*D1367/((1+G1343)^Q1345)</f>
        <v>2642.1780786807358</v>
      </c>
      <c r="R1354" s="33">
        <f>D1344*D1361*(1-D1363)*(1-D1364)^(R1345-1)*D1367/((1+G1343)^R1345)</f>
        <v>2458.2133432959558</v>
      </c>
      <c r="S1354" s="33">
        <f>D1344*D1361*(1-D1363)*(1-D1364)^(S1345-1)*D1367/((1+G1343)^S1345)</f>
        <v>2287.0573675244154</v>
      </c>
      <c r="T1354" s="33">
        <f>D1344*D1361*(1-D1363)*(1-D1364)^(T1345-1)*D1367/((1+G1343)^T1345)</f>
        <v>2127.8183265145381</v>
      </c>
      <c r="U1354" s="33">
        <f>D1344*D1361*(1-D1363)*(1-D1364)^(U1345-1)*D1367/((1+G1343)^U1345)</f>
        <v>1979.6664897618903</v>
      </c>
      <c r="V1354" s="33">
        <f>D1344*D1361*(1-D1363)*(1-D1364)^(V1345-1)*D1367/((1+G1343)^V1345)</f>
        <v>1841.8298977177212</v>
      </c>
      <c r="W1354" s="33">
        <f>D1344*D1361*(1-D1363)*(1-D1364)^(W1345-1)*D1367/((1+G1343)^W1345)</f>
        <v>1713.5903394186839</v>
      </c>
      <c r="X1354" s="33">
        <f>D1344*D1361*(1-D1363)*(1-D1364)^(X1345-1)*D1367/((1+G1343)^X1345)</f>
        <v>1594.2796101787851</v>
      </c>
      <c r="Y1354" s="33">
        <f>D1344*D1361*(1-D1363)*(1-D1364)^(Y1345-1)*D1367/((1+G1343)^Y1345)</f>
        <v>1483.2760298439071</v>
      </c>
      <c r="Z1354" s="33">
        <f>D1344*D1361*(1-D1363)*(1-D1364)^(Z1345-1)*D1367/((1+G1343)^Z1345)</f>
        <v>1380.0012034669251</v>
      </c>
      <c r="AA1354" s="33">
        <f>D1344*D1361*(1-D1363)*(1-D1364)^(AA1345-1)*D1367/((1+G1343)^AA1345)</f>
        <v>1283.9170075246018</v>
      </c>
    </row>
    <row r="1355" spans="3:27" hidden="1" outlineLevel="1" x14ac:dyDescent="0.3">
      <c r="C1355" s="21" t="s">
        <v>37</v>
      </c>
      <c r="D1355" s="19">
        <f>分布式光伏电站IRR汇总!$B$13</f>
        <v>0.15</v>
      </c>
      <c r="F1355" s="4" t="s">
        <v>66</v>
      </c>
      <c r="G1355" s="33">
        <f>SUM(H1356:AA1356)</f>
        <v>38.776661776061623</v>
      </c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/>
    </row>
    <row r="1356" spans="3:27" hidden="1" outlineLevel="1" x14ac:dyDescent="0.3">
      <c r="C1356" s="21" t="s">
        <v>38</v>
      </c>
      <c r="D1356" s="19">
        <f>分布式光伏电站IRR汇总!$B$14</f>
        <v>3.7000000000000005E-2</v>
      </c>
      <c r="F1356" s="7" t="s">
        <v>67</v>
      </c>
      <c r="G1356" s="33"/>
      <c r="H1356" s="33">
        <f>H1354*D1372/1000</f>
        <v>3.5344595561001864</v>
      </c>
      <c r="I1356" s="33">
        <f>I1354*D1372/1000</f>
        <v>3.2883686804651737</v>
      </c>
      <c r="J1356" s="33">
        <f>J1354*D1372/1000</f>
        <v>3.0594121695355891</v>
      </c>
      <c r="K1356" s="33">
        <f>K1354*D1372/1000</f>
        <v>2.8463970231520377</v>
      </c>
      <c r="L1356" s="33">
        <f>L1354*D1372/1000</f>
        <v>2.648213305184909</v>
      </c>
      <c r="M1356" s="33">
        <f>M1354*D1372/1000</f>
        <v>2.4638283601042783</v>
      </c>
      <c r="N1356" s="33">
        <f>N1354*D1372/1000</f>
        <v>2.2922814322278589</v>
      </c>
      <c r="O1356" s="33">
        <f>O1354*D1372/1000</f>
        <v>2.1326786596101246</v>
      </c>
      <c r="P1356" s="33">
        <f>P1354*D1372/1000</f>
        <v>1.9841884164877375</v>
      </c>
      <c r="Q1356" s="33">
        <f>Q1354*D1372/1000</f>
        <v>1.8460369800126566</v>
      </c>
      <c r="R1356" s="33">
        <f>R1354*D1372/1000</f>
        <v>1.7175044986940187</v>
      </c>
      <c r="S1356" s="33">
        <f>S1354*D1372/1000</f>
        <v>1.5979212415419588</v>
      </c>
      <c r="T1356" s="33">
        <f>T1354*D1372/1000</f>
        <v>1.4866641083691776</v>
      </c>
      <c r="U1356" s="33">
        <f>U1354*D1372/1000</f>
        <v>1.3831533830668377</v>
      </c>
      <c r="V1356" s="33">
        <f>V1354*D1372/1000</f>
        <v>1.2868497129374175</v>
      </c>
      <c r="W1356" s="33">
        <f>W1354*D1372/1000</f>
        <v>1.1972512983450463</v>
      </c>
      <c r="X1356" s="33">
        <f>X1354*D1372/1000</f>
        <v>1.1138912780397137</v>
      </c>
      <c r="Y1356" s="33">
        <f>Y1354*D1372/1000</f>
        <v>1.036335296531341</v>
      </c>
      <c r="Z1356" s="33">
        <f>Z1354*D1372/1000</f>
        <v>0.96417924083827133</v>
      </c>
      <c r="AA1356" s="33">
        <f>AA1354*D1372/1000</f>
        <v>0.89704713481728893</v>
      </c>
    </row>
    <row r="1357" spans="3:27" hidden="1" outlineLevel="1" x14ac:dyDescent="0.3">
      <c r="C1357" s="21" t="s">
        <v>39</v>
      </c>
      <c r="D1357" s="19">
        <f>分布式光伏电站IRR汇总!$B$15</f>
        <v>0.25900000000000006</v>
      </c>
      <c r="F1357" s="4" t="s">
        <v>20</v>
      </c>
      <c r="G1357" s="33">
        <f>SUM(H1358:V1358)</f>
        <v>5.1835672850777064</v>
      </c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</row>
    <row r="1358" spans="3:27" hidden="1" outlineLevel="1" x14ac:dyDescent="0.3">
      <c r="C1358" s="21" t="s">
        <v>40</v>
      </c>
      <c r="D1358" s="19">
        <f>分布式光伏电站IRR汇总!$B$16</f>
        <v>7.400000000000001E-2</v>
      </c>
      <c r="F1358" s="7" t="s">
        <v>21</v>
      </c>
      <c r="G1358" s="33"/>
      <c r="H1358" s="33">
        <f>(H1356-H1349-H1351)*G1344</f>
        <v>0.55439292640822424</v>
      </c>
      <c r="I1358" s="33">
        <f>(I1356-I1349-I1351)*G1344</f>
        <v>0.51440809290431</v>
      </c>
      <c r="J1358" s="33">
        <f>(J1356-J1349-J1351)*G1344</f>
        <v>0.47729783003624915</v>
      </c>
      <c r="K1358" s="33">
        <f>(K1356-K1349-K1351)*G1344</f>
        <v>0.44285606667805794</v>
      </c>
      <c r="L1358" s="33">
        <f>(L1356-L1349-L1351)*G1344</f>
        <v>0.41089146731496418</v>
      </c>
      <c r="M1358" s="33">
        <f>(M1356-M1349-M1351)*G1344</f>
        <v>0.3812263806977863</v>
      </c>
      <c r="N1358" s="33">
        <f>(N1356-N1349-N1351)*G1344</f>
        <v>0.35369586335763459</v>
      </c>
      <c r="O1358" s="33">
        <f>(O1356-O1349-O1351)*G1344</f>
        <v>0.32814677266016656</v>
      </c>
      <c r="P1358" s="33">
        <f>(P1356-P1349-P1351)*G1344</f>
        <v>0.3044369244561731</v>
      </c>
      <c r="Q1358" s="33">
        <f>(Q1356-Q1349-Q1351)*G1344</f>
        <v>0.28243431073609748</v>
      </c>
      <c r="R1358" s="33">
        <f>(R1356-R1349-R1351)*G1344</f>
        <v>0.26201637302204051</v>
      </c>
      <c r="S1358" s="33">
        <f>(S1356-S1349-S1351)*G1344</f>
        <v>0.24306932753365404</v>
      </c>
      <c r="T1358" s="33">
        <f>(T1356-T1349-T1351)*G1344</f>
        <v>0.22548753844571906</v>
      </c>
      <c r="U1358" s="33">
        <f>(U1356-U1349-U1351)*G1344</f>
        <v>0.20917293581663893</v>
      </c>
      <c r="V1358" s="33">
        <f>(V1356-V1349-V1351)*G1344</f>
        <v>0.19403447500998947</v>
      </c>
      <c r="W1358" s="33">
        <f>(W1356-W1349-W1351)*G1344</f>
        <v>0.17998763465694859</v>
      </c>
      <c r="X1358" s="33">
        <f>(X1356-X1349-X1351)*G1344</f>
        <v>0.16695395041711253</v>
      </c>
      <c r="Y1358" s="33">
        <f>(Y1356-Y1349-Y1351)*G1344</f>
        <v>0.15486058199001668</v>
      </c>
      <c r="Z1358" s="33">
        <f>(Z1356-Z1349-Z1351)*G1344</f>
        <v>0.14363991101067197</v>
      </c>
      <c r="AA1358" s="33">
        <f>(AA1356-AA1349-AA1351)*G1344</f>
        <v>0.13322916763058776</v>
      </c>
    </row>
    <row r="1359" spans="3:27" hidden="1" outlineLevel="1" x14ac:dyDescent="0.3">
      <c r="C1359" s="21" t="s">
        <v>41</v>
      </c>
      <c r="D1359" s="19">
        <f>分布式光伏电站IRR汇总!$B$17</f>
        <v>0.222</v>
      </c>
      <c r="F1359" s="10" t="s">
        <v>22</v>
      </c>
      <c r="G1359" s="33">
        <f>-G1347</f>
        <v>-24.611999999999995</v>
      </c>
      <c r="H1359" s="33">
        <f t="shared" ref="H1359:AA1359" si="490">H1356-H1358-H1351</f>
        <v>2.7557675642714012</v>
      </c>
      <c r="I1359" s="33">
        <f t="shared" si="490"/>
        <v>2.5643352927752927</v>
      </c>
      <c r="J1359" s="33">
        <f t="shared" si="490"/>
        <v>2.3862028490455356</v>
      </c>
      <c r="K1359" s="33">
        <f t="shared" si="490"/>
        <v>2.2204461055825737</v>
      </c>
      <c r="L1359" s="33">
        <f t="shared" si="490"/>
        <v>2.066205154793864</v>
      </c>
      <c r="M1359" s="33">
        <f t="shared" si="490"/>
        <v>1.9226798456905287</v>
      </c>
      <c r="N1359" s="33">
        <f t="shared" si="490"/>
        <v>1.7891256308179224</v>
      </c>
      <c r="O1359" s="33">
        <f t="shared" si="490"/>
        <v>1.6648497018543489</v>
      </c>
      <c r="P1359" s="33">
        <f t="shared" si="490"/>
        <v>1.5492073938113688</v>
      </c>
      <c r="Q1359" s="33">
        <f t="shared" si="490"/>
        <v>1.4415988391642267</v>
      </c>
      <c r="R1359" s="33">
        <f t="shared" si="490"/>
        <v>1.3414658545389573</v>
      </c>
      <c r="S1359" s="33">
        <f t="shared" si="490"/>
        <v>1.2482890437905283</v>
      </c>
      <c r="T1359" s="33">
        <f t="shared" si="490"/>
        <v>1.1615851024302095</v>
      </c>
      <c r="U1359" s="33">
        <f t="shared" si="490"/>
        <v>1.0809043094060407</v>
      </c>
      <c r="V1359" s="33">
        <f t="shared" si="490"/>
        <v>1.0058281932132618</v>
      </c>
      <c r="W1359" s="33">
        <f t="shared" si="490"/>
        <v>0.93596736021691418</v>
      </c>
      <c r="X1359" s="33">
        <f t="shared" si="490"/>
        <v>0.87095947391121475</v>
      </c>
      <c r="Y1359" s="33">
        <f t="shared" si="490"/>
        <v>0.81046737462414087</v>
      </c>
      <c r="Z1359" s="33">
        <f t="shared" si="490"/>
        <v>0.75417732990499786</v>
      </c>
      <c r="AA1359" s="33">
        <f t="shared" si="490"/>
        <v>0.70179740651137268</v>
      </c>
    </row>
    <row r="1360" spans="3:27" ht="13.5" hidden="1" outlineLevel="1" thickBot="1" x14ac:dyDescent="0.35">
      <c r="C1360" s="21" t="s">
        <v>74</v>
      </c>
      <c r="D1360" s="19">
        <f>分布式光伏电站IRR汇总!$B$18</f>
        <v>0.4</v>
      </c>
      <c r="F1360" s="3" t="s">
        <v>61</v>
      </c>
      <c r="G1360" s="35">
        <f>SUM(G1359:AA1359)/G1347</f>
        <v>0.22996342541665479</v>
      </c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</row>
    <row r="1361" spans="3:27" ht="13.5" hidden="1" outlineLevel="1" thickTop="1" x14ac:dyDescent="0.3">
      <c r="C1361" s="18" t="s">
        <v>58</v>
      </c>
      <c r="D1361" s="19">
        <f>分布式光伏电站IRR汇总!$B$19</f>
        <v>0.86599999999999999</v>
      </c>
    </row>
    <row r="1362" spans="3:27" hidden="1" outlineLevel="1" x14ac:dyDescent="0.3">
      <c r="C1362" s="18" t="s">
        <v>62</v>
      </c>
      <c r="D1362" s="19">
        <f>分布式光伏电站IRR汇总!$B$20</f>
        <v>20</v>
      </c>
      <c r="F1362" s="13" t="s">
        <v>25</v>
      </c>
      <c r="G1362" s="14">
        <v>0</v>
      </c>
    </row>
    <row r="1363" spans="3:27" hidden="1" outlineLevel="1" x14ac:dyDescent="0.3">
      <c r="C1363" s="18" t="s">
        <v>59</v>
      </c>
      <c r="D1363" s="52">
        <f>分布式光伏电站IRR汇总!$B$21</f>
        <v>0.02</v>
      </c>
      <c r="F1363" s="13" t="s">
        <v>26</v>
      </c>
      <c r="G1363" s="14">
        <v>0.25</v>
      </c>
      <c r="Q1363" s="15"/>
    </row>
    <row r="1364" spans="3:27" hidden="1" outlineLevel="1" x14ac:dyDescent="0.3">
      <c r="C1364" s="18" t="s">
        <v>60</v>
      </c>
      <c r="D1364" s="52">
        <f>分布式光伏电站IRR汇总!$B$22</f>
        <v>4.4999999999999997E-3</v>
      </c>
      <c r="F1364" s="1" t="s">
        <v>44</v>
      </c>
      <c r="G1364" s="4"/>
      <c r="H1364" s="5">
        <v>1</v>
      </c>
      <c r="I1364" s="5">
        <v>2</v>
      </c>
      <c r="J1364" s="5">
        <v>3</v>
      </c>
      <c r="K1364" s="5">
        <v>4</v>
      </c>
      <c r="L1364" s="5">
        <v>5</v>
      </c>
      <c r="M1364" s="5">
        <v>6</v>
      </c>
      <c r="N1364" s="5">
        <v>7</v>
      </c>
      <c r="O1364" s="5">
        <v>8</v>
      </c>
      <c r="P1364" s="5">
        <v>9</v>
      </c>
      <c r="Q1364" s="5">
        <v>10</v>
      </c>
      <c r="R1364" s="5">
        <v>11</v>
      </c>
      <c r="S1364" s="5">
        <v>12</v>
      </c>
      <c r="T1364" s="5">
        <v>13</v>
      </c>
      <c r="U1364" s="5">
        <v>14</v>
      </c>
      <c r="V1364" s="5">
        <v>15</v>
      </c>
      <c r="W1364" s="5">
        <v>16</v>
      </c>
      <c r="X1364" s="5">
        <v>17</v>
      </c>
      <c r="Y1364" s="5">
        <v>18</v>
      </c>
      <c r="Z1364" s="5">
        <v>19</v>
      </c>
      <c r="AA1364" s="5">
        <v>20</v>
      </c>
    </row>
    <row r="1365" spans="3:27" hidden="1" outlineLevel="1" x14ac:dyDescent="0.3">
      <c r="C1365" s="18" t="s">
        <v>28</v>
      </c>
      <c r="D1365" s="29">
        <f>分布式光伏电站IRR汇总!$B$23</f>
        <v>0.04</v>
      </c>
      <c r="F1365" s="16"/>
      <c r="G1365" s="2" t="s">
        <v>0</v>
      </c>
      <c r="H1365" s="2" t="s">
        <v>1</v>
      </c>
      <c r="I1365" s="2" t="s">
        <v>2</v>
      </c>
      <c r="J1365" s="2" t="s">
        <v>3</v>
      </c>
      <c r="K1365" s="2" t="s">
        <v>4</v>
      </c>
      <c r="L1365" s="2" t="s">
        <v>5</v>
      </c>
      <c r="M1365" s="2" t="s">
        <v>6</v>
      </c>
      <c r="N1365" s="2" t="s">
        <v>7</v>
      </c>
      <c r="O1365" s="2" t="s">
        <v>8</v>
      </c>
      <c r="P1365" s="2" t="s">
        <v>9</v>
      </c>
      <c r="Q1365" s="2" t="s">
        <v>10</v>
      </c>
      <c r="R1365" s="2" t="s">
        <v>11</v>
      </c>
      <c r="S1365" s="2" t="s">
        <v>12</v>
      </c>
      <c r="T1365" s="2" t="s">
        <v>13</v>
      </c>
      <c r="U1365" s="2" t="s">
        <v>45</v>
      </c>
      <c r="V1365" s="2" t="s">
        <v>46</v>
      </c>
      <c r="W1365" s="2" t="s">
        <v>47</v>
      </c>
      <c r="X1365" s="2" t="s">
        <v>48</v>
      </c>
      <c r="Y1365" s="2" t="s">
        <v>49</v>
      </c>
      <c r="Z1365" s="2" t="s">
        <v>50</v>
      </c>
      <c r="AA1365" s="2" t="s">
        <v>51</v>
      </c>
    </row>
    <row r="1366" spans="3:27" hidden="1" outlineLevel="1" x14ac:dyDescent="0.3">
      <c r="C1366" s="18" t="s">
        <v>43</v>
      </c>
      <c r="D1366" s="19">
        <f>分布式光伏电站IRR汇总!$B$24</f>
        <v>0.05</v>
      </c>
      <c r="F1366" s="6" t="s">
        <v>14</v>
      </c>
      <c r="G1366" s="33">
        <f>D1368</f>
        <v>24.611999999999995</v>
      </c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  <c r="AA1366" s="33"/>
    </row>
    <row r="1367" spans="3:27" hidden="1" outlineLevel="1" x14ac:dyDescent="0.3">
      <c r="C1367" s="18" t="s">
        <v>126</v>
      </c>
      <c r="D1367" s="28">
        <f>Backup分地区光伏小时数及电价!E30</f>
        <v>1063</v>
      </c>
      <c r="F1367" s="6" t="s">
        <v>15</v>
      </c>
      <c r="G1367" s="33">
        <f>SUM(H1368:AA1368)</f>
        <v>23.381399999999985</v>
      </c>
      <c r="H1367" s="33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  <c r="AA1367" s="33"/>
    </row>
    <row r="1368" spans="3:27" hidden="1" outlineLevel="1" x14ac:dyDescent="0.3">
      <c r="C1368" s="24" t="s">
        <v>14</v>
      </c>
      <c r="D1368" s="30">
        <f>D1344*D1349</f>
        <v>24.611999999999995</v>
      </c>
      <c r="F1368" s="7" t="s">
        <v>16</v>
      </c>
      <c r="G1368" s="33"/>
      <c r="H1368" s="33">
        <f>D1368*(1-D1366)/D1362/((1+G1362)^H1364)</f>
        <v>1.1690699999999996</v>
      </c>
      <c r="I1368" s="33">
        <f>D1368*(1-D1366)/D1362/((1+G1362)^I1364)</f>
        <v>1.1690699999999996</v>
      </c>
      <c r="J1368" s="33">
        <f>D1368*(1-D1366)/D1362/((1+G1362)^J1364)</f>
        <v>1.1690699999999996</v>
      </c>
      <c r="K1368" s="33">
        <f>D1368*(1-D1366)/D1362/((1+G1362)^K1364)</f>
        <v>1.1690699999999996</v>
      </c>
      <c r="L1368" s="33">
        <f>D1368*(1-D1366)/D1362/((1+G1362)^L1364)</f>
        <v>1.1690699999999996</v>
      </c>
      <c r="M1368" s="33">
        <f>D1368*(1-D1366)/D1362/((1+G1362)^M1364)</f>
        <v>1.1690699999999996</v>
      </c>
      <c r="N1368" s="33">
        <f>D1368*(1-D1366)/D1362/((1+G1362)^N1364)</f>
        <v>1.1690699999999996</v>
      </c>
      <c r="O1368" s="33">
        <f>D1368*(1-D1366)/D1362/((1+G1362)^O1364)</f>
        <v>1.1690699999999996</v>
      </c>
      <c r="P1368" s="33">
        <f>D1368*(1-D1366)/D1362/((1+G1362)^P1364)</f>
        <v>1.1690699999999996</v>
      </c>
      <c r="Q1368" s="33">
        <f>D1368*(1-D1366)/D1362/((1+G1362)^Q1364)</f>
        <v>1.1690699999999996</v>
      </c>
      <c r="R1368" s="33">
        <f>D1368*(1-D1366)/D1362/((1+G1362)^R1364)</f>
        <v>1.1690699999999996</v>
      </c>
      <c r="S1368" s="33">
        <f>D1368*(1-D1366)/D1362/((1+G1362)^S1364)</f>
        <v>1.1690699999999996</v>
      </c>
      <c r="T1368" s="33">
        <f>D1368*(1-D1366)/D1362/((1+G1362)^T1364)</f>
        <v>1.1690699999999996</v>
      </c>
      <c r="U1368" s="33">
        <f>D1368*(1-D1366)/D1362/((1+G1362)^U1364)</f>
        <v>1.1690699999999996</v>
      </c>
      <c r="V1368" s="33">
        <f>D1368*(1-D1366)/D1362/((1+G1362)^V1364)</f>
        <v>1.1690699999999996</v>
      </c>
      <c r="W1368" s="33">
        <f>D1368*(1-D1366)/D1362/((1+G1362)^W1364)</f>
        <v>1.1690699999999996</v>
      </c>
      <c r="X1368" s="33">
        <f>D1368*(1-D1366)/D1362/((1+G1362)^X1364)</f>
        <v>1.1690699999999996</v>
      </c>
      <c r="Y1368" s="33">
        <f>D1368*(1-D1366)/D1362/((1+G1362)^Y1364)</f>
        <v>1.1690699999999996</v>
      </c>
      <c r="Z1368" s="33">
        <f>D1368*(1-D1366)/D1362/((1+G1362)^Z1364)</f>
        <v>1.1690699999999996</v>
      </c>
      <c r="AA1368" s="33">
        <f>D1368*(1-D1366)/D1362/((1+G1362)^AA1364)</f>
        <v>1.1690699999999996</v>
      </c>
    </row>
    <row r="1369" spans="3:27" hidden="1" outlineLevel="1" x14ac:dyDescent="0.3">
      <c r="C1369" s="18" t="s">
        <v>29</v>
      </c>
      <c r="D1369" s="29">
        <v>0.35980000000000001</v>
      </c>
      <c r="F1369" s="6" t="s">
        <v>17</v>
      </c>
      <c r="G1369" s="33">
        <f>SUM(H1370:AA1370)</f>
        <v>4.8000000000000025</v>
      </c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  <c r="AA1369" s="33"/>
    </row>
    <row r="1370" spans="3:27" hidden="1" outlineLevel="1" x14ac:dyDescent="0.3">
      <c r="C1370" s="18" t="s">
        <v>30</v>
      </c>
      <c r="D1370" s="31">
        <f>Backup分地区光伏小时数及电价!I30</f>
        <v>0.69868000000000008</v>
      </c>
      <c r="F1370" s="7" t="s">
        <v>18</v>
      </c>
      <c r="G1370" s="33"/>
      <c r="H1370" s="33">
        <f>D1365*D1344/((1+G1362)^H1364)</f>
        <v>0.24</v>
      </c>
      <c r="I1370" s="33">
        <f>D1365*D1344/((1+G1362)^I1364)</f>
        <v>0.24</v>
      </c>
      <c r="J1370" s="33">
        <f>D1365*D1344/((1+G1362)^J1364)</f>
        <v>0.24</v>
      </c>
      <c r="K1370" s="33">
        <f>D1365*D1344/((1+G1362)^K1364)</f>
        <v>0.24</v>
      </c>
      <c r="L1370" s="33">
        <f>D1365*D1344/((1+G1362)^L1364)</f>
        <v>0.24</v>
      </c>
      <c r="M1370" s="33">
        <f>D1365*D1344/((1+G1362)^M1364)</f>
        <v>0.24</v>
      </c>
      <c r="N1370" s="33">
        <f>D1365*D1344/((1+G1362)^N1364)</f>
        <v>0.24</v>
      </c>
      <c r="O1370" s="33">
        <f>D1365*D1344/((1+G1362)^O1364)</f>
        <v>0.24</v>
      </c>
      <c r="P1370" s="33">
        <f>D1365*D1344/((1+G1362)^P1364)</f>
        <v>0.24</v>
      </c>
      <c r="Q1370" s="33">
        <f>D1365*D1344/((1+G1362)^Q1364)</f>
        <v>0.24</v>
      </c>
      <c r="R1370" s="33">
        <f>D1365*D1344/((1+G1362)^R1364)</f>
        <v>0.24</v>
      </c>
      <c r="S1370" s="33">
        <f>D1365*D1344/((1+G1362)^S1364)</f>
        <v>0.24</v>
      </c>
      <c r="T1370" s="33">
        <f>D1365*D1344/((1+G1362)^T1364)</f>
        <v>0.24</v>
      </c>
      <c r="U1370" s="33">
        <f>D1365*D1344/((1+G1362)^U1364)</f>
        <v>0.24</v>
      </c>
      <c r="V1370" s="33">
        <f>D1365*D1344/((1+G1362)^V1364)</f>
        <v>0.24</v>
      </c>
      <c r="W1370" s="33">
        <f>D1365*D1344/((1+G1362)^W1364)</f>
        <v>0.24</v>
      </c>
      <c r="X1370" s="33">
        <f>D1365*D1344/((1+G1362)^X1364)</f>
        <v>0.24</v>
      </c>
      <c r="Y1370" s="33">
        <f>D1365*D1344/((1+G1362)^Y1364)</f>
        <v>0.24</v>
      </c>
      <c r="Z1370" s="33">
        <f>D1365*D1344/((1+G1362)^Z1364)</f>
        <v>0.24</v>
      </c>
      <c r="AA1370" s="33">
        <f>D1365*D1344/((1+G1362)^AA1364)</f>
        <v>0.24</v>
      </c>
    </row>
    <row r="1371" spans="3:27" hidden="1" outlineLevel="1" x14ac:dyDescent="0.3">
      <c r="C1371" s="18" t="s">
        <v>70</v>
      </c>
      <c r="D1371" s="32">
        <f>分布式光伏电站IRR汇总!$B$27</f>
        <v>1</v>
      </c>
      <c r="F1371" s="6" t="s">
        <v>19</v>
      </c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  <c r="AA1371" s="33">
        <f>D1365*D1368/((1+G1362)^AA1364)</f>
        <v>0.9844799999999998</v>
      </c>
    </row>
    <row r="1372" spans="3:27" hidden="1" outlineLevel="1" x14ac:dyDescent="0.3">
      <c r="C1372" s="18" t="s">
        <v>69</v>
      </c>
      <c r="D1372" s="31">
        <f>D1371*D1370</f>
        <v>0.69868000000000008</v>
      </c>
      <c r="F1372" s="8" t="s">
        <v>64</v>
      </c>
      <c r="G1372" s="33">
        <f>SUM(H1373:AA1373)</f>
        <v>103752.20810854042</v>
      </c>
      <c r="H1372" s="33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  <c r="AA1372" s="33"/>
    </row>
    <row r="1373" spans="3:27" hidden="1" outlineLevel="1" x14ac:dyDescent="0.3">
      <c r="C1373" s="18" t="s">
        <v>31</v>
      </c>
      <c r="D1373" s="27">
        <v>0</v>
      </c>
      <c r="F1373" s="9" t="s">
        <v>65</v>
      </c>
      <c r="G1373" s="33"/>
      <c r="H1373" s="33">
        <f>D1344*D1361*(1-D1363)*D1367/((1+G1362)^H1364)</f>
        <v>5412.8810399999993</v>
      </c>
      <c r="I1373" s="33">
        <f>D1344*D1361*(1-D1363)*(1-D1364)^(I1364-1)*D1367/((1+G1362)^I1364)</f>
        <v>5388.5230753199994</v>
      </c>
      <c r="J1373" s="33">
        <f>D1344*D1361*(1-D1363)*(1-D1364)^(J1364-1)*D1367/((1+G1362)^J1364)</f>
        <v>5364.2747214810597</v>
      </c>
      <c r="K1373" s="33">
        <f>D1344*D1361*(1-D1363)*(1-D1364)^(K1364-1)*D1367/((1+G1362)^K1364)</f>
        <v>5340.1354852343957</v>
      </c>
      <c r="L1373" s="33">
        <f>D1344*D1361*(1-D1363)*(1-D1364)^(L1364-1)*D1367/((1+G1362)^L1364)</f>
        <v>5316.1048755508409</v>
      </c>
      <c r="M1373" s="33">
        <f>D1344*D1361*(1-D1363)*(1-D1364)^(M1364-1)*D1367/((1+G1362)^M1364)</f>
        <v>5292.1824036108628</v>
      </c>
      <c r="N1373" s="33">
        <f>D1344*D1361*(1-D1363)*(1-D1364)^(N1364-1)*D1367/((1+G1362)^N1364)</f>
        <v>5268.3675827946145</v>
      </c>
      <c r="O1373" s="33">
        <f>D1344*D1361*(1-D1363)*(1-D1364)^(O1364-1)*D1367/((1+G1362)^O1364)</f>
        <v>5244.6599286720384</v>
      </c>
      <c r="P1373" s="33">
        <f>D1344*D1361*(1-D1363)*(1-D1364)^(P1364-1)*D1367/((1+G1362)^P1364)</f>
        <v>5221.058958993015</v>
      </c>
      <c r="Q1373" s="33">
        <f>D1344*D1361*(1-D1363)*(1-D1364)^(Q1364-1)*D1367/((1+G1362)^Q1364)</f>
        <v>5197.5641936775464</v>
      </c>
      <c r="R1373" s="33">
        <f>D1344*D1361*(1-D1363)*(1-D1364)^(R1364-1)*D1367/((1+G1362)^R1364)</f>
        <v>5174.1751548059983</v>
      </c>
      <c r="S1373" s="33">
        <f>D1344*D1361*(1-D1363)*(1-D1364)^(S1364-1)*D1367/((1+G1362)^S1364)</f>
        <v>5150.8913666093713</v>
      </c>
      <c r="T1373" s="33">
        <f>D1344*D1361*(1-D1363)*(1-D1364)^(T1364-1)*D1367/((1+G1362)^T1364)</f>
        <v>5127.7123554596301</v>
      </c>
      <c r="U1373" s="33">
        <f>D1344*D1361*(1-D1363)*(1-D1364)^(U1364-1)*D1367/((1+G1362)^U1364)</f>
        <v>5104.6376498600612</v>
      </c>
      <c r="V1373" s="33">
        <f>D1344*D1361*(1-D1363)*(1-D1364)^(V1364-1)*D1367/((1+G1362)^V1364)</f>
        <v>5081.6667804356912</v>
      </c>
      <c r="W1373" s="33">
        <f>D1344*D1361*(1-D1363)*(1-D1364)^(W1364-1)*D1367/((1+G1362)^W1364)</f>
        <v>5058.7992799237309</v>
      </c>
      <c r="X1373" s="33">
        <f>D1344*D1361*(1-D1363)*(1-D1364)^(X1364-1)*D1367/((1+G1362)^X1364)</f>
        <v>5036.0346831640745</v>
      </c>
      <c r="Y1373" s="33">
        <f>D1344*D1361*(1-D1363)*(1-D1364)^(Y1364-1)*D1367/((1+G1362)^Y1364)</f>
        <v>5013.3725270898367</v>
      </c>
      <c r="Z1373" s="33">
        <f>D1344*D1361*(1-D1363)*(1-D1364)^(Z1364-1)*D1367/((1+G1362)^Z1364)</f>
        <v>4990.8123507179334</v>
      </c>
      <c r="AA1373" s="33">
        <f>D1344*D1361*(1-D1363)*(1-D1364)^(AA1364-1)*D1367/((1+G1362)^AA1364)</f>
        <v>4968.3536951397027</v>
      </c>
    </row>
    <row r="1374" spans="3:27" hidden="1" outlineLevel="1" x14ac:dyDescent="0.3">
      <c r="F1374" s="4" t="s">
        <v>66</v>
      </c>
      <c r="G1374" s="33">
        <f>SUM(H1375:AA1375)</f>
        <v>72.48959276127502</v>
      </c>
      <c r="H1374" s="33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  <c r="AA1374" s="33"/>
    </row>
    <row r="1375" spans="3:27" hidden="1" outlineLevel="1" x14ac:dyDescent="0.3">
      <c r="F1375" s="7" t="s">
        <v>67</v>
      </c>
      <c r="G1375" s="33"/>
      <c r="H1375" s="33">
        <f>H1373*D1372/1000</f>
        <v>3.7818717250271998</v>
      </c>
      <c r="I1375" s="33">
        <f>I1373*D1372/1000</f>
        <v>3.7648533022645774</v>
      </c>
      <c r="J1375" s="33">
        <f>J1373*D1372/1000</f>
        <v>3.7479114624043874</v>
      </c>
      <c r="K1375" s="33">
        <f>K1373*D1372/1000</f>
        <v>3.7310458608235679</v>
      </c>
      <c r="L1375" s="33">
        <f>L1373*D1372/1000</f>
        <v>3.714256154449862</v>
      </c>
      <c r="M1375" s="33">
        <f>M1373*D1372/1000</f>
        <v>3.6975420017548379</v>
      </c>
      <c r="N1375" s="33">
        <f>N1373*D1372/1000</f>
        <v>3.6809030627469417</v>
      </c>
      <c r="O1375" s="33">
        <f>O1373*D1372/1000</f>
        <v>3.6643389989645803</v>
      </c>
      <c r="P1375" s="33">
        <f>P1373*D1372/1000</f>
        <v>3.6478494734692402</v>
      </c>
      <c r="Q1375" s="33">
        <f>Q1373*D1372/1000</f>
        <v>3.6314341508386287</v>
      </c>
      <c r="R1375" s="33">
        <f>R1373*D1372/1000</f>
        <v>3.6150926971598549</v>
      </c>
      <c r="S1375" s="33">
        <f>S1373*D1372/1000</f>
        <v>3.5988247800226358</v>
      </c>
      <c r="T1375" s="33">
        <f>T1373*D1372/1000</f>
        <v>3.5826300685125347</v>
      </c>
      <c r="U1375" s="33">
        <f>U1373*D1372/1000</f>
        <v>3.5665082332042282</v>
      </c>
      <c r="V1375" s="33">
        <f>V1373*D1372/1000</f>
        <v>3.5504589461548091</v>
      </c>
      <c r="W1375" s="33">
        <f>W1373*D1372/1000</f>
        <v>3.5344818808971126</v>
      </c>
      <c r="X1375" s="33">
        <f>X1373*D1372/1000</f>
        <v>3.518576712433076</v>
      </c>
      <c r="Y1375" s="33">
        <f>Y1373*D1372/1000</f>
        <v>3.5027431172271277</v>
      </c>
      <c r="Z1375" s="33">
        <f>Z1373*D1372/1000</f>
        <v>3.4869807731996061</v>
      </c>
      <c r="AA1375" s="33">
        <f>AA1373*D1372/1000</f>
        <v>3.4712893597202079</v>
      </c>
    </row>
    <row r="1376" spans="3:27" hidden="1" outlineLevel="1" x14ac:dyDescent="0.3">
      <c r="F1376" s="4" t="s">
        <v>20</v>
      </c>
      <c r="G1376" s="33">
        <f>SUM(H1377:AA1377)</f>
        <v>11.077048190318756</v>
      </c>
      <c r="H1376" s="33"/>
      <c r="I1376" s="33"/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  <c r="Z1376" s="33"/>
      <c r="AA1376" s="33"/>
    </row>
    <row r="1377" spans="2:27" hidden="1" outlineLevel="1" x14ac:dyDescent="0.3">
      <c r="F1377" s="7" t="s">
        <v>21</v>
      </c>
      <c r="G1377" s="33"/>
      <c r="H1377" s="33">
        <f>(H1375-H1368-H1370)*G1363</f>
        <v>0.5932004312568</v>
      </c>
      <c r="I1377" s="33">
        <f>(I1375-I1368-I1370)*G1363</f>
        <v>0.58894582556614439</v>
      </c>
      <c r="J1377" s="33">
        <f>(J1375-J1368-J1370)*G1363</f>
        <v>0.58471036560109702</v>
      </c>
      <c r="K1377" s="33">
        <f>(K1375-K1368-K1370)*G1363</f>
        <v>0.58049396520589203</v>
      </c>
      <c r="L1377" s="33">
        <f>(L1375-L1368-L1370)*G1363</f>
        <v>0.57629653861246566</v>
      </c>
      <c r="M1377" s="33">
        <f>(M1375-M1368-M1370)*G1363</f>
        <v>0.57211800043870964</v>
      </c>
      <c r="N1377" s="33">
        <f>(N1375-N1368-N1370)*G1363</f>
        <v>0.56795826568673546</v>
      </c>
      <c r="O1377" s="33">
        <f>(O1375-O1368-O1370)*G1363</f>
        <v>0.56381724974114511</v>
      </c>
      <c r="P1377" s="33">
        <f>(P1375-P1368-P1370)*G1363</f>
        <v>0.55969486836731019</v>
      </c>
      <c r="Q1377" s="33">
        <f>(Q1375-Q1368-Q1370)*G1363</f>
        <v>0.55559103770965734</v>
      </c>
      <c r="R1377" s="33">
        <f>(R1375-R1368-R1370)*G1363</f>
        <v>0.55150567428996378</v>
      </c>
      <c r="S1377" s="33">
        <f>(S1375-S1368-S1370)*G1363</f>
        <v>0.54743869500565912</v>
      </c>
      <c r="T1377" s="33">
        <f>(T1375-T1368-T1370)*G1363</f>
        <v>0.54339001712813384</v>
      </c>
      <c r="U1377" s="33">
        <f>(U1375-U1368-U1370)*G1363</f>
        <v>0.53935955830105708</v>
      </c>
      <c r="V1377" s="33">
        <f>(V1375-V1368-V1370)*G1363</f>
        <v>0.53534723653870242</v>
      </c>
      <c r="W1377" s="33">
        <f>(W1375-W1368-W1370)*G1363</f>
        <v>0.5313529702242783</v>
      </c>
      <c r="X1377" s="33">
        <f>(X1375-X1368-X1370)*G1363</f>
        <v>0.52737667810826916</v>
      </c>
      <c r="Y1377" s="33">
        <f>(Y1375-Y1368-Y1370)*G1363</f>
        <v>0.52341827930678209</v>
      </c>
      <c r="Z1377" s="33">
        <f>(Z1375-Z1368-Z1370)*G1363</f>
        <v>0.51947769329990168</v>
      </c>
      <c r="AA1377" s="33">
        <f>(AA1375-AA1368-AA1370)*G1363</f>
        <v>0.51555483993005202</v>
      </c>
    </row>
    <row r="1378" spans="2:27" hidden="1" outlineLevel="1" x14ac:dyDescent="0.3">
      <c r="F1378" s="10" t="s">
        <v>22</v>
      </c>
      <c r="G1378" s="33">
        <f>-G1366</f>
        <v>-24.611999999999995</v>
      </c>
      <c r="H1378" s="33">
        <f>H1375-H1377-H1370</f>
        <v>2.9486712937704</v>
      </c>
      <c r="I1378" s="33">
        <f t="shared" ref="I1378" si="491">I1375-I1377-I1370</f>
        <v>2.935907476698433</v>
      </c>
      <c r="J1378" s="33">
        <f t="shared" ref="J1378" si="492">J1375-J1377-J1370</f>
        <v>2.9232010968032904</v>
      </c>
      <c r="K1378" s="33">
        <f t="shared" ref="K1378" si="493">K1375-K1377-K1370</f>
        <v>2.9105518956176759</v>
      </c>
      <c r="L1378" s="33">
        <f t="shared" ref="L1378" si="494">L1375-L1377-L1370</f>
        <v>2.8979596158373964</v>
      </c>
      <c r="M1378" s="33">
        <f t="shared" ref="M1378" si="495">M1375-M1377-M1370</f>
        <v>2.8854240013161281</v>
      </c>
      <c r="N1378" s="33">
        <f t="shared" ref="N1378" si="496">N1375-N1377-N1370</f>
        <v>2.8729447970602058</v>
      </c>
      <c r="O1378" s="33">
        <f t="shared" ref="O1378" si="497">O1375-O1377-O1370</f>
        <v>2.8605217492234347</v>
      </c>
      <c r="P1378" s="33">
        <f t="shared" ref="P1378" si="498">P1375-P1377-P1370</f>
        <v>2.8481546051019295</v>
      </c>
      <c r="Q1378" s="33">
        <f t="shared" ref="Q1378" si="499">Q1375-Q1377-Q1370</f>
        <v>2.8358431131289716</v>
      </c>
      <c r="R1378" s="33">
        <f t="shared" ref="R1378" si="500">R1375-R1377-R1370</f>
        <v>2.8235870228698907</v>
      </c>
      <c r="S1378" s="33">
        <f t="shared" ref="S1378" si="501">S1375-S1377-S1370</f>
        <v>2.8113860850169763</v>
      </c>
      <c r="T1378" s="33">
        <f t="shared" ref="T1378" si="502">T1375-T1377-T1370</f>
        <v>2.7992400513844009</v>
      </c>
      <c r="U1378" s="33">
        <f t="shared" ref="U1378" si="503">U1375-U1377-U1370</f>
        <v>2.7871486749031709</v>
      </c>
      <c r="V1378" s="33">
        <f t="shared" ref="V1378" si="504">V1375-V1377-V1370</f>
        <v>2.7751117096161062</v>
      </c>
      <c r="W1378" s="33">
        <f t="shared" ref="W1378" si="505">W1375-W1377-W1370</f>
        <v>2.7631289106728341</v>
      </c>
      <c r="X1378" s="33">
        <f t="shared" ref="X1378" si="506">X1375-X1377-X1370</f>
        <v>2.7512000343248069</v>
      </c>
      <c r="Y1378" s="33">
        <f t="shared" ref="Y1378" si="507">Y1375-Y1377-Y1370</f>
        <v>2.7393248379203454</v>
      </c>
      <c r="Z1378" s="33">
        <f t="shared" ref="Z1378" si="508">Z1375-Z1377-Z1370</f>
        <v>2.7275030798997042</v>
      </c>
      <c r="AA1378" s="33">
        <f t="shared" ref="AA1378" si="509">AA1375-AA1377-AA1370</f>
        <v>2.7157345197901561</v>
      </c>
    </row>
    <row r="1379" spans="2:27" ht="13.5" hidden="1" outlineLevel="1" thickBot="1" x14ac:dyDescent="0.35">
      <c r="F1379" s="3" t="s">
        <v>68</v>
      </c>
      <c r="G1379" s="40">
        <f>IRR(G1378:AA1378)</f>
        <v>9.8787316489960197E-2</v>
      </c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</row>
    <row r="1380" spans="2:27" ht="13.5" collapsed="1" thickTop="1" x14ac:dyDescent="0.3"/>
    <row r="1381" spans="2:27" x14ac:dyDescent="0.3">
      <c r="B1381" s="11" t="s">
        <v>172</v>
      </c>
      <c r="C1381" s="11" t="s">
        <v>52</v>
      </c>
    </row>
    <row r="1382" spans="2:27" x14ac:dyDescent="0.3">
      <c r="C1382" s="11" t="s">
        <v>141</v>
      </c>
      <c r="D1382" s="54">
        <f>D1413</f>
        <v>1063</v>
      </c>
    </row>
    <row r="1383" spans="2:27" x14ac:dyDescent="0.3">
      <c r="C1383" s="16" t="s">
        <v>78</v>
      </c>
      <c r="D1383" s="37">
        <f>(G1412+G1415+G1422)/G1418*1000</f>
        <v>0.36462476970934893</v>
      </c>
    </row>
    <row r="1384" spans="2:27" x14ac:dyDescent="0.3">
      <c r="C1384" s="13" t="s">
        <v>77</v>
      </c>
      <c r="D1384" s="39">
        <f>(G1393+G1396+G1403)/G1399*1000</f>
        <v>0.56048918960581562</v>
      </c>
    </row>
    <row r="1385" spans="2:27" x14ac:dyDescent="0.3">
      <c r="C1385" s="13" t="s">
        <v>61</v>
      </c>
      <c r="D1385" s="36">
        <f>G1406</f>
        <v>5.6625647195035572E-2</v>
      </c>
    </row>
    <row r="1386" spans="2:27" x14ac:dyDescent="0.3">
      <c r="C1386" s="13" t="s">
        <v>73</v>
      </c>
      <c r="D1386" s="25">
        <f>SUM(G1405:AA1405)</f>
        <v>1.3936704287642152</v>
      </c>
    </row>
    <row r="1387" spans="2:27" ht="13.5" thickBot="1" x14ac:dyDescent="0.35">
      <c r="C1387" s="23" t="s">
        <v>68</v>
      </c>
      <c r="D1387" s="26">
        <f>G1425</f>
        <v>7.7314954037421391E-2</v>
      </c>
    </row>
    <row r="1388" spans="2:27" ht="13.5" hidden="1" outlineLevel="1" thickTop="1" x14ac:dyDescent="0.3">
      <c r="E1388" s="20"/>
      <c r="F1388" s="38" t="s">
        <v>75</v>
      </c>
    </row>
    <row r="1389" spans="2:27" hidden="1" outlineLevel="1" x14ac:dyDescent="0.3">
      <c r="C1389" s="11" t="s">
        <v>71</v>
      </c>
      <c r="F1389" s="13" t="s">
        <v>25</v>
      </c>
      <c r="G1389" s="14">
        <v>7.0000000000000007E-2</v>
      </c>
    </row>
    <row r="1390" spans="2:27" hidden="1" outlineLevel="1" x14ac:dyDescent="0.3">
      <c r="C1390" s="18" t="s">
        <v>53</v>
      </c>
      <c r="D1390" s="19">
        <f>分布式光伏电站IRR汇总!$B$2</f>
        <v>6</v>
      </c>
      <c r="F1390" s="13" t="s">
        <v>26</v>
      </c>
      <c r="G1390" s="14">
        <v>0.25</v>
      </c>
    </row>
    <row r="1391" spans="2:27" hidden="1" outlineLevel="1" x14ac:dyDescent="0.3">
      <c r="C1391" s="18" t="s">
        <v>56</v>
      </c>
      <c r="D1391" s="19">
        <f>分布式光伏电站IRR汇总!$B$3</f>
        <v>120</v>
      </c>
      <c r="F1391" s="1" t="s">
        <v>44</v>
      </c>
      <c r="G1391" s="4"/>
      <c r="H1391" s="5">
        <v>1</v>
      </c>
      <c r="I1391" s="5">
        <v>2</v>
      </c>
      <c r="J1391" s="5">
        <v>3</v>
      </c>
      <c r="K1391" s="5">
        <v>4</v>
      </c>
      <c r="L1391" s="5">
        <v>5</v>
      </c>
      <c r="M1391" s="5">
        <v>6</v>
      </c>
      <c r="N1391" s="5">
        <v>7</v>
      </c>
      <c r="O1391" s="5">
        <v>8</v>
      </c>
      <c r="P1391" s="5">
        <v>9</v>
      </c>
      <c r="Q1391" s="5">
        <v>10</v>
      </c>
      <c r="R1391" s="5">
        <v>11</v>
      </c>
      <c r="S1391" s="5">
        <v>12</v>
      </c>
      <c r="T1391" s="5">
        <v>13</v>
      </c>
      <c r="U1391" s="5">
        <v>14</v>
      </c>
      <c r="V1391" s="5">
        <v>15</v>
      </c>
      <c r="W1391" s="5">
        <v>16</v>
      </c>
      <c r="X1391" s="5">
        <v>17</v>
      </c>
      <c r="Y1391" s="5">
        <v>18</v>
      </c>
      <c r="Z1391" s="5">
        <v>19</v>
      </c>
      <c r="AA1391" s="5">
        <v>20</v>
      </c>
    </row>
    <row r="1392" spans="2:27" hidden="1" outlineLevel="1" x14ac:dyDescent="0.3">
      <c r="C1392" s="18" t="s">
        <v>57</v>
      </c>
      <c r="D1392" s="19">
        <f>分布式光伏电站IRR汇总!$B$4</f>
        <v>3</v>
      </c>
      <c r="F1392" s="16"/>
      <c r="G1392" s="2" t="s">
        <v>0</v>
      </c>
      <c r="H1392" s="2" t="s">
        <v>1</v>
      </c>
      <c r="I1392" s="2" t="s">
        <v>2</v>
      </c>
      <c r="J1392" s="2" t="s">
        <v>3</v>
      </c>
      <c r="K1392" s="2" t="s">
        <v>4</v>
      </c>
      <c r="L1392" s="2" t="s">
        <v>5</v>
      </c>
      <c r="M1392" s="2" t="s">
        <v>6</v>
      </c>
      <c r="N1392" s="2" t="s">
        <v>7</v>
      </c>
      <c r="O1392" s="2" t="s">
        <v>8</v>
      </c>
      <c r="P1392" s="2" t="s">
        <v>9</v>
      </c>
      <c r="Q1392" s="2" t="s">
        <v>10</v>
      </c>
      <c r="R1392" s="2" t="s">
        <v>11</v>
      </c>
      <c r="S1392" s="2" t="s">
        <v>12</v>
      </c>
      <c r="T1392" s="2" t="s">
        <v>13</v>
      </c>
      <c r="U1392" s="2" t="s">
        <v>45</v>
      </c>
      <c r="V1392" s="2" t="s">
        <v>46</v>
      </c>
      <c r="W1392" s="2" t="s">
        <v>47</v>
      </c>
      <c r="X1392" s="2" t="s">
        <v>48</v>
      </c>
      <c r="Y1392" s="2" t="s">
        <v>49</v>
      </c>
      <c r="Z1392" s="2" t="s">
        <v>50</v>
      </c>
      <c r="AA1392" s="2" t="s">
        <v>127</v>
      </c>
    </row>
    <row r="1393" spans="3:27" hidden="1" outlineLevel="1" x14ac:dyDescent="0.3">
      <c r="C1393" s="18" t="s">
        <v>54</v>
      </c>
      <c r="D1393" s="19">
        <f>分布式光伏电站IRR汇总!$B$5</f>
        <v>5</v>
      </c>
      <c r="F1393" s="6" t="s">
        <v>14</v>
      </c>
      <c r="G1393" s="33">
        <f>D1414</f>
        <v>24.611999999999995</v>
      </c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</row>
    <row r="1394" spans="3:27" hidden="1" outlineLevel="1" x14ac:dyDescent="0.3">
      <c r="C1394" s="18" t="s">
        <v>55</v>
      </c>
      <c r="D1394" s="19">
        <f>分布式光伏电站IRR汇总!$B$6</f>
        <v>15</v>
      </c>
      <c r="F1394" s="6" t="s">
        <v>15</v>
      </c>
      <c r="G1394" s="33">
        <f>SUM(H1395:AA1395)</f>
        <v>12.385144234005573</v>
      </c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</row>
    <row r="1395" spans="3:27" hidden="1" outlineLevel="1" x14ac:dyDescent="0.3">
      <c r="C1395" s="18" t="s">
        <v>42</v>
      </c>
      <c r="D1395" s="19">
        <f>分布式光伏电站IRR汇总!$B$7</f>
        <v>4.1019999999999994</v>
      </c>
      <c r="F1395" s="7" t="s">
        <v>16</v>
      </c>
      <c r="G1395" s="33"/>
      <c r="H1395" s="33">
        <f>D1414*(1-D1412)/D1408/((1+G1389)^H1391)</f>
        <v>1.0925887850467286</v>
      </c>
      <c r="I1395" s="33">
        <f>D1414*(1-D1412)/D1408/((1+G1389)^I1391)</f>
        <v>1.0211110140623632</v>
      </c>
      <c r="J1395" s="33">
        <f>D1414*(1-D1412)/D1408/((1+G1389)^J1391)</f>
        <v>0.95430935893678792</v>
      </c>
      <c r="K1395" s="33">
        <f>D1414*(1-D1412)/D1408/((1+G1389)^K1391)</f>
        <v>0.89187790554839996</v>
      </c>
      <c r="L1395" s="33">
        <f>D1414*(1-D1412)/D1408/((1+G1389)^L1391)</f>
        <v>0.83353075284897193</v>
      </c>
      <c r="M1395" s="33">
        <f>D1414*(1-D1412)/D1408/((1+G1389)^M1391)</f>
        <v>0.77900070359717</v>
      </c>
      <c r="N1395" s="33">
        <f>D1414*(1-D1412)/D1408/((1+G1389)^N1391)</f>
        <v>0.72803804074501866</v>
      </c>
      <c r="O1395" s="33">
        <f>D1414*(1-D1412)/D1408/((1+G1389)^O1391)</f>
        <v>0.6804093838738493</v>
      </c>
      <c r="P1395" s="33">
        <f>D1414*(1-D1412)/D1408/((1+G1389)^P1391)</f>
        <v>0.63589662044284967</v>
      </c>
      <c r="Q1395" s="33">
        <f>D1414*(1-D1412)/D1408/((1+G1389)^Q1391)</f>
        <v>0.59429590695593437</v>
      </c>
      <c r="R1395" s="33">
        <f>D1414*(1-D1412)/D1408/((1+G1389)^R1391)</f>
        <v>0.55541673547283577</v>
      </c>
      <c r="S1395" s="33">
        <f>D1414*(1-D1412)/D1408/((1+G1389)^S1391)</f>
        <v>0.51908106118956621</v>
      </c>
      <c r="T1395" s="33">
        <f>D1414*(1-D1412)/D1408/((1+G1389)^T1391)</f>
        <v>0.4851224870930525</v>
      </c>
      <c r="U1395" s="33">
        <f>D1414*(1-D1412)/D1408/((1+G1389)^U1391)</f>
        <v>0.45338550195612387</v>
      </c>
      <c r="V1395" s="33">
        <f>D1414*(1-D1412)/D1408/((1+G1389)^V1391)</f>
        <v>0.4237247681832933</v>
      </c>
      <c r="W1395" s="33">
        <f>D1414*(1-D1412)/D1408/((1+G1389)^W1391)</f>
        <v>0.39600445624606856</v>
      </c>
      <c r="X1395" s="33">
        <f>D1414*(1-D1412)/D1408/((1+G1389)^X1391)</f>
        <v>0.37009762265987711</v>
      </c>
      <c r="Y1395" s="33">
        <f>D1414*(1-D1412)/D1408/((1+G1389)^Y1391)</f>
        <v>0.34588562865409078</v>
      </c>
      <c r="Z1395" s="33">
        <f>D1414*(1-D1412)/D1408/((1+G1389)^Z1391)</f>
        <v>0.323257596872982</v>
      </c>
      <c r="AA1395" s="33">
        <f>D1414*(1-D1412)/D1408/((1+G1389)^AA1391)</f>
        <v>0.30210990361960938</v>
      </c>
    </row>
    <row r="1396" spans="3:27" hidden="1" outlineLevel="1" x14ac:dyDescent="0.3">
      <c r="C1396" s="21" t="s">
        <v>32</v>
      </c>
      <c r="D1396" s="19">
        <f>分布式光伏电站IRR汇总!$B$8</f>
        <v>1.8870000000000002</v>
      </c>
      <c r="F1396" s="6" t="s">
        <v>17</v>
      </c>
      <c r="G1396" s="33">
        <f>SUM(H1397:AA1397)</f>
        <v>2.5425634189238777</v>
      </c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</row>
    <row r="1397" spans="3:27" hidden="1" outlineLevel="1" x14ac:dyDescent="0.3">
      <c r="C1397" s="21" t="s">
        <v>33</v>
      </c>
      <c r="D1397" s="19">
        <f>分布式光伏电站IRR汇总!$B$9</f>
        <v>0.18500000000000003</v>
      </c>
      <c r="F1397" s="7" t="s">
        <v>18</v>
      </c>
      <c r="G1397" s="33"/>
      <c r="H1397" s="33">
        <f>D1411*D1390/((1+G1389)^H1391)</f>
        <v>0.22429906542056072</v>
      </c>
      <c r="I1397" s="33">
        <f>D1411*D1390/((1+G1389)^I1391)</f>
        <v>0.20962529478557079</v>
      </c>
      <c r="J1397" s="33">
        <f>D1411*D1390/((1+G1389)^J1391)</f>
        <v>0.19591149045380446</v>
      </c>
      <c r="K1397" s="33">
        <f>D1411*D1390/((1+G1389)^K1391)</f>
        <v>0.18309485089140604</v>
      </c>
      <c r="L1397" s="33">
        <f>D1411*D1390/((1+G1389)^L1391)</f>
        <v>0.17111668307608041</v>
      </c>
      <c r="M1397" s="33">
        <f>D1411*D1390/((1+G1389)^M1391)</f>
        <v>0.15992213371596301</v>
      </c>
      <c r="N1397" s="33">
        <f>D1411*D1390/((1+G1389)^N1391)</f>
        <v>0.14945993805230187</v>
      </c>
      <c r="O1397" s="33">
        <f>D1411*D1390/((1+G1389)^O1391)</f>
        <v>0.13968218509560923</v>
      </c>
      <c r="P1397" s="33">
        <f>D1411*D1390/((1+G1389)^P1391)</f>
        <v>0.13054409822019553</v>
      </c>
      <c r="Q1397" s="33">
        <f>D1411*D1390/((1+G1389)^Q1391)</f>
        <v>0.12200383011233226</v>
      </c>
      <c r="R1397" s="33">
        <f>D1411*D1390/((1+G1389)^R1391)</f>
        <v>0.1140222711330208</v>
      </c>
      <c r="S1397" s="33">
        <f>D1411*D1390/((1+G1389)^S1391)</f>
        <v>0.10656287021777647</v>
      </c>
      <c r="T1397" s="33">
        <f>D1411*D1390/((1+G1389)^T1391)</f>
        <v>9.9591467493249028E-2</v>
      </c>
      <c r="U1397" s="33">
        <f>D1411*D1390/((1+G1389)^U1391)</f>
        <v>9.3076137844157969E-2</v>
      </c>
      <c r="V1397" s="33">
        <f>D1411*D1390/((1+G1389)^V1391)</f>
        <v>8.6987044714166323E-2</v>
      </c>
      <c r="W1397" s="33">
        <f>D1411*D1390/((1+G1389)^W1391)</f>
        <v>8.1296303471183481E-2</v>
      </c>
      <c r="X1397" s="33">
        <f>D1411*D1390/((1+G1389)^X1391)</f>
        <v>7.5977853711386434E-2</v>
      </c>
      <c r="Y1397" s="33">
        <f>D1411*D1390/((1+G1389)^Y1391)</f>
        <v>7.1007339917183582E-2</v>
      </c>
      <c r="Z1397" s="33">
        <f>D1411*D1390/((1+G1389)^Z1391)</f>
        <v>6.6361999922601472E-2</v>
      </c>
      <c r="AA1397" s="33">
        <f>D1411*D1390/((1+G1389)^AA1391)</f>
        <v>6.2020560675328483E-2</v>
      </c>
    </row>
    <row r="1398" spans="3:27" hidden="1" outlineLevel="1" x14ac:dyDescent="0.3">
      <c r="C1398" s="21" t="s">
        <v>34</v>
      </c>
      <c r="D1398" s="19">
        <f>分布式光伏电站IRR汇总!$B$10</f>
        <v>0.222</v>
      </c>
      <c r="F1398" s="6" t="s">
        <v>19</v>
      </c>
      <c r="G1398" s="33"/>
      <c r="H1398" s="33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>
        <f>D1411*D1414/((1+G1389)^AA1391)</f>
        <v>0.2544083398901974</v>
      </c>
    </row>
    <row r="1399" spans="3:27" hidden="1" outlineLevel="1" x14ac:dyDescent="0.3">
      <c r="C1399" s="21" t="s">
        <v>35</v>
      </c>
      <c r="D1399" s="19">
        <f>分布式光伏电站IRR汇总!$B$11</f>
        <v>0.44400000000000001</v>
      </c>
      <c r="F1399" s="8" t="s">
        <v>64</v>
      </c>
      <c r="G1399" s="33">
        <f>SUM(H1400:AA1400)</f>
        <v>55499.888040392754</v>
      </c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</row>
    <row r="1400" spans="3:27" hidden="1" outlineLevel="1" x14ac:dyDescent="0.3">
      <c r="C1400" s="21" t="s">
        <v>36</v>
      </c>
      <c r="D1400" s="19">
        <f>分布式光伏电站IRR汇总!$B$12</f>
        <v>0.222</v>
      </c>
      <c r="F1400" s="9" t="s">
        <v>65</v>
      </c>
      <c r="G1400" s="33"/>
      <c r="H1400" s="33">
        <f>D1390*D1407*(1-D1409)*D1413/((1+G1389)^H1391)</f>
        <v>5058.7673271028025</v>
      </c>
      <c r="I1400" s="33">
        <f>D1390*D1407*(1-D1409)*(1-D1410)^(I1391-1)*D1413/((1+G1389)^I1391)</f>
        <v>4706.5447421783556</v>
      </c>
      <c r="J1400" s="33">
        <f>D1390*D1407*(1-D1409)*(1-D1410)^(J1391-1)*D1413/((1+G1389)^J1391)</f>
        <v>4378.8460662042553</v>
      </c>
      <c r="K1400" s="33">
        <f>D1390*D1407*(1-D1409)*(1-D1410)^(K1391-1)*D1413/((1+G1389)^K1391)</f>
        <v>4073.9637933704084</v>
      </c>
      <c r="L1400" s="33">
        <f>D1390*D1407*(1-D1409)*(1-D1410)^(L1391-1)*D1413/((1+G1389)^L1391)</f>
        <v>3790.3093049534964</v>
      </c>
      <c r="M1400" s="33">
        <f>D1390*D1407*(1-D1409)*(1-D1410)^(M1391-1)*D1413/((1+G1389)^M1391)</f>
        <v>3526.4045916646787</v>
      </c>
      <c r="N1400" s="33">
        <f>D1390*D1407*(1-D1409)*(1-D1410)^(N1391-1)*D1413/((1+G1389)^N1391)</f>
        <v>3280.8745523384932</v>
      </c>
      <c r="O1400" s="33">
        <f>D1390*D1407*(1-D1409)*(1-D1410)^(O1391-1)*D1413/((1+G1389)^O1391)</f>
        <v>3052.4398288345515</v>
      </c>
      <c r="P1400" s="33">
        <f>D1390*D1407*(1-D1409)*(1-D1410)^(P1391-1)*D1413/((1+G1389)^P1391)</f>
        <v>2839.9101398175662</v>
      </c>
      <c r="Q1400" s="33">
        <f>D1390*D1407*(1-D1409)*(1-D1410)^(Q1391-1)*D1413/((1+G1389)^Q1391)</f>
        <v>2642.1780786807358</v>
      </c>
      <c r="R1400" s="33">
        <f>D1390*D1407*(1-D1409)*(1-D1410)^(R1391-1)*D1413/((1+G1389)^R1391)</f>
        <v>2458.2133432959558</v>
      </c>
      <c r="S1400" s="33">
        <f>D1390*D1407*(1-D1409)*(1-D1410)^(S1391-1)*D1413/((1+G1389)^S1391)</f>
        <v>2287.0573675244154</v>
      </c>
      <c r="T1400" s="33">
        <f>D1390*D1407*(1-D1409)*(1-D1410)^(T1391-1)*D1413/((1+G1389)^T1391)</f>
        <v>2127.8183265145381</v>
      </c>
      <c r="U1400" s="33">
        <f>D1390*D1407*(1-D1409)*(1-D1410)^(U1391-1)*D1413/((1+G1389)^U1391)</f>
        <v>1979.6664897618903</v>
      </c>
      <c r="V1400" s="33">
        <f>D1390*D1407*(1-D1409)*(1-D1410)^(V1391-1)*D1413/((1+G1389)^V1391)</f>
        <v>1841.8298977177212</v>
      </c>
      <c r="W1400" s="33">
        <f>D1390*D1407*(1-D1409)*(1-D1410)^(W1391-1)*D1413/((1+G1389)^W1391)</f>
        <v>1713.5903394186839</v>
      </c>
      <c r="X1400" s="33">
        <f>D1390*D1407*(1-D1409)*(1-D1410)^(X1391-1)*D1413/((1+G1389)^X1391)</f>
        <v>1594.2796101787851</v>
      </c>
      <c r="Y1400" s="33">
        <f>D1390*D1407*(1-D1409)*(1-D1410)^(Y1391-1)*D1413/((1+G1389)^Y1391)</f>
        <v>1483.2760298439071</v>
      </c>
      <c r="Z1400" s="33">
        <f>D1390*D1407*(1-D1409)*(1-D1410)^(Z1391-1)*D1413/((1+G1389)^Z1391)</f>
        <v>1380.0012034669251</v>
      </c>
      <c r="AA1400" s="33">
        <f>D1390*D1407*(1-D1409)*(1-D1410)^(AA1391-1)*D1413/((1+G1389)^AA1391)</f>
        <v>1283.9170075246018</v>
      </c>
    </row>
    <row r="1401" spans="3:27" hidden="1" outlineLevel="1" x14ac:dyDescent="0.3">
      <c r="C1401" s="21" t="s">
        <v>37</v>
      </c>
      <c r="D1401" s="19">
        <f>分布式光伏电站IRR汇总!$B$13</f>
        <v>0.15</v>
      </c>
      <c r="F1401" s="4" t="s">
        <v>66</v>
      </c>
      <c r="G1401" s="33">
        <f>SUM(H1402:AA1402)</f>
        <v>33.088409245940973</v>
      </c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</row>
    <row r="1402" spans="3:27" hidden="1" outlineLevel="1" x14ac:dyDescent="0.3">
      <c r="C1402" s="21" t="s">
        <v>38</v>
      </c>
      <c r="D1402" s="19">
        <f>分布式光伏电站IRR汇总!$B$14</f>
        <v>3.7000000000000005E-2</v>
      </c>
      <c r="F1402" s="7" t="s">
        <v>67</v>
      </c>
      <c r="G1402" s="33"/>
      <c r="H1402" s="33">
        <f>H1400*D1418/1000</f>
        <v>3.0159802030113765</v>
      </c>
      <c r="I1402" s="33">
        <f>I1400*D1418/1000</f>
        <v>2.8059890580353515</v>
      </c>
      <c r="J1402" s="33">
        <f>J1400*D1418/1000</f>
        <v>2.6106187918450394</v>
      </c>
      <c r="K1402" s="33">
        <f>K1400*D1418/1000</f>
        <v>2.4288514086745208</v>
      </c>
      <c r="L1402" s="33">
        <f>L1400*D1418/1000</f>
        <v>2.259739791902323</v>
      </c>
      <c r="M1402" s="33">
        <f>M1400*D1418/1000</f>
        <v>2.1024027690081892</v>
      </c>
      <c r="N1402" s="33">
        <f>N1400*D1418/1000</f>
        <v>1.9560205201379932</v>
      </c>
      <c r="O1402" s="33">
        <f>O1400*D1418/1000</f>
        <v>1.8198303063526842</v>
      </c>
      <c r="P1402" s="33">
        <f>P1400*D1418/1000</f>
        <v>1.6931224953028943</v>
      </c>
      <c r="Q1402" s="33">
        <f>Q1400*D1418/1000</f>
        <v>1.5752368636205902</v>
      </c>
      <c r="R1402" s="33">
        <f>R1400*D1418/1000</f>
        <v>1.4655591567610258</v>
      </c>
      <c r="S1402" s="33">
        <f>S1400*D1418/1000</f>
        <v>1.363517888369721</v>
      </c>
      <c r="T1402" s="33">
        <f>T1400*D1418/1000</f>
        <v>1.26858136249725</v>
      </c>
      <c r="U1402" s="33">
        <f>U1400*D1418/1000</f>
        <v>1.1802549031458058</v>
      </c>
      <c r="V1402" s="33">
        <f>V1400*D1418/1000</f>
        <v>1.0980782767118222</v>
      </c>
      <c r="W1402" s="33">
        <f>W1400*D1418/1000</f>
        <v>1.0216232938940366</v>
      </c>
      <c r="X1402" s="33">
        <f>X1400*D1418/1000</f>
        <v>0.9504915785715079</v>
      </c>
      <c r="Y1402" s="33">
        <f>Y1400*D1418/1000</f>
        <v>0.88431249202610851</v>
      </c>
      <c r="Z1402" s="33">
        <f>Z1400*D1418/1000</f>
        <v>0.82274120169344989</v>
      </c>
      <c r="AA1402" s="33">
        <f>AA1400*D1418/1000</f>
        <v>0.76545688437927972</v>
      </c>
    </row>
    <row r="1403" spans="3:27" hidden="1" outlineLevel="1" x14ac:dyDescent="0.3">
      <c r="C1403" s="21" t="s">
        <v>39</v>
      </c>
      <c r="D1403" s="19">
        <f>分布式光伏电站IRR汇总!$B$15</f>
        <v>0.25900000000000006</v>
      </c>
      <c r="F1403" s="4" t="s">
        <v>20</v>
      </c>
      <c r="G1403" s="33">
        <f>SUM(H1404:V1404)</f>
        <v>3.9525238520493615</v>
      </c>
      <c r="H1403" s="33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  <c r="AA1403" s="33"/>
    </row>
    <row r="1404" spans="3:27" hidden="1" outlineLevel="1" x14ac:dyDescent="0.3">
      <c r="C1404" s="21" t="s">
        <v>40</v>
      </c>
      <c r="D1404" s="19">
        <f>分布式光伏电站IRR汇总!$B$16</f>
        <v>7.400000000000001E-2</v>
      </c>
      <c r="F1404" s="7" t="s">
        <v>21</v>
      </c>
      <c r="G1404" s="33"/>
      <c r="H1404" s="33">
        <f>(H1402-H1395-H1397)*G1390</f>
        <v>0.42477308813602177</v>
      </c>
      <c r="I1404" s="33">
        <f>(I1402-I1395-I1397)*G1390</f>
        <v>0.39381318729685438</v>
      </c>
      <c r="J1404" s="33">
        <f>(J1402-J1395-J1397)*G1390</f>
        <v>0.36509948561361177</v>
      </c>
      <c r="K1404" s="33">
        <f>(K1402-K1395-K1397)*G1390</f>
        <v>0.3384696630586787</v>
      </c>
      <c r="L1404" s="33">
        <f>(L1402-L1395-L1397)*G1390</f>
        <v>0.31377308899431766</v>
      </c>
      <c r="M1404" s="33">
        <f>(M1402-M1395-M1397)*G1390</f>
        <v>0.29086998292376404</v>
      </c>
      <c r="N1404" s="33">
        <f>(N1402-N1395-N1397)*G1390</f>
        <v>0.26963063533516818</v>
      </c>
      <c r="O1404" s="33">
        <f>(O1402-O1395-O1397)*G1390</f>
        <v>0.24993468434580643</v>
      </c>
      <c r="P1404" s="33">
        <f>(P1402-P1395-P1397)*G1390</f>
        <v>0.2316704441599623</v>
      </c>
      <c r="Q1404" s="33">
        <f>(Q1402-Q1395-Q1397)*G1390</f>
        <v>0.21473428163808089</v>
      </c>
      <c r="R1404" s="33">
        <f>(R1402-R1395-R1397)*G1390</f>
        <v>0.19903003753879231</v>
      </c>
      <c r="S1404" s="33">
        <f>(S1402-S1395-S1397)*G1390</f>
        <v>0.18446848924059459</v>
      </c>
      <c r="T1404" s="33">
        <f>(T1402-T1395-T1397)*G1390</f>
        <v>0.17096685197773712</v>
      </c>
      <c r="U1404" s="33">
        <f>(U1402-U1395-U1397)*G1390</f>
        <v>0.15844831583638097</v>
      </c>
      <c r="V1404" s="33">
        <f>(V1402-V1395-V1397)*G1390</f>
        <v>0.14684161595359066</v>
      </c>
      <c r="W1404" s="33">
        <f>(W1402-W1395-W1397)*G1390</f>
        <v>0.13608063354419617</v>
      </c>
      <c r="X1404" s="33">
        <f>(X1402-X1395-X1397)*G1390</f>
        <v>0.12610402555006109</v>
      </c>
      <c r="Y1404" s="33">
        <f>(Y1402-Y1395-Y1397)*G1390</f>
        <v>0.11685488086370854</v>
      </c>
      <c r="Z1404" s="33">
        <f>(Z1402-Z1395-Z1397)*G1390</f>
        <v>0.10828040122446661</v>
      </c>
      <c r="AA1404" s="33">
        <f>(AA1402-AA1395-AA1397)*G1390</f>
        <v>0.10033160502108547</v>
      </c>
    </row>
    <row r="1405" spans="3:27" hidden="1" outlineLevel="1" x14ac:dyDescent="0.3">
      <c r="C1405" s="21" t="s">
        <v>41</v>
      </c>
      <c r="D1405" s="19">
        <f>分布式光伏电站IRR汇总!$B$17</f>
        <v>0.222</v>
      </c>
      <c r="F1405" s="10" t="s">
        <v>22</v>
      </c>
      <c r="G1405" s="33">
        <f>-G1393</f>
        <v>-24.611999999999995</v>
      </c>
      <c r="H1405" s="33">
        <f t="shared" ref="H1405:AA1405" si="510">H1402-H1404-H1397</f>
        <v>2.366908049454794</v>
      </c>
      <c r="I1405" s="33">
        <f t="shared" si="510"/>
        <v>2.2025505759529267</v>
      </c>
      <c r="J1405" s="33">
        <f t="shared" si="510"/>
        <v>2.0496078157776232</v>
      </c>
      <c r="K1405" s="33">
        <f t="shared" si="510"/>
        <v>1.9072868947244361</v>
      </c>
      <c r="L1405" s="33">
        <f t="shared" si="510"/>
        <v>1.774850019831925</v>
      </c>
      <c r="M1405" s="33">
        <f t="shared" si="510"/>
        <v>1.6516106523684622</v>
      </c>
      <c r="N1405" s="33">
        <f t="shared" si="510"/>
        <v>1.5369299467505231</v>
      </c>
      <c r="O1405" s="33">
        <f t="shared" si="510"/>
        <v>1.4302134369112687</v>
      </c>
      <c r="P1405" s="33">
        <f t="shared" si="510"/>
        <v>1.3309079529227366</v>
      </c>
      <c r="Q1405" s="33">
        <f t="shared" si="510"/>
        <v>1.2384987518701771</v>
      </c>
      <c r="R1405" s="33">
        <f t="shared" si="510"/>
        <v>1.1525068480892127</v>
      </c>
      <c r="S1405" s="33">
        <f t="shared" si="510"/>
        <v>1.0724865289113499</v>
      </c>
      <c r="T1405" s="33">
        <f t="shared" si="510"/>
        <v>0.99802304302626377</v>
      </c>
      <c r="U1405" s="33">
        <f t="shared" si="510"/>
        <v>0.92873044946526684</v>
      </c>
      <c r="V1405" s="33">
        <f t="shared" si="510"/>
        <v>0.86424961604406525</v>
      </c>
      <c r="W1405" s="33">
        <f t="shared" si="510"/>
        <v>0.80424635687865698</v>
      </c>
      <c r="X1405" s="33">
        <f t="shared" si="510"/>
        <v>0.74840969931006041</v>
      </c>
      <c r="Y1405" s="33">
        <f t="shared" si="510"/>
        <v>0.69645027124521641</v>
      </c>
      <c r="Z1405" s="33">
        <f t="shared" si="510"/>
        <v>0.6480988005463818</v>
      </c>
      <c r="AA1405" s="33">
        <f t="shared" si="510"/>
        <v>0.60310471868286575</v>
      </c>
    </row>
    <row r="1406" spans="3:27" ht="13.5" hidden="1" outlineLevel="1" thickBot="1" x14ac:dyDescent="0.35">
      <c r="C1406" s="21" t="s">
        <v>74</v>
      </c>
      <c r="D1406" s="19">
        <f>分布式光伏电站IRR汇总!$B$18</f>
        <v>0.4</v>
      </c>
      <c r="F1406" s="3" t="s">
        <v>61</v>
      </c>
      <c r="G1406" s="35">
        <f>SUM(G1405:AA1405)/G1393</f>
        <v>5.6625647195035572E-2</v>
      </c>
      <c r="H1406" s="34"/>
      <c r="I1406" s="34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</row>
    <row r="1407" spans="3:27" ht="13.5" hidden="1" outlineLevel="1" thickTop="1" x14ac:dyDescent="0.3">
      <c r="C1407" s="18" t="s">
        <v>58</v>
      </c>
      <c r="D1407" s="19">
        <f>分布式光伏电站IRR汇总!$B$19</f>
        <v>0.86599999999999999</v>
      </c>
    </row>
    <row r="1408" spans="3:27" hidden="1" outlineLevel="1" x14ac:dyDescent="0.3">
      <c r="C1408" s="18" t="s">
        <v>62</v>
      </c>
      <c r="D1408" s="19">
        <f>分布式光伏电站IRR汇总!$B$20</f>
        <v>20</v>
      </c>
      <c r="F1408" s="13" t="s">
        <v>25</v>
      </c>
      <c r="G1408" s="14">
        <v>0</v>
      </c>
    </row>
    <row r="1409" spans="3:27" hidden="1" outlineLevel="1" x14ac:dyDescent="0.3">
      <c r="C1409" s="18" t="s">
        <v>59</v>
      </c>
      <c r="D1409" s="52">
        <f>分布式光伏电站IRR汇总!$B$21</f>
        <v>0.02</v>
      </c>
      <c r="F1409" s="13" t="s">
        <v>26</v>
      </c>
      <c r="G1409" s="14">
        <v>0.25</v>
      </c>
      <c r="Q1409" s="15"/>
    </row>
    <row r="1410" spans="3:27" hidden="1" outlineLevel="1" x14ac:dyDescent="0.3">
      <c r="C1410" s="18" t="s">
        <v>60</v>
      </c>
      <c r="D1410" s="52">
        <f>分布式光伏电站IRR汇总!$B$22</f>
        <v>4.4999999999999997E-3</v>
      </c>
      <c r="F1410" s="1" t="s">
        <v>44</v>
      </c>
      <c r="G1410" s="4"/>
      <c r="H1410" s="5">
        <v>1</v>
      </c>
      <c r="I1410" s="5">
        <v>2</v>
      </c>
      <c r="J1410" s="5">
        <v>3</v>
      </c>
      <c r="K1410" s="5">
        <v>4</v>
      </c>
      <c r="L1410" s="5">
        <v>5</v>
      </c>
      <c r="M1410" s="5">
        <v>6</v>
      </c>
      <c r="N1410" s="5">
        <v>7</v>
      </c>
      <c r="O1410" s="5">
        <v>8</v>
      </c>
      <c r="P1410" s="5">
        <v>9</v>
      </c>
      <c r="Q1410" s="5">
        <v>10</v>
      </c>
      <c r="R1410" s="5">
        <v>11</v>
      </c>
      <c r="S1410" s="5">
        <v>12</v>
      </c>
      <c r="T1410" s="5">
        <v>13</v>
      </c>
      <c r="U1410" s="5">
        <v>14</v>
      </c>
      <c r="V1410" s="5">
        <v>15</v>
      </c>
      <c r="W1410" s="5">
        <v>16</v>
      </c>
      <c r="X1410" s="5">
        <v>17</v>
      </c>
      <c r="Y1410" s="5">
        <v>18</v>
      </c>
      <c r="Z1410" s="5">
        <v>19</v>
      </c>
      <c r="AA1410" s="5">
        <v>20</v>
      </c>
    </row>
    <row r="1411" spans="3:27" hidden="1" outlineLevel="1" x14ac:dyDescent="0.3">
      <c r="C1411" s="18" t="s">
        <v>28</v>
      </c>
      <c r="D1411" s="29">
        <f>分布式光伏电站IRR汇总!$B$23</f>
        <v>0.04</v>
      </c>
      <c r="F1411" s="16"/>
      <c r="G1411" s="2" t="s">
        <v>0</v>
      </c>
      <c r="H1411" s="2" t="s">
        <v>1</v>
      </c>
      <c r="I1411" s="2" t="s">
        <v>2</v>
      </c>
      <c r="J1411" s="2" t="s">
        <v>3</v>
      </c>
      <c r="K1411" s="2" t="s">
        <v>4</v>
      </c>
      <c r="L1411" s="2" t="s">
        <v>5</v>
      </c>
      <c r="M1411" s="2" t="s">
        <v>6</v>
      </c>
      <c r="N1411" s="2" t="s">
        <v>7</v>
      </c>
      <c r="O1411" s="2" t="s">
        <v>8</v>
      </c>
      <c r="P1411" s="2" t="s">
        <v>9</v>
      </c>
      <c r="Q1411" s="2" t="s">
        <v>10</v>
      </c>
      <c r="R1411" s="2" t="s">
        <v>11</v>
      </c>
      <c r="S1411" s="2" t="s">
        <v>12</v>
      </c>
      <c r="T1411" s="2" t="s">
        <v>13</v>
      </c>
      <c r="U1411" s="2" t="s">
        <v>45</v>
      </c>
      <c r="V1411" s="2" t="s">
        <v>46</v>
      </c>
      <c r="W1411" s="2" t="s">
        <v>47</v>
      </c>
      <c r="X1411" s="2" t="s">
        <v>48</v>
      </c>
      <c r="Y1411" s="2" t="s">
        <v>49</v>
      </c>
      <c r="Z1411" s="2" t="s">
        <v>50</v>
      </c>
      <c r="AA1411" s="2" t="s">
        <v>51</v>
      </c>
    </row>
    <row r="1412" spans="3:27" hidden="1" outlineLevel="1" x14ac:dyDescent="0.3">
      <c r="C1412" s="18" t="s">
        <v>43</v>
      </c>
      <c r="D1412" s="19">
        <f>分布式光伏电站IRR汇总!$B$24</f>
        <v>0.05</v>
      </c>
      <c r="F1412" s="6" t="s">
        <v>14</v>
      </c>
      <c r="G1412" s="33">
        <f>D1414</f>
        <v>24.611999999999995</v>
      </c>
      <c r="H1412" s="33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  <c r="AA1412" s="33"/>
    </row>
    <row r="1413" spans="3:27" hidden="1" outlineLevel="1" x14ac:dyDescent="0.3">
      <c r="C1413" s="18" t="s">
        <v>126</v>
      </c>
      <c r="D1413" s="28">
        <f>Backup分地区光伏小时数及电价!E31</f>
        <v>1063</v>
      </c>
      <c r="F1413" s="6" t="s">
        <v>15</v>
      </c>
      <c r="G1413" s="33">
        <f>SUM(H1414:AA1414)</f>
        <v>23.381399999999985</v>
      </c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</row>
    <row r="1414" spans="3:27" hidden="1" outlineLevel="1" x14ac:dyDescent="0.3">
      <c r="C1414" s="24" t="s">
        <v>14</v>
      </c>
      <c r="D1414" s="30">
        <f>D1390*D1395</f>
        <v>24.611999999999995</v>
      </c>
      <c r="F1414" s="7" t="s">
        <v>16</v>
      </c>
      <c r="G1414" s="33"/>
      <c r="H1414" s="33">
        <f>D1414*(1-D1412)/D1408/((1+G1408)^H1410)</f>
        <v>1.1690699999999996</v>
      </c>
      <c r="I1414" s="33">
        <f>D1414*(1-D1412)/D1408/((1+G1408)^I1410)</f>
        <v>1.1690699999999996</v>
      </c>
      <c r="J1414" s="33">
        <f>D1414*(1-D1412)/D1408/((1+G1408)^J1410)</f>
        <v>1.1690699999999996</v>
      </c>
      <c r="K1414" s="33">
        <f>D1414*(1-D1412)/D1408/((1+G1408)^K1410)</f>
        <v>1.1690699999999996</v>
      </c>
      <c r="L1414" s="33">
        <f>D1414*(1-D1412)/D1408/((1+G1408)^L1410)</f>
        <v>1.1690699999999996</v>
      </c>
      <c r="M1414" s="33">
        <f>D1414*(1-D1412)/D1408/((1+G1408)^M1410)</f>
        <v>1.1690699999999996</v>
      </c>
      <c r="N1414" s="33">
        <f>D1414*(1-D1412)/D1408/((1+G1408)^N1410)</f>
        <v>1.1690699999999996</v>
      </c>
      <c r="O1414" s="33">
        <f>D1414*(1-D1412)/D1408/((1+G1408)^O1410)</f>
        <v>1.1690699999999996</v>
      </c>
      <c r="P1414" s="33">
        <f>D1414*(1-D1412)/D1408/((1+G1408)^P1410)</f>
        <v>1.1690699999999996</v>
      </c>
      <c r="Q1414" s="33">
        <f>D1414*(1-D1412)/D1408/((1+G1408)^Q1410)</f>
        <v>1.1690699999999996</v>
      </c>
      <c r="R1414" s="33">
        <f>D1414*(1-D1412)/D1408/((1+G1408)^R1410)</f>
        <v>1.1690699999999996</v>
      </c>
      <c r="S1414" s="33">
        <f>D1414*(1-D1412)/D1408/((1+G1408)^S1410)</f>
        <v>1.1690699999999996</v>
      </c>
      <c r="T1414" s="33">
        <f>D1414*(1-D1412)/D1408/((1+G1408)^T1410)</f>
        <v>1.1690699999999996</v>
      </c>
      <c r="U1414" s="33">
        <f>D1414*(1-D1412)/D1408/((1+G1408)^U1410)</f>
        <v>1.1690699999999996</v>
      </c>
      <c r="V1414" s="33">
        <f>D1414*(1-D1412)/D1408/((1+G1408)^V1410)</f>
        <v>1.1690699999999996</v>
      </c>
      <c r="W1414" s="33">
        <f>D1414*(1-D1412)/D1408/((1+G1408)^W1410)</f>
        <v>1.1690699999999996</v>
      </c>
      <c r="X1414" s="33">
        <f>D1414*(1-D1412)/D1408/((1+G1408)^X1410)</f>
        <v>1.1690699999999996</v>
      </c>
      <c r="Y1414" s="33">
        <f>D1414*(1-D1412)/D1408/((1+G1408)^Y1410)</f>
        <v>1.1690699999999996</v>
      </c>
      <c r="Z1414" s="33">
        <f>D1414*(1-D1412)/D1408/((1+G1408)^Z1410)</f>
        <v>1.1690699999999996</v>
      </c>
      <c r="AA1414" s="33">
        <f>D1414*(1-D1412)/D1408/((1+G1408)^AA1410)</f>
        <v>1.1690699999999996</v>
      </c>
    </row>
    <row r="1415" spans="3:27" hidden="1" outlineLevel="1" x14ac:dyDescent="0.3">
      <c r="C1415" s="18" t="s">
        <v>29</v>
      </c>
      <c r="D1415" s="29">
        <v>0.35980000000000001</v>
      </c>
      <c r="F1415" s="6" t="s">
        <v>17</v>
      </c>
      <c r="G1415" s="33">
        <f>SUM(H1416:AA1416)</f>
        <v>4.8000000000000025</v>
      </c>
      <c r="H1415" s="33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  <c r="Z1415" s="33"/>
      <c r="AA1415" s="33"/>
    </row>
    <row r="1416" spans="3:27" hidden="1" outlineLevel="1" x14ac:dyDescent="0.3">
      <c r="C1416" s="18" t="s">
        <v>30</v>
      </c>
      <c r="D1416" s="31">
        <f>Backup分地区光伏小时数及电价!I31</f>
        <v>0.59618875666666671</v>
      </c>
      <c r="F1416" s="7" t="s">
        <v>18</v>
      </c>
      <c r="G1416" s="33"/>
      <c r="H1416" s="33">
        <f>D1411*D1390/((1+G1408)^H1410)</f>
        <v>0.24</v>
      </c>
      <c r="I1416" s="33">
        <f>D1411*D1390/((1+G1408)^I1410)</f>
        <v>0.24</v>
      </c>
      <c r="J1416" s="33">
        <f>D1411*D1390/((1+G1408)^J1410)</f>
        <v>0.24</v>
      </c>
      <c r="K1416" s="33">
        <f>D1411*D1390/((1+G1408)^K1410)</f>
        <v>0.24</v>
      </c>
      <c r="L1416" s="33">
        <f>D1411*D1390/((1+G1408)^L1410)</f>
        <v>0.24</v>
      </c>
      <c r="M1416" s="33">
        <f>D1411*D1390/((1+G1408)^M1410)</f>
        <v>0.24</v>
      </c>
      <c r="N1416" s="33">
        <f>D1411*D1390/((1+G1408)^N1410)</f>
        <v>0.24</v>
      </c>
      <c r="O1416" s="33">
        <f>D1411*D1390/((1+G1408)^O1410)</f>
        <v>0.24</v>
      </c>
      <c r="P1416" s="33">
        <f>D1411*D1390/((1+G1408)^P1410)</f>
        <v>0.24</v>
      </c>
      <c r="Q1416" s="33">
        <f>D1411*D1390/((1+G1408)^Q1410)</f>
        <v>0.24</v>
      </c>
      <c r="R1416" s="33">
        <f>D1411*D1390/((1+G1408)^R1410)</f>
        <v>0.24</v>
      </c>
      <c r="S1416" s="33">
        <f>D1411*D1390/((1+G1408)^S1410)</f>
        <v>0.24</v>
      </c>
      <c r="T1416" s="33">
        <f>D1411*D1390/((1+G1408)^T1410)</f>
        <v>0.24</v>
      </c>
      <c r="U1416" s="33">
        <f>D1411*D1390/((1+G1408)^U1410)</f>
        <v>0.24</v>
      </c>
      <c r="V1416" s="33">
        <f>D1411*D1390/((1+G1408)^V1410)</f>
        <v>0.24</v>
      </c>
      <c r="W1416" s="33">
        <f>D1411*D1390/((1+G1408)^W1410)</f>
        <v>0.24</v>
      </c>
      <c r="X1416" s="33">
        <f>D1411*D1390/((1+G1408)^X1410)</f>
        <v>0.24</v>
      </c>
      <c r="Y1416" s="33">
        <f>D1411*D1390/((1+G1408)^Y1410)</f>
        <v>0.24</v>
      </c>
      <c r="Z1416" s="33">
        <f>D1411*D1390/((1+G1408)^Z1410)</f>
        <v>0.24</v>
      </c>
      <c r="AA1416" s="33">
        <f>D1411*D1390/((1+G1408)^AA1410)</f>
        <v>0.24</v>
      </c>
    </row>
    <row r="1417" spans="3:27" hidden="1" outlineLevel="1" x14ac:dyDescent="0.3">
      <c r="C1417" s="18" t="s">
        <v>70</v>
      </c>
      <c r="D1417" s="32">
        <f>分布式光伏电站IRR汇总!$B$27</f>
        <v>1</v>
      </c>
      <c r="F1417" s="6" t="s">
        <v>19</v>
      </c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  <c r="AA1417" s="33">
        <f>D1411*D1414/((1+G1408)^AA1410)</f>
        <v>0.9844799999999998</v>
      </c>
    </row>
    <row r="1418" spans="3:27" hidden="1" outlineLevel="1" x14ac:dyDescent="0.3">
      <c r="C1418" s="18" t="s">
        <v>69</v>
      </c>
      <c r="D1418" s="31">
        <f>D1417*D1416</f>
        <v>0.59618875666666671</v>
      </c>
      <c r="F1418" s="8" t="s">
        <v>64</v>
      </c>
      <c r="G1418" s="33">
        <f>SUM(H1419:AA1419)</f>
        <v>103752.20810854042</v>
      </c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  <c r="AA1418" s="33"/>
    </row>
    <row r="1419" spans="3:27" hidden="1" outlineLevel="1" x14ac:dyDescent="0.3">
      <c r="C1419" s="18" t="s">
        <v>31</v>
      </c>
      <c r="D1419" s="27">
        <v>0</v>
      </c>
      <c r="F1419" s="9" t="s">
        <v>65</v>
      </c>
      <c r="G1419" s="33"/>
      <c r="H1419" s="33">
        <f>D1390*D1407*(1-D1409)*D1413/((1+G1408)^H1410)</f>
        <v>5412.8810399999993</v>
      </c>
      <c r="I1419" s="33">
        <f>D1390*D1407*(1-D1409)*(1-D1410)^(I1410-1)*D1413/((1+G1408)^I1410)</f>
        <v>5388.5230753199994</v>
      </c>
      <c r="J1419" s="33">
        <f>D1390*D1407*(1-D1409)*(1-D1410)^(J1410-1)*D1413/((1+G1408)^J1410)</f>
        <v>5364.2747214810597</v>
      </c>
      <c r="K1419" s="33">
        <f>D1390*D1407*(1-D1409)*(1-D1410)^(K1410-1)*D1413/((1+G1408)^K1410)</f>
        <v>5340.1354852343957</v>
      </c>
      <c r="L1419" s="33">
        <f>D1390*D1407*(1-D1409)*(1-D1410)^(L1410-1)*D1413/((1+G1408)^L1410)</f>
        <v>5316.1048755508409</v>
      </c>
      <c r="M1419" s="33">
        <f>D1390*D1407*(1-D1409)*(1-D1410)^(M1410-1)*D1413/((1+G1408)^M1410)</f>
        <v>5292.1824036108628</v>
      </c>
      <c r="N1419" s="33">
        <f>D1390*D1407*(1-D1409)*(1-D1410)^(N1410-1)*D1413/((1+G1408)^N1410)</f>
        <v>5268.3675827946145</v>
      </c>
      <c r="O1419" s="33">
        <f>D1390*D1407*(1-D1409)*(1-D1410)^(O1410-1)*D1413/((1+G1408)^O1410)</f>
        <v>5244.6599286720384</v>
      </c>
      <c r="P1419" s="33">
        <f>D1390*D1407*(1-D1409)*(1-D1410)^(P1410-1)*D1413/((1+G1408)^P1410)</f>
        <v>5221.058958993015</v>
      </c>
      <c r="Q1419" s="33">
        <f>D1390*D1407*(1-D1409)*(1-D1410)^(Q1410-1)*D1413/((1+G1408)^Q1410)</f>
        <v>5197.5641936775464</v>
      </c>
      <c r="R1419" s="33">
        <f>D1390*D1407*(1-D1409)*(1-D1410)^(R1410-1)*D1413/((1+G1408)^R1410)</f>
        <v>5174.1751548059983</v>
      </c>
      <c r="S1419" s="33">
        <f>D1390*D1407*(1-D1409)*(1-D1410)^(S1410-1)*D1413/((1+G1408)^S1410)</f>
        <v>5150.8913666093713</v>
      </c>
      <c r="T1419" s="33">
        <f>D1390*D1407*(1-D1409)*(1-D1410)^(T1410-1)*D1413/((1+G1408)^T1410)</f>
        <v>5127.7123554596301</v>
      </c>
      <c r="U1419" s="33">
        <f>D1390*D1407*(1-D1409)*(1-D1410)^(U1410-1)*D1413/((1+G1408)^U1410)</f>
        <v>5104.6376498600612</v>
      </c>
      <c r="V1419" s="33">
        <f>D1390*D1407*(1-D1409)*(1-D1410)^(V1410-1)*D1413/((1+G1408)^V1410)</f>
        <v>5081.6667804356912</v>
      </c>
      <c r="W1419" s="33">
        <f>D1390*D1407*(1-D1409)*(1-D1410)^(W1410-1)*D1413/((1+G1408)^W1410)</f>
        <v>5058.7992799237309</v>
      </c>
      <c r="X1419" s="33">
        <f>D1390*D1407*(1-D1409)*(1-D1410)^(X1410-1)*D1413/((1+G1408)^X1410)</f>
        <v>5036.0346831640745</v>
      </c>
      <c r="Y1419" s="33">
        <f>D1390*D1407*(1-D1409)*(1-D1410)^(Y1410-1)*D1413/((1+G1408)^Y1410)</f>
        <v>5013.3725270898367</v>
      </c>
      <c r="Z1419" s="33">
        <f>D1390*D1407*(1-D1409)*(1-D1410)^(Z1410-1)*D1413/((1+G1408)^Z1410)</f>
        <v>4990.8123507179334</v>
      </c>
      <c r="AA1419" s="33">
        <f>D1390*D1407*(1-D1409)*(1-D1410)^(AA1410-1)*D1413/((1+G1408)^AA1410)</f>
        <v>4968.3536951397027</v>
      </c>
    </row>
    <row r="1420" spans="3:27" hidden="1" outlineLevel="1" x14ac:dyDescent="0.3">
      <c r="F1420" s="4" t="s">
        <v>66</v>
      </c>
      <c r="G1420" s="33">
        <f>SUM(H1421:AA1421)</f>
        <v>61.855899953651956</v>
      </c>
      <c r="H1420" s="33"/>
      <c r="I1420" s="33"/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  <c r="Z1420" s="33"/>
      <c r="AA1420" s="33"/>
    </row>
    <row r="1421" spans="3:27" hidden="1" outlineLevel="1" x14ac:dyDescent="0.3">
      <c r="F1421" s="7" t="s">
        <v>67</v>
      </c>
      <c r="G1421" s="33"/>
      <c r="H1421" s="33">
        <f>H1419*D1418/1000</f>
        <v>3.2270988172221733</v>
      </c>
      <c r="I1421" s="33">
        <f>I1419*D1418/1000</f>
        <v>3.2125768725446737</v>
      </c>
      <c r="J1421" s="33">
        <f>J1419*D1418/1000</f>
        <v>3.1981202766182228</v>
      </c>
      <c r="K1421" s="33">
        <f>K1419*D1418/1000</f>
        <v>3.1837287353734416</v>
      </c>
      <c r="L1421" s="33">
        <f>L1419*D1418/1000</f>
        <v>3.1694019560642608</v>
      </c>
      <c r="M1421" s="33">
        <f>M1419*D1418/1000</f>
        <v>3.1551396472619722</v>
      </c>
      <c r="N1421" s="33">
        <f>N1419*D1418/1000</f>
        <v>3.1409415188492935</v>
      </c>
      <c r="O1421" s="33">
        <f>O1419*D1418/1000</f>
        <v>3.1268072820144717</v>
      </c>
      <c r="P1421" s="33">
        <f>P1419*D1418/1000</f>
        <v>3.1127366492454067</v>
      </c>
      <c r="Q1421" s="33">
        <f>Q1419*D1418/1000</f>
        <v>3.0987293343238025</v>
      </c>
      <c r="R1421" s="33">
        <f>R1419*D1418/1000</f>
        <v>3.0847850523193459</v>
      </c>
      <c r="S1421" s="33">
        <f>S1419*D1418/1000</f>
        <v>3.0709035195839087</v>
      </c>
      <c r="T1421" s="33">
        <f>T1419*D1418/1000</f>
        <v>3.057084453745782</v>
      </c>
      <c r="U1421" s="33">
        <f>U1419*D1418/1000</f>
        <v>3.0433275737039254</v>
      </c>
      <c r="V1421" s="33">
        <f>V1419*D1418/1000</f>
        <v>3.0296325996222579</v>
      </c>
      <c r="W1421" s="33">
        <f>W1419*D1418/1000</f>
        <v>3.0159992529239581</v>
      </c>
      <c r="X1421" s="33">
        <f>X1419*D1418/1000</f>
        <v>3.0024272562858005</v>
      </c>
      <c r="Y1421" s="33">
        <f>Y1419*D1418/1000</f>
        <v>2.9889163336325146</v>
      </c>
      <c r="Z1421" s="33">
        <f>Z1419*D1418/1000</f>
        <v>2.9754662101311689</v>
      </c>
      <c r="AA1421" s="33">
        <f>AA1419*D1418/1000</f>
        <v>2.9620766121855784</v>
      </c>
    </row>
    <row r="1422" spans="3:27" hidden="1" outlineLevel="1" x14ac:dyDescent="0.3">
      <c r="F1422" s="4" t="s">
        <v>20</v>
      </c>
      <c r="G1422" s="33">
        <f>SUM(H1423:AA1423)</f>
        <v>8.4186249884129918</v>
      </c>
      <c r="H1422" s="33"/>
      <c r="I1422" s="33"/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  <c r="AA1422" s="33"/>
    </row>
    <row r="1423" spans="3:27" hidden="1" outlineLevel="1" x14ac:dyDescent="0.3">
      <c r="F1423" s="7" t="s">
        <v>21</v>
      </c>
      <c r="G1423" s="33"/>
      <c r="H1423" s="33">
        <f>(H1421-H1414-H1416)*G1409</f>
        <v>0.45450720430554342</v>
      </c>
      <c r="I1423" s="33">
        <f>(I1421-I1414-I1416)*G1409</f>
        <v>0.45087671813616853</v>
      </c>
      <c r="J1423" s="33">
        <f>(J1421-J1414-J1416)*G1409</f>
        <v>0.44726256915455581</v>
      </c>
      <c r="K1423" s="33">
        <f>(K1421-K1414-K1416)*G1409</f>
        <v>0.4436646838433605</v>
      </c>
      <c r="L1423" s="33">
        <f>(L1421-L1414-L1416)*G1409</f>
        <v>0.4400829890160653</v>
      </c>
      <c r="M1423" s="33">
        <f>(M1421-M1414-M1416)*G1409</f>
        <v>0.43651741181549314</v>
      </c>
      <c r="N1423" s="33">
        <f>(N1421-N1414-N1416)*G1409</f>
        <v>0.43296787971232348</v>
      </c>
      <c r="O1423" s="33">
        <f>(O1421-O1414-O1416)*G1409</f>
        <v>0.42943432050361802</v>
      </c>
      <c r="P1423" s="33">
        <f>(P1421-P1414-P1416)*G1409</f>
        <v>0.42591666231135178</v>
      </c>
      <c r="Q1423" s="33">
        <f>(Q1421-Q1414-Q1416)*G1409</f>
        <v>0.42241483358095072</v>
      </c>
      <c r="R1423" s="33">
        <f>(R1421-R1414-R1416)*G1409</f>
        <v>0.41892876307983656</v>
      </c>
      <c r="S1423" s="33">
        <f>(S1421-S1414-S1416)*G1409</f>
        <v>0.41545837989597728</v>
      </c>
      <c r="T1423" s="33">
        <f>(T1421-T1414-T1416)*G1409</f>
        <v>0.41200361343644559</v>
      </c>
      <c r="U1423" s="33">
        <f>(U1421-U1414-U1416)*G1409</f>
        <v>0.40856439342598144</v>
      </c>
      <c r="V1423" s="33">
        <f>(V1421-V1414-V1416)*G1409</f>
        <v>0.40514064990556459</v>
      </c>
      <c r="W1423" s="33">
        <f>(W1421-W1414-W1416)*G1409</f>
        <v>0.40173231323098962</v>
      </c>
      <c r="X1423" s="33">
        <f>(X1421-X1414-X1416)*G1409</f>
        <v>0.39833931407145023</v>
      </c>
      <c r="Y1423" s="33">
        <f>(Y1421-Y1414-Y1416)*G1409</f>
        <v>0.39496158340812876</v>
      </c>
      <c r="Z1423" s="33">
        <f>(Z1421-Z1414-Z1416)*G1409</f>
        <v>0.39159905253279231</v>
      </c>
      <c r="AA1423" s="33">
        <f>(AA1421-AA1414-AA1416)*G1409</f>
        <v>0.3882516530463947</v>
      </c>
    </row>
    <row r="1424" spans="3:27" hidden="1" outlineLevel="1" x14ac:dyDescent="0.3">
      <c r="F1424" s="10" t="s">
        <v>22</v>
      </c>
      <c r="G1424" s="33">
        <f>-G1412</f>
        <v>-24.611999999999995</v>
      </c>
      <c r="H1424" s="33">
        <f>H1421-H1423-H1416</f>
        <v>2.5325916129166295</v>
      </c>
      <c r="I1424" s="33">
        <f t="shared" ref="I1424" si="511">I1421-I1423-I1416</f>
        <v>2.5217001544085056</v>
      </c>
      <c r="J1424" s="33">
        <f t="shared" ref="J1424" si="512">J1421-J1423-J1416</f>
        <v>2.5108577074636669</v>
      </c>
      <c r="K1424" s="33">
        <f t="shared" ref="K1424" si="513">K1421-K1423-K1416</f>
        <v>2.5000640515300807</v>
      </c>
      <c r="L1424" s="33">
        <f t="shared" ref="L1424" si="514">L1421-L1423-L1416</f>
        <v>2.4893189670481952</v>
      </c>
      <c r="M1424" s="33">
        <f t="shared" ref="M1424" si="515">M1421-M1423-M1416</f>
        <v>2.4786222354464789</v>
      </c>
      <c r="N1424" s="33">
        <f t="shared" ref="N1424" si="516">N1421-N1423-N1416</f>
        <v>2.4679736391369698</v>
      </c>
      <c r="O1424" s="33">
        <f t="shared" ref="O1424" si="517">O1421-O1423-O1416</f>
        <v>2.4573729615108535</v>
      </c>
      <c r="P1424" s="33">
        <f t="shared" ref="P1424" si="518">P1421-P1423-P1416</f>
        <v>2.446819986934055</v>
      </c>
      <c r="Q1424" s="33">
        <f t="shared" ref="Q1424" si="519">Q1421-Q1423-Q1416</f>
        <v>2.4363145007428519</v>
      </c>
      <c r="R1424" s="33">
        <f t="shared" ref="R1424" si="520">R1421-R1423-R1416</f>
        <v>2.4258562892395092</v>
      </c>
      <c r="S1424" s="33">
        <f t="shared" ref="S1424" si="521">S1421-S1423-S1416</f>
        <v>2.4154451396879315</v>
      </c>
      <c r="T1424" s="33">
        <f t="shared" ref="T1424" si="522">T1421-T1423-T1416</f>
        <v>2.4050808403093367</v>
      </c>
      <c r="U1424" s="33">
        <f t="shared" ref="U1424" si="523">U1421-U1423-U1416</f>
        <v>2.3947631802779439</v>
      </c>
      <c r="V1424" s="33">
        <f t="shared" ref="V1424" si="524">V1421-V1423-V1416</f>
        <v>2.3844919497166934</v>
      </c>
      <c r="W1424" s="33">
        <f t="shared" ref="W1424" si="525">W1421-W1423-W1416</f>
        <v>2.3742669396929683</v>
      </c>
      <c r="X1424" s="33">
        <f t="shared" ref="X1424" si="526">X1421-X1423-X1416</f>
        <v>2.3640879422143506</v>
      </c>
      <c r="Y1424" s="33">
        <f t="shared" ref="Y1424" si="527">Y1421-Y1423-Y1416</f>
        <v>2.3539547502243856</v>
      </c>
      <c r="Z1424" s="33">
        <f t="shared" ref="Z1424" si="528">Z1421-Z1423-Z1416</f>
        <v>2.3438671575983765</v>
      </c>
      <c r="AA1424" s="33">
        <f t="shared" ref="AA1424" si="529">AA1421-AA1423-AA1416</f>
        <v>2.333824959139184</v>
      </c>
    </row>
    <row r="1425" spans="2:27" ht="13.5" hidden="1" outlineLevel="1" thickBot="1" x14ac:dyDescent="0.35">
      <c r="F1425" s="3" t="s">
        <v>68</v>
      </c>
      <c r="G1425" s="40">
        <f>IRR(G1424:AA1424)</f>
        <v>7.7314954037421391E-2</v>
      </c>
      <c r="H1425" s="34"/>
      <c r="I1425" s="34"/>
      <c r="J1425" s="3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</row>
    <row r="1426" spans="2:27" ht="13.5" collapsed="1" thickTop="1" x14ac:dyDescent="0.3"/>
    <row r="1427" spans="2:27" x14ac:dyDescent="0.3">
      <c r="B1427" s="11" t="s">
        <v>173</v>
      </c>
      <c r="C1427" s="11" t="s">
        <v>52</v>
      </c>
    </row>
    <row r="1428" spans="2:27" x14ac:dyDescent="0.3">
      <c r="C1428" s="11" t="s">
        <v>141</v>
      </c>
      <c r="D1428" s="54">
        <f>D1459</f>
        <v>1055</v>
      </c>
    </row>
    <row r="1429" spans="2:27" x14ac:dyDescent="0.3">
      <c r="C1429" s="16" t="s">
        <v>78</v>
      </c>
      <c r="D1429" s="37">
        <f>(G1458+G1461+G1468)/G1464*1000</f>
        <v>0.38311105872057305</v>
      </c>
    </row>
    <row r="1430" spans="2:27" x14ac:dyDescent="0.3">
      <c r="C1430" s="13" t="s">
        <v>77</v>
      </c>
      <c r="D1430" s="39">
        <f>(G1439+G1442+G1449)/G1445*1000</f>
        <v>0.57834892269484561</v>
      </c>
    </row>
    <row r="1431" spans="2:27" x14ac:dyDescent="0.3">
      <c r="C1431" s="13" t="s">
        <v>61</v>
      </c>
      <c r="D1431" s="36">
        <f>G1452</f>
        <v>0.16217991902680032</v>
      </c>
    </row>
    <row r="1432" spans="2:27" x14ac:dyDescent="0.3">
      <c r="C1432" s="13" t="s">
        <v>73</v>
      </c>
      <c r="D1432" s="25">
        <f>SUM(G1451:AA1451)</f>
        <v>3.9915721670876088</v>
      </c>
    </row>
    <row r="1433" spans="2:27" ht="13.5" thickBot="1" x14ac:dyDescent="0.35">
      <c r="C1433" s="23" t="s">
        <v>68</v>
      </c>
      <c r="D1433" s="26">
        <f>G1471</f>
        <v>9.053848208645765E-2</v>
      </c>
    </row>
    <row r="1434" spans="2:27" ht="13.5" hidden="1" outlineLevel="1" thickTop="1" x14ac:dyDescent="0.3">
      <c r="E1434" s="20"/>
      <c r="F1434" s="38" t="s">
        <v>75</v>
      </c>
    </row>
    <row r="1435" spans="2:27" hidden="1" outlineLevel="1" x14ac:dyDescent="0.3">
      <c r="C1435" s="11" t="s">
        <v>71</v>
      </c>
      <c r="F1435" s="13" t="s">
        <v>25</v>
      </c>
      <c r="G1435" s="14">
        <v>7.0000000000000007E-2</v>
      </c>
    </row>
    <row r="1436" spans="2:27" hidden="1" outlineLevel="1" x14ac:dyDescent="0.3">
      <c r="C1436" s="18" t="s">
        <v>53</v>
      </c>
      <c r="D1436" s="19">
        <f>分布式光伏电站IRR汇总!$B$2</f>
        <v>6</v>
      </c>
      <c r="F1436" s="13" t="s">
        <v>26</v>
      </c>
      <c r="G1436" s="14">
        <v>0.25</v>
      </c>
    </row>
    <row r="1437" spans="2:27" hidden="1" outlineLevel="1" x14ac:dyDescent="0.3">
      <c r="C1437" s="18" t="s">
        <v>56</v>
      </c>
      <c r="D1437" s="19">
        <f>分布式光伏电站IRR汇总!$B$3</f>
        <v>120</v>
      </c>
      <c r="F1437" s="1" t="s">
        <v>44</v>
      </c>
      <c r="G1437" s="4"/>
      <c r="H1437" s="5">
        <v>1</v>
      </c>
      <c r="I1437" s="5">
        <v>2</v>
      </c>
      <c r="J1437" s="5">
        <v>3</v>
      </c>
      <c r="K1437" s="5">
        <v>4</v>
      </c>
      <c r="L1437" s="5">
        <v>5</v>
      </c>
      <c r="M1437" s="5">
        <v>6</v>
      </c>
      <c r="N1437" s="5">
        <v>7</v>
      </c>
      <c r="O1437" s="5">
        <v>8</v>
      </c>
      <c r="P1437" s="5">
        <v>9</v>
      </c>
      <c r="Q1437" s="5">
        <v>10</v>
      </c>
      <c r="R1437" s="5">
        <v>11</v>
      </c>
      <c r="S1437" s="5">
        <v>12</v>
      </c>
      <c r="T1437" s="5">
        <v>13</v>
      </c>
      <c r="U1437" s="5">
        <v>14</v>
      </c>
      <c r="V1437" s="5">
        <v>15</v>
      </c>
      <c r="W1437" s="5">
        <v>16</v>
      </c>
      <c r="X1437" s="5">
        <v>17</v>
      </c>
      <c r="Y1437" s="5">
        <v>18</v>
      </c>
      <c r="Z1437" s="5">
        <v>19</v>
      </c>
      <c r="AA1437" s="5">
        <v>20</v>
      </c>
    </row>
    <row r="1438" spans="2:27" hidden="1" outlineLevel="1" x14ac:dyDescent="0.3">
      <c r="C1438" s="18" t="s">
        <v>57</v>
      </c>
      <c r="D1438" s="19">
        <f>分布式光伏电站IRR汇总!$B$4</f>
        <v>3</v>
      </c>
      <c r="F1438" s="16"/>
      <c r="G1438" s="2" t="s">
        <v>0</v>
      </c>
      <c r="H1438" s="2" t="s">
        <v>1</v>
      </c>
      <c r="I1438" s="2" t="s">
        <v>2</v>
      </c>
      <c r="J1438" s="2" t="s">
        <v>3</v>
      </c>
      <c r="K1438" s="2" t="s">
        <v>4</v>
      </c>
      <c r="L1438" s="2" t="s">
        <v>5</v>
      </c>
      <c r="M1438" s="2" t="s">
        <v>6</v>
      </c>
      <c r="N1438" s="2" t="s">
        <v>7</v>
      </c>
      <c r="O1438" s="2" t="s">
        <v>8</v>
      </c>
      <c r="P1438" s="2" t="s">
        <v>9</v>
      </c>
      <c r="Q1438" s="2" t="s">
        <v>10</v>
      </c>
      <c r="R1438" s="2" t="s">
        <v>11</v>
      </c>
      <c r="S1438" s="2" t="s">
        <v>12</v>
      </c>
      <c r="T1438" s="2" t="s">
        <v>13</v>
      </c>
      <c r="U1438" s="2" t="s">
        <v>45</v>
      </c>
      <c r="V1438" s="2" t="s">
        <v>46</v>
      </c>
      <c r="W1438" s="2" t="s">
        <v>47</v>
      </c>
      <c r="X1438" s="2" t="s">
        <v>48</v>
      </c>
      <c r="Y1438" s="2" t="s">
        <v>49</v>
      </c>
      <c r="Z1438" s="2" t="s">
        <v>50</v>
      </c>
      <c r="AA1438" s="2" t="s">
        <v>127</v>
      </c>
    </row>
    <row r="1439" spans="2:27" hidden="1" outlineLevel="1" x14ac:dyDescent="0.3">
      <c r="C1439" s="18" t="s">
        <v>54</v>
      </c>
      <c r="D1439" s="19">
        <f>分布式光伏电站IRR汇总!$B$5</f>
        <v>5</v>
      </c>
      <c r="F1439" s="6" t="s">
        <v>14</v>
      </c>
      <c r="G1439" s="33">
        <f>D1460</f>
        <v>24.611999999999995</v>
      </c>
      <c r="H1439" s="33"/>
      <c r="I1439" s="33"/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  <c r="T1439" s="33"/>
      <c r="U1439" s="33"/>
      <c r="V1439" s="33"/>
      <c r="W1439" s="33"/>
      <c r="X1439" s="33"/>
      <c r="Y1439" s="33"/>
      <c r="Z1439" s="33"/>
      <c r="AA1439" s="33"/>
    </row>
    <row r="1440" spans="2:27" hidden="1" outlineLevel="1" x14ac:dyDescent="0.3">
      <c r="C1440" s="18" t="s">
        <v>55</v>
      </c>
      <c r="D1440" s="19">
        <f>分布式光伏电站IRR汇总!$B$6</f>
        <v>15</v>
      </c>
      <c r="F1440" s="6" t="s">
        <v>15</v>
      </c>
      <c r="G1440" s="33">
        <f>SUM(H1441:AA1441)</f>
        <v>12.385144234005573</v>
      </c>
      <c r="H1440" s="33"/>
      <c r="I1440" s="33"/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  <c r="T1440" s="33"/>
      <c r="U1440" s="33"/>
      <c r="V1440" s="33"/>
      <c r="W1440" s="33"/>
      <c r="X1440" s="33"/>
      <c r="Y1440" s="33"/>
      <c r="Z1440" s="33"/>
      <c r="AA1440" s="33"/>
    </row>
    <row r="1441" spans="3:27" hidden="1" outlineLevel="1" x14ac:dyDescent="0.3">
      <c r="C1441" s="18" t="s">
        <v>42</v>
      </c>
      <c r="D1441" s="19">
        <f>分布式光伏电站IRR汇总!$B$7</f>
        <v>4.1019999999999994</v>
      </c>
      <c r="F1441" s="7" t="s">
        <v>16</v>
      </c>
      <c r="G1441" s="33"/>
      <c r="H1441" s="33">
        <f>D1460*(1-D1458)/D1454/((1+G1435)^H1437)</f>
        <v>1.0925887850467286</v>
      </c>
      <c r="I1441" s="33">
        <f>D1460*(1-D1458)/D1454/((1+G1435)^I1437)</f>
        <v>1.0211110140623632</v>
      </c>
      <c r="J1441" s="33">
        <f>D1460*(1-D1458)/D1454/((1+G1435)^J1437)</f>
        <v>0.95430935893678792</v>
      </c>
      <c r="K1441" s="33">
        <f>D1460*(1-D1458)/D1454/((1+G1435)^K1437)</f>
        <v>0.89187790554839996</v>
      </c>
      <c r="L1441" s="33">
        <f>D1460*(1-D1458)/D1454/((1+G1435)^L1437)</f>
        <v>0.83353075284897193</v>
      </c>
      <c r="M1441" s="33">
        <f>D1460*(1-D1458)/D1454/((1+G1435)^M1437)</f>
        <v>0.77900070359717</v>
      </c>
      <c r="N1441" s="33">
        <f>D1460*(1-D1458)/D1454/((1+G1435)^N1437)</f>
        <v>0.72803804074501866</v>
      </c>
      <c r="O1441" s="33">
        <f>D1460*(1-D1458)/D1454/((1+G1435)^O1437)</f>
        <v>0.6804093838738493</v>
      </c>
      <c r="P1441" s="33">
        <f>D1460*(1-D1458)/D1454/((1+G1435)^P1437)</f>
        <v>0.63589662044284967</v>
      </c>
      <c r="Q1441" s="33">
        <f>D1460*(1-D1458)/D1454/((1+G1435)^Q1437)</f>
        <v>0.59429590695593437</v>
      </c>
      <c r="R1441" s="33">
        <f>D1460*(1-D1458)/D1454/((1+G1435)^R1437)</f>
        <v>0.55541673547283577</v>
      </c>
      <c r="S1441" s="33">
        <f>D1460*(1-D1458)/D1454/((1+G1435)^S1437)</f>
        <v>0.51908106118956621</v>
      </c>
      <c r="T1441" s="33">
        <f>D1460*(1-D1458)/D1454/((1+G1435)^T1437)</f>
        <v>0.4851224870930525</v>
      </c>
      <c r="U1441" s="33">
        <f>D1460*(1-D1458)/D1454/((1+G1435)^U1437)</f>
        <v>0.45338550195612387</v>
      </c>
      <c r="V1441" s="33">
        <f>D1460*(1-D1458)/D1454/((1+G1435)^V1437)</f>
        <v>0.4237247681832933</v>
      </c>
      <c r="W1441" s="33">
        <f>D1460*(1-D1458)/D1454/((1+G1435)^W1437)</f>
        <v>0.39600445624606856</v>
      </c>
      <c r="X1441" s="33">
        <f>D1460*(1-D1458)/D1454/((1+G1435)^X1437)</f>
        <v>0.37009762265987711</v>
      </c>
      <c r="Y1441" s="33">
        <f>D1460*(1-D1458)/D1454/((1+G1435)^Y1437)</f>
        <v>0.34588562865409078</v>
      </c>
      <c r="Z1441" s="33">
        <f>D1460*(1-D1458)/D1454/((1+G1435)^Z1437)</f>
        <v>0.323257596872982</v>
      </c>
      <c r="AA1441" s="33">
        <f>D1460*(1-D1458)/D1454/((1+G1435)^AA1437)</f>
        <v>0.30210990361960938</v>
      </c>
    </row>
    <row r="1442" spans="3:27" hidden="1" outlineLevel="1" x14ac:dyDescent="0.3">
      <c r="C1442" s="21" t="s">
        <v>32</v>
      </c>
      <c r="D1442" s="19">
        <f>分布式光伏电站IRR汇总!$B$8</f>
        <v>1.8870000000000002</v>
      </c>
      <c r="F1442" s="6" t="s">
        <v>17</v>
      </c>
      <c r="G1442" s="33">
        <f>SUM(H1443:AA1443)</f>
        <v>2.5425634189238777</v>
      </c>
      <c r="H1442" s="33"/>
      <c r="I1442" s="33"/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  <c r="Z1442" s="33"/>
      <c r="AA1442" s="33"/>
    </row>
    <row r="1443" spans="3:27" hidden="1" outlineLevel="1" x14ac:dyDescent="0.3">
      <c r="C1443" s="21" t="s">
        <v>33</v>
      </c>
      <c r="D1443" s="19">
        <f>分布式光伏电站IRR汇总!$B$9</f>
        <v>0.18500000000000003</v>
      </c>
      <c r="F1443" s="7" t="s">
        <v>18</v>
      </c>
      <c r="G1443" s="33"/>
      <c r="H1443" s="33">
        <f>D1457*D1436/((1+G1435)^H1437)</f>
        <v>0.22429906542056072</v>
      </c>
      <c r="I1443" s="33">
        <f>D1457*D1436/((1+G1435)^I1437)</f>
        <v>0.20962529478557079</v>
      </c>
      <c r="J1443" s="33">
        <f>D1457*D1436/((1+G1435)^J1437)</f>
        <v>0.19591149045380446</v>
      </c>
      <c r="K1443" s="33">
        <f>D1457*D1436/((1+G1435)^K1437)</f>
        <v>0.18309485089140604</v>
      </c>
      <c r="L1443" s="33">
        <f>D1457*D1436/((1+G1435)^L1437)</f>
        <v>0.17111668307608041</v>
      </c>
      <c r="M1443" s="33">
        <f>D1457*D1436/((1+G1435)^M1437)</f>
        <v>0.15992213371596301</v>
      </c>
      <c r="N1443" s="33">
        <f>D1457*D1436/((1+G1435)^N1437)</f>
        <v>0.14945993805230187</v>
      </c>
      <c r="O1443" s="33">
        <f>D1457*D1436/((1+G1435)^O1437)</f>
        <v>0.13968218509560923</v>
      </c>
      <c r="P1443" s="33">
        <f>D1457*D1436/((1+G1435)^P1437)</f>
        <v>0.13054409822019553</v>
      </c>
      <c r="Q1443" s="33">
        <f>D1457*D1436/((1+G1435)^Q1437)</f>
        <v>0.12200383011233226</v>
      </c>
      <c r="R1443" s="33">
        <f>D1457*D1436/((1+G1435)^R1437)</f>
        <v>0.1140222711330208</v>
      </c>
      <c r="S1443" s="33">
        <f>D1457*D1436/((1+G1435)^S1437)</f>
        <v>0.10656287021777647</v>
      </c>
      <c r="T1443" s="33">
        <f>D1457*D1436/((1+G1435)^T1437)</f>
        <v>9.9591467493249028E-2</v>
      </c>
      <c r="U1443" s="33">
        <f>D1457*D1436/((1+G1435)^U1437)</f>
        <v>9.3076137844157969E-2</v>
      </c>
      <c r="V1443" s="33">
        <f>D1457*D1436/((1+G1435)^V1437)</f>
        <v>8.6987044714166323E-2</v>
      </c>
      <c r="W1443" s="33">
        <f>D1457*D1436/((1+G1435)^W1437)</f>
        <v>8.1296303471183481E-2</v>
      </c>
      <c r="X1443" s="33">
        <f>D1457*D1436/((1+G1435)^X1437)</f>
        <v>7.5977853711386434E-2</v>
      </c>
      <c r="Y1443" s="33">
        <f>D1457*D1436/((1+G1435)^Y1437)</f>
        <v>7.1007339917183582E-2</v>
      </c>
      <c r="Z1443" s="33">
        <f>D1457*D1436/((1+G1435)^Z1437)</f>
        <v>6.6361999922601472E-2</v>
      </c>
      <c r="AA1443" s="33">
        <f>D1457*D1436/((1+G1435)^AA1437)</f>
        <v>6.2020560675328483E-2</v>
      </c>
    </row>
    <row r="1444" spans="3:27" hidden="1" outlineLevel="1" x14ac:dyDescent="0.3">
      <c r="C1444" s="21" t="s">
        <v>34</v>
      </c>
      <c r="D1444" s="19">
        <f>分布式光伏电站IRR汇总!$B$10</f>
        <v>0.222</v>
      </c>
      <c r="F1444" s="6" t="s">
        <v>19</v>
      </c>
      <c r="G1444" s="33"/>
      <c r="H1444" s="33"/>
      <c r="I1444" s="33"/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  <c r="T1444" s="33"/>
      <c r="U1444" s="33"/>
      <c r="V1444" s="33"/>
      <c r="W1444" s="33"/>
      <c r="X1444" s="33"/>
      <c r="Y1444" s="33"/>
      <c r="Z1444" s="33"/>
      <c r="AA1444" s="33">
        <f>D1457*D1460/((1+G1435)^AA1437)</f>
        <v>0.2544083398901974</v>
      </c>
    </row>
    <row r="1445" spans="3:27" hidden="1" outlineLevel="1" x14ac:dyDescent="0.3">
      <c r="C1445" s="21" t="s">
        <v>35</v>
      </c>
      <c r="D1445" s="19">
        <f>分布式光伏电站IRR汇总!$B$11</f>
        <v>0.44400000000000001</v>
      </c>
      <c r="F1445" s="8" t="s">
        <v>64</v>
      </c>
      <c r="G1445" s="33">
        <f>SUM(H1446:AA1446)</f>
        <v>55082.203088066199</v>
      </c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  <c r="AA1445" s="33"/>
    </row>
    <row r="1446" spans="3:27" hidden="1" outlineLevel="1" x14ac:dyDescent="0.3">
      <c r="C1446" s="21" t="s">
        <v>36</v>
      </c>
      <c r="D1446" s="19">
        <f>分布式光伏电站IRR汇总!$B$12</f>
        <v>0.222</v>
      </c>
      <c r="F1446" s="9" t="s">
        <v>65</v>
      </c>
      <c r="G1446" s="33"/>
      <c r="H1446" s="33">
        <f>D1436*D1453*(1-D1455)*D1459/((1+G1435)^H1437)</f>
        <v>5020.6957009345788</v>
      </c>
      <c r="I1446" s="33">
        <f>D1436*D1453*(1-D1455)*(1-D1456)^(I1437-1)*D1459/((1+G1435)^I1437)</f>
        <v>4671.123897458293</v>
      </c>
      <c r="J1446" s="33">
        <f>D1436*D1453*(1-D1455)*(1-D1456)^(J1437-1)*D1459/((1+G1435)^J1437)</f>
        <v>4345.8914391773178</v>
      </c>
      <c r="K1446" s="33">
        <f>D1436*D1453*(1-D1455)*(1-D1456)^(K1437-1)*D1459/((1+G1435)^K1437)</f>
        <v>4043.3036707486181</v>
      </c>
      <c r="L1446" s="33">
        <f>D1436*D1453*(1-D1455)*(1-D1456)^(L1437-1)*D1459/((1+G1435)^L1437)</f>
        <v>3761.7839291871483</v>
      </c>
      <c r="M1446" s="33">
        <f>D1436*D1453*(1-D1455)*(1-D1456)^(M1437-1)*D1459/((1+G1435)^M1437)</f>
        <v>3499.8653285101</v>
      </c>
      <c r="N1446" s="33">
        <f>D1436*D1453*(1-D1455)*(1-D1456)^(N1437-1)*D1459/((1+G1435)^N1437)</f>
        <v>3256.1831163848638</v>
      </c>
      <c r="O1446" s="33">
        <f>D1436*D1453*(1-D1455)*(1-D1456)^(O1437-1)*D1459/((1+G1435)^O1437)</f>
        <v>3029.467562954329</v>
      </c>
      <c r="P1446" s="33">
        <f>D1436*D1453*(1-D1455)*(1-D1456)^(P1437-1)*D1459/((1+G1435)^P1437)</f>
        <v>2818.5373447860138</v>
      </c>
      <c r="Q1446" s="33">
        <f>D1436*D1453*(1-D1455)*(1-D1456)^(Q1437-1)*D1459/((1+G1435)^Q1437)</f>
        <v>2622.2933894714738</v>
      </c>
      <c r="R1446" s="33">
        <f>D1436*D1453*(1-D1455)*(1-D1456)^(R1437-1)*D1459/((1+G1435)^R1437)</f>
        <v>2439.7131488026657</v>
      </c>
      <c r="S1446" s="33">
        <f>D1436*D1453*(1-D1455)*(1-D1456)^(S1437-1)*D1459/((1+G1435)^S1437)</f>
        <v>2269.8452706850971</v>
      </c>
      <c r="T1446" s="33">
        <f>D1436*D1453*(1-D1455)*(1-D1456)^(T1437-1)*D1459/((1+G1435)^T1437)</f>
        <v>2111.8046420252467</v>
      </c>
      <c r="U1446" s="33">
        <f>D1436*D1453*(1-D1455)*(1-D1456)^(U1437-1)*D1459/((1+G1435)^U1437)</f>
        <v>1964.7677767627413</v>
      </c>
      <c r="V1446" s="33">
        <f>D1436*D1453*(1-D1455)*(1-D1456)^(V1437-1)*D1459/((1+G1435)^V1437)</f>
        <v>1827.9685250161765</v>
      </c>
      <c r="W1446" s="33">
        <f>D1436*D1453*(1-D1455)*(1-D1456)^(W1437-1)*D1459/((1+G1435)^W1437)</f>
        <v>1700.6940809846772</v>
      </c>
      <c r="X1446" s="33">
        <f>D1436*D1453*(1-D1455)*(1-D1456)^(X1437-1)*D1459/((1+G1435)^X1437)</f>
        <v>1582.281268803968</v>
      </c>
      <c r="Y1446" s="33">
        <f>D1436*D1453*(1-D1455)*(1-D1456)^(Y1437-1)*D1459/((1+G1435)^Y1437)</f>
        <v>1472.1130870040658</v>
      </c>
      <c r="Z1446" s="33">
        <f>D1436*D1453*(1-D1455)*(1-D1456)^(Z1437-1)*D1459/((1+G1435)^Z1437)</f>
        <v>1369.6154935631287</v>
      </c>
      <c r="AA1446" s="33">
        <f>D1436*D1453*(1-D1455)*(1-D1456)^(AA1437-1)*D1459/((1+G1435)^AA1437)</f>
        <v>1274.2544148056961</v>
      </c>
    </row>
    <row r="1447" spans="3:27" hidden="1" outlineLevel="1" x14ac:dyDescent="0.3">
      <c r="C1447" s="21" t="s">
        <v>37</v>
      </c>
      <c r="D1447" s="19">
        <f>分布式光伏电站IRR汇总!$B$13</f>
        <v>0.15</v>
      </c>
      <c r="F1447" s="4" t="s">
        <v>66</v>
      </c>
      <c r="G1447" s="33">
        <f>SUM(H1448:AA1448)</f>
        <v>36.552278230372167</v>
      </c>
      <c r="H1447" s="33"/>
      <c r="I1447" s="33"/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  <c r="Z1447" s="33"/>
      <c r="AA1447" s="33"/>
    </row>
    <row r="1448" spans="3:27" hidden="1" outlineLevel="1" x14ac:dyDescent="0.3">
      <c r="C1448" s="21" t="s">
        <v>38</v>
      </c>
      <c r="D1448" s="19">
        <f>分布式光伏电站IRR汇总!$B$14</f>
        <v>3.7000000000000005E-2</v>
      </c>
      <c r="F1448" s="7" t="s">
        <v>67</v>
      </c>
      <c r="G1448" s="33"/>
      <c r="H1448" s="33">
        <f>H1446*D1464/1000</f>
        <v>3.3317088983747287</v>
      </c>
      <c r="I1448" s="33">
        <f>I1446*D1464/1000</f>
        <v>3.099734774142096</v>
      </c>
      <c r="J1448" s="33">
        <f>J1446*D1464/1000</f>
        <v>2.8839121193069683</v>
      </c>
      <c r="K1448" s="33">
        <f>K1446*D1464/1000</f>
        <v>2.6831163689440074</v>
      </c>
      <c r="L1448" s="33">
        <f>L1446*D1464/1000</f>
        <v>2.4963012572745411</v>
      </c>
      <c r="M1448" s="33">
        <f>M1446*D1464/1000</f>
        <v>2.3224933659970151</v>
      </c>
      <c r="N1448" s="33">
        <f>N1446*D1464/1000</f>
        <v>2.1607870521962882</v>
      </c>
      <c r="O1448" s="33">
        <f>O1446*D1464/1000</f>
        <v>2.0103397294031824</v>
      </c>
      <c r="P1448" s="33">
        <f>P1446*D1464/1000</f>
        <v>1.8703674772157644</v>
      </c>
      <c r="Q1448" s="33">
        <f>Q1446*D1464/1000</f>
        <v>1.7401409566058819</v>
      </c>
      <c r="R1448" s="33">
        <f>R1446*D1464/1000</f>
        <v>1.6189816096272482</v>
      </c>
      <c r="S1448" s="33">
        <f>S1446*D1464/1000</f>
        <v>1.506258123723295</v>
      </c>
      <c r="T1448" s="33">
        <f>T1446*D1464/1000</f>
        <v>1.4013831422117198</v>
      </c>
      <c r="U1448" s="33">
        <f>U1446*D1464/1000</f>
        <v>1.3038102038053898</v>
      </c>
      <c r="V1448" s="33">
        <f>V1446*D1464/1000</f>
        <v>1.213030895222678</v>
      </c>
      <c r="W1448" s="33">
        <f>W1446*D1464/1000</f>
        <v>1.1285722020506324</v>
      </c>
      <c r="X1448" s="33">
        <f>X1446*D1464/1000</f>
        <v>1.0499940440573872</v>
      </c>
      <c r="Y1448" s="33">
        <f>Y1446*D1464/1000</f>
        <v>0.97688698211133551</v>
      </c>
      <c r="Z1448" s="33">
        <f>Z1446*D1464/1000</f>
        <v>0.90887008475872388</v>
      </c>
      <c r="AA1448" s="33">
        <f>AA1446*D1464/1000</f>
        <v>0.84558894334328027</v>
      </c>
    </row>
    <row r="1449" spans="3:27" hidden="1" outlineLevel="1" x14ac:dyDescent="0.3">
      <c r="C1449" s="21" t="s">
        <v>39</v>
      </c>
      <c r="D1449" s="19">
        <f>分布式光伏电站IRR汇总!$B$15</f>
        <v>0.25900000000000006</v>
      </c>
      <c r="F1449" s="4" t="s">
        <v>20</v>
      </c>
      <c r="G1449" s="33">
        <f>SUM(H1450:V1450)</f>
        <v>4.702169396717915</v>
      </c>
      <c r="H1449" s="33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  <c r="Z1449" s="33"/>
      <c r="AA1449" s="33"/>
    </row>
    <row r="1450" spans="3:27" hidden="1" outlineLevel="1" x14ac:dyDescent="0.3">
      <c r="C1450" s="21" t="s">
        <v>40</v>
      </c>
      <c r="D1450" s="19">
        <f>分布式光伏电站IRR汇总!$B$16</f>
        <v>7.400000000000001E-2</v>
      </c>
      <c r="F1450" s="7" t="s">
        <v>21</v>
      </c>
      <c r="G1450" s="33"/>
      <c r="H1450" s="33">
        <f>(H1448-H1441-H1443)*G1436</f>
        <v>0.50370526197685983</v>
      </c>
      <c r="I1450" s="33">
        <f>(I1448-I1441-I1443)*G1436</f>
        <v>0.46724961632354051</v>
      </c>
      <c r="J1450" s="33">
        <f>(J1448-J1441-J1443)*G1436</f>
        <v>0.433422817479094</v>
      </c>
      <c r="K1450" s="33">
        <f>(K1448-K1441-K1443)*G1436</f>
        <v>0.40203590312605036</v>
      </c>
      <c r="L1450" s="33">
        <f>(L1448-L1441-L1443)*G1436</f>
        <v>0.37291345533737219</v>
      </c>
      <c r="M1450" s="33">
        <f>(M1448-M1441-M1443)*G1436</f>
        <v>0.34589263217097049</v>
      </c>
      <c r="N1450" s="33">
        <f>(N1448-N1441-N1443)*G1436</f>
        <v>0.32082226834974192</v>
      </c>
      <c r="O1450" s="33">
        <f>(O1448-O1441-O1443)*G1436</f>
        <v>0.29756204010843101</v>
      </c>
      <c r="P1450" s="33">
        <f>(P1448-P1441-P1443)*G1436</f>
        <v>0.27598168963817982</v>
      </c>
      <c r="Q1450" s="33">
        <f>(Q1448-Q1441-Q1443)*G1436</f>
        <v>0.2559603048844038</v>
      </c>
      <c r="R1450" s="33">
        <f>(R1448-R1441-R1443)*G1436</f>
        <v>0.2373856507553479</v>
      </c>
      <c r="S1450" s="33">
        <f>(S1448-S1441-S1443)*G1436</f>
        <v>0.2201535480789881</v>
      </c>
      <c r="T1450" s="33">
        <f>(T1448-T1441-T1443)*G1436</f>
        <v>0.20416729690635457</v>
      </c>
      <c r="U1450" s="33">
        <f>(U1448-U1441-U1443)*G1436</f>
        <v>0.18933714100127697</v>
      </c>
      <c r="V1450" s="33">
        <f>(V1448-V1441-V1443)*G1436</f>
        <v>0.17557977058130461</v>
      </c>
      <c r="W1450" s="33">
        <f>(W1448-W1441-W1443)*G1436</f>
        <v>0.1628178605833451</v>
      </c>
      <c r="X1450" s="33">
        <f>(X1448-X1441-X1443)*G1436</f>
        <v>0.1509796419215309</v>
      </c>
      <c r="Y1450" s="33">
        <f>(Y1448-Y1441-Y1443)*G1436</f>
        <v>0.13999850338501529</v>
      </c>
      <c r="Z1450" s="33">
        <f>(Z1448-Z1441-Z1443)*G1436</f>
        <v>0.12981262199078508</v>
      </c>
      <c r="AA1450" s="33">
        <f>(AA1448-AA1441-AA1443)*G1436</f>
        <v>0.1203646197620856</v>
      </c>
    </row>
    <row r="1451" spans="3:27" hidden="1" outlineLevel="1" x14ac:dyDescent="0.3">
      <c r="C1451" s="21" t="s">
        <v>41</v>
      </c>
      <c r="D1451" s="19">
        <f>分布式光伏电站IRR汇总!$B$17</f>
        <v>0.222</v>
      </c>
      <c r="F1451" s="10" t="s">
        <v>22</v>
      </c>
      <c r="G1451" s="33">
        <f>-G1439</f>
        <v>-24.611999999999995</v>
      </c>
      <c r="H1451" s="33">
        <f t="shared" ref="H1451:AA1451" si="530">H1448-H1450-H1443</f>
        <v>2.6037045709773081</v>
      </c>
      <c r="I1451" s="33">
        <f t="shared" si="530"/>
        <v>2.4228598630329845</v>
      </c>
      <c r="J1451" s="33">
        <f t="shared" si="530"/>
        <v>2.25457781137407</v>
      </c>
      <c r="K1451" s="33">
        <f t="shared" si="530"/>
        <v>2.097985614926551</v>
      </c>
      <c r="L1451" s="33">
        <f t="shared" si="530"/>
        <v>1.9522711188610884</v>
      </c>
      <c r="M1451" s="33">
        <f t="shared" si="530"/>
        <v>1.8166786001100814</v>
      </c>
      <c r="N1451" s="33">
        <f t="shared" si="530"/>
        <v>1.6905048457942444</v>
      </c>
      <c r="O1451" s="33">
        <f t="shared" si="530"/>
        <v>1.5730955041991423</v>
      </c>
      <c r="P1451" s="33">
        <f t="shared" si="530"/>
        <v>1.4638416893573889</v>
      </c>
      <c r="Q1451" s="33">
        <f t="shared" si="530"/>
        <v>1.3621768216091457</v>
      </c>
      <c r="R1451" s="33">
        <f t="shared" si="530"/>
        <v>1.2675736877388797</v>
      </c>
      <c r="S1451" s="33">
        <f t="shared" si="530"/>
        <v>1.1795417054265305</v>
      </c>
      <c r="T1451" s="33">
        <f t="shared" si="530"/>
        <v>1.0976243778121162</v>
      </c>
      <c r="U1451" s="33">
        <f t="shared" si="530"/>
        <v>1.0213969249599548</v>
      </c>
      <c r="V1451" s="33">
        <f t="shared" si="530"/>
        <v>0.95046407992720705</v>
      </c>
      <c r="W1451" s="33">
        <f t="shared" si="530"/>
        <v>0.88445803799610379</v>
      </c>
      <c r="X1451" s="33">
        <f t="shared" si="530"/>
        <v>0.82303654842446983</v>
      </c>
      <c r="Y1451" s="33">
        <f t="shared" si="530"/>
        <v>0.76588113880913666</v>
      </c>
      <c r="Z1451" s="33">
        <f t="shared" si="530"/>
        <v>0.71269546284533725</v>
      </c>
      <c r="AA1451" s="33">
        <f t="shared" si="530"/>
        <v>0.66320376290586625</v>
      </c>
    </row>
    <row r="1452" spans="3:27" ht="13.5" hidden="1" outlineLevel="1" thickBot="1" x14ac:dyDescent="0.35">
      <c r="C1452" s="21" t="s">
        <v>74</v>
      </c>
      <c r="D1452" s="19">
        <f>分布式光伏电站IRR汇总!$B$18</f>
        <v>0.4</v>
      </c>
      <c r="F1452" s="3" t="s">
        <v>61</v>
      </c>
      <c r="G1452" s="35">
        <f>SUM(G1451:AA1451)/G1439</f>
        <v>0.16217991902680032</v>
      </c>
      <c r="H1452" s="34"/>
      <c r="I1452" s="34"/>
      <c r="J1452" s="34"/>
      <c r="K1452" s="34"/>
      <c r="L1452" s="34"/>
      <c r="M1452" s="34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</row>
    <row r="1453" spans="3:27" ht="13.5" hidden="1" outlineLevel="1" thickTop="1" x14ac:dyDescent="0.3">
      <c r="C1453" s="18" t="s">
        <v>58</v>
      </c>
      <c r="D1453" s="19">
        <f>分布式光伏电站IRR汇总!$B$19</f>
        <v>0.86599999999999999</v>
      </c>
    </row>
    <row r="1454" spans="3:27" hidden="1" outlineLevel="1" x14ac:dyDescent="0.3">
      <c r="C1454" s="18" t="s">
        <v>62</v>
      </c>
      <c r="D1454" s="19">
        <f>分布式光伏电站IRR汇总!$B$20</f>
        <v>20</v>
      </c>
      <c r="F1454" s="13" t="s">
        <v>25</v>
      </c>
      <c r="G1454" s="14">
        <v>0</v>
      </c>
    </row>
    <row r="1455" spans="3:27" hidden="1" outlineLevel="1" x14ac:dyDescent="0.3">
      <c r="C1455" s="18" t="s">
        <v>59</v>
      </c>
      <c r="D1455" s="52">
        <f>分布式光伏电站IRR汇总!$B$21</f>
        <v>0.02</v>
      </c>
      <c r="F1455" s="13" t="s">
        <v>26</v>
      </c>
      <c r="G1455" s="14">
        <v>0.25</v>
      </c>
      <c r="Q1455" s="15"/>
    </row>
    <row r="1456" spans="3:27" hidden="1" outlineLevel="1" x14ac:dyDescent="0.3">
      <c r="C1456" s="18" t="s">
        <v>60</v>
      </c>
      <c r="D1456" s="52">
        <f>分布式光伏电站IRR汇总!$B$22</f>
        <v>4.4999999999999997E-3</v>
      </c>
      <c r="F1456" s="1" t="s">
        <v>44</v>
      </c>
      <c r="G1456" s="4"/>
      <c r="H1456" s="5">
        <v>1</v>
      </c>
      <c r="I1456" s="5">
        <v>2</v>
      </c>
      <c r="J1456" s="5">
        <v>3</v>
      </c>
      <c r="K1456" s="5">
        <v>4</v>
      </c>
      <c r="L1456" s="5">
        <v>5</v>
      </c>
      <c r="M1456" s="5">
        <v>6</v>
      </c>
      <c r="N1456" s="5">
        <v>7</v>
      </c>
      <c r="O1456" s="5">
        <v>8</v>
      </c>
      <c r="P1456" s="5">
        <v>9</v>
      </c>
      <c r="Q1456" s="5">
        <v>10</v>
      </c>
      <c r="R1456" s="5">
        <v>11</v>
      </c>
      <c r="S1456" s="5">
        <v>12</v>
      </c>
      <c r="T1456" s="5">
        <v>13</v>
      </c>
      <c r="U1456" s="5">
        <v>14</v>
      </c>
      <c r="V1456" s="5">
        <v>15</v>
      </c>
      <c r="W1456" s="5">
        <v>16</v>
      </c>
      <c r="X1456" s="5">
        <v>17</v>
      </c>
      <c r="Y1456" s="5">
        <v>18</v>
      </c>
      <c r="Z1456" s="5">
        <v>19</v>
      </c>
      <c r="AA1456" s="5">
        <v>20</v>
      </c>
    </row>
    <row r="1457" spans="3:27" hidden="1" outlineLevel="1" x14ac:dyDescent="0.3">
      <c r="C1457" s="18" t="s">
        <v>28</v>
      </c>
      <c r="D1457" s="29">
        <f>分布式光伏电站IRR汇总!$B$23</f>
        <v>0.04</v>
      </c>
      <c r="F1457" s="16"/>
      <c r="G1457" s="2" t="s">
        <v>0</v>
      </c>
      <c r="H1457" s="2" t="s">
        <v>1</v>
      </c>
      <c r="I1457" s="2" t="s">
        <v>2</v>
      </c>
      <c r="J1457" s="2" t="s">
        <v>3</v>
      </c>
      <c r="K1457" s="2" t="s">
        <v>4</v>
      </c>
      <c r="L1457" s="2" t="s">
        <v>5</v>
      </c>
      <c r="M1457" s="2" t="s">
        <v>6</v>
      </c>
      <c r="N1457" s="2" t="s">
        <v>7</v>
      </c>
      <c r="O1457" s="2" t="s">
        <v>8</v>
      </c>
      <c r="P1457" s="2" t="s">
        <v>9</v>
      </c>
      <c r="Q1457" s="2" t="s">
        <v>10</v>
      </c>
      <c r="R1457" s="2" t="s">
        <v>11</v>
      </c>
      <c r="S1457" s="2" t="s">
        <v>12</v>
      </c>
      <c r="T1457" s="2" t="s">
        <v>13</v>
      </c>
      <c r="U1457" s="2" t="s">
        <v>45</v>
      </c>
      <c r="V1457" s="2" t="s">
        <v>46</v>
      </c>
      <c r="W1457" s="2" t="s">
        <v>47</v>
      </c>
      <c r="X1457" s="2" t="s">
        <v>48</v>
      </c>
      <c r="Y1457" s="2" t="s">
        <v>49</v>
      </c>
      <c r="Z1457" s="2" t="s">
        <v>50</v>
      </c>
      <c r="AA1457" s="2" t="s">
        <v>51</v>
      </c>
    </row>
    <row r="1458" spans="3:27" hidden="1" outlineLevel="1" x14ac:dyDescent="0.3">
      <c r="C1458" s="18" t="s">
        <v>43</v>
      </c>
      <c r="D1458" s="19">
        <f>分布式光伏电站IRR汇总!$B$24</f>
        <v>0.05</v>
      </c>
      <c r="F1458" s="6" t="s">
        <v>14</v>
      </c>
      <c r="G1458" s="33">
        <f>D1460</f>
        <v>24.611999999999995</v>
      </c>
      <c r="H1458" s="33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  <c r="AA1458" s="33"/>
    </row>
    <row r="1459" spans="3:27" hidden="1" outlineLevel="1" x14ac:dyDescent="0.3">
      <c r="C1459" s="18" t="s">
        <v>126</v>
      </c>
      <c r="D1459" s="28">
        <f>Backup分地区光伏小时数及电价!E32</f>
        <v>1055</v>
      </c>
      <c r="F1459" s="6" t="s">
        <v>15</v>
      </c>
      <c r="G1459" s="33">
        <f>SUM(H1460:AA1460)</f>
        <v>23.381399999999985</v>
      </c>
      <c r="H1459" s="33"/>
      <c r="I1459" s="33"/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  <c r="T1459" s="33"/>
      <c r="U1459" s="33"/>
      <c r="V1459" s="33"/>
      <c r="W1459" s="33"/>
      <c r="X1459" s="33"/>
      <c r="Y1459" s="33"/>
      <c r="Z1459" s="33"/>
      <c r="AA1459" s="33"/>
    </row>
    <row r="1460" spans="3:27" hidden="1" outlineLevel="1" x14ac:dyDescent="0.3">
      <c r="C1460" s="24" t="s">
        <v>14</v>
      </c>
      <c r="D1460" s="30">
        <f>D1436*D1441</f>
        <v>24.611999999999995</v>
      </c>
      <c r="F1460" s="7" t="s">
        <v>16</v>
      </c>
      <c r="G1460" s="33"/>
      <c r="H1460" s="33">
        <f>D1460*(1-D1458)/D1454/((1+G1454)^H1456)</f>
        <v>1.1690699999999996</v>
      </c>
      <c r="I1460" s="33">
        <f>D1460*(1-D1458)/D1454/((1+G1454)^I1456)</f>
        <v>1.1690699999999996</v>
      </c>
      <c r="J1460" s="33">
        <f>D1460*(1-D1458)/D1454/((1+G1454)^J1456)</f>
        <v>1.1690699999999996</v>
      </c>
      <c r="K1460" s="33">
        <f>D1460*(1-D1458)/D1454/((1+G1454)^K1456)</f>
        <v>1.1690699999999996</v>
      </c>
      <c r="L1460" s="33">
        <f>D1460*(1-D1458)/D1454/((1+G1454)^L1456)</f>
        <v>1.1690699999999996</v>
      </c>
      <c r="M1460" s="33">
        <f>D1460*(1-D1458)/D1454/((1+G1454)^M1456)</f>
        <v>1.1690699999999996</v>
      </c>
      <c r="N1460" s="33">
        <f>D1460*(1-D1458)/D1454/((1+G1454)^N1456)</f>
        <v>1.1690699999999996</v>
      </c>
      <c r="O1460" s="33">
        <f>D1460*(1-D1458)/D1454/((1+G1454)^O1456)</f>
        <v>1.1690699999999996</v>
      </c>
      <c r="P1460" s="33">
        <f>D1460*(1-D1458)/D1454/((1+G1454)^P1456)</f>
        <v>1.1690699999999996</v>
      </c>
      <c r="Q1460" s="33">
        <f>D1460*(1-D1458)/D1454/((1+G1454)^Q1456)</f>
        <v>1.1690699999999996</v>
      </c>
      <c r="R1460" s="33">
        <f>D1460*(1-D1458)/D1454/((1+G1454)^R1456)</f>
        <v>1.1690699999999996</v>
      </c>
      <c r="S1460" s="33">
        <f>D1460*(1-D1458)/D1454/((1+G1454)^S1456)</f>
        <v>1.1690699999999996</v>
      </c>
      <c r="T1460" s="33">
        <f>D1460*(1-D1458)/D1454/((1+G1454)^T1456)</f>
        <v>1.1690699999999996</v>
      </c>
      <c r="U1460" s="33">
        <f>D1460*(1-D1458)/D1454/((1+G1454)^U1456)</f>
        <v>1.1690699999999996</v>
      </c>
      <c r="V1460" s="33">
        <f>D1460*(1-D1458)/D1454/((1+G1454)^V1456)</f>
        <v>1.1690699999999996</v>
      </c>
      <c r="W1460" s="33">
        <f>D1460*(1-D1458)/D1454/((1+G1454)^W1456)</f>
        <v>1.1690699999999996</v>
      </c>
      <c r="X1460" s="33">
        <f>D1460*(1-D1458)/D1454/((1+G1454)^X1456)</f>
        <v>1.1690699999999996</v>
      </c>
      <c r="Y1460" s="33">
        <f>D1460*(1-D1458)/D1454/((1+G1454)^Y1456)</f>
        <v>1.1690699999999996</v>
      </c>
      <c r="Z1460" s="33">
        <f>D1460*(1-D1458)/D1454/((1+G1454)^Z1456)</f>
        <v>1.1690699999999996</v>
      </c>
      <c r="AA1460" s="33">
        <f>D1460*(1-D1458)/D1454/((1+G1454)^AA1456)</f>
        <v>1.1690699999999996</v>
      </c>
    </row>
    <row r="1461" spans="3:27" hidden="1" outlineLevel="1" x14ac:dyDescent="0.3">
      <c r="C1461" s="18" t="s">
        <v>29</v>
      </c>
      <c r="D1461" s="29">
        <v>0.35980000000000001</v>
      </c>
      <c r="F1461" s="6" t="s">
        <v>17</v>
      </c>
      <c r="G1461" s="33">
        <f>SUM(H1462:AA1462)</f>
        <v>4.8000000000000025</v>
      </c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  <c r="AA1461" s="33"/>
    </row>
    <row r="1462" spans="3:27" hidden="1" outlineLevel="1" x14ac:dyDescent="0.3">
      <c r="C1462" s="18" t="s">
        <v>30</v>
      </c>
      <c r="D1462" s="31">
        <f>Backup分地区光伏小时数及电价!I32</f>
        <v>0.66359506666666668</v>
      </c>
      <c r="F1462" s="7" t="s">
        <v>18</v>
      </c>
      <c r="G1462" s="33"/>
      <c r="H1462" s="33">
        <f>D1457*D1436/((1+G1454)^H1456)</f>
        <v>0.24</v>
      </c>
      <c r="I1462" s="33">
        <f>D1457*D1436/((1+G1454)^I1456)</f>
        <v>0.24</v>
      </c>
      <c r="J1462" s="33">
        <f>D1457*D1436/((1+G1454)^J1456)</f>
        <v>0.24</v>
      </c>
      <c r="K1462" s="33">
        <f>D1457*D1436/((1+G1454)^K1456)</f>
        <v>0.24</v>
      </c>
      <c r="L1462" s="33">
        <f>D1457*D1436/((1+G1454)^L1456)</f>
        <v>0.24</v>
      </c>
      <c r="M1462" s="33">
        <f>D1457*D1436/((1+G1454)^M1456)</f>
        <v>0.24</v>
      </c>
      <c r="N1462" s="33">
        <f>D1457*D1436/((1+G1454)^N1456)</f>
        <v>0.24</v>
      </c>
      <c r="O1462" s="33">
        <f>D1457*D1436/((1+G1454)^O1456)</f>
        <v>0.24</v>
      </c>
      <c r="P1462" s="33">
        <f>D1457*D1436/((1+G1454)^P1456)</f>
        <v>0.24</v>
      </c>
      <c r="Q1462" s="33">
        <f>D1457*D1436/((1+G1454)^Q1456)</f>
        <v>0.24</v>
      </c>
      <c r="R1462" s="33">
        <f>D1457*D1436/((1+G1454)^R1456)</f>
        <v>0.24</v>
      </c>
      <c r="S1462" s="33">
        <f>D1457*D1436/((1+G1454)^S1456)</f>
        <v>0.24</v>
      </c>
      <c r="T1462" s="33">
        <f>D1457*D1436/((1+G1454)^T1456)</f>
        <v>0.24</v>
      </c>
      <c r="U1462" s="33">
        <f>D1457*D1436/((1+G1454)^U1456)</f>
        <v>0.24</v>
      </c>
      <c r="V1462" s="33">
        <f>D1457*D1436/((1+G1454)^V1456)</f>
        <v>0.24</v>
      </c>
      <c r="W1462" s="33">
        <f>D1457*D1436/((1+G1454)^W1456)</f>
        <v>0.24</v>
      </c>
      <c r="X1462" s="33">
        <f>D1457*D1436/((1+G1454)^X1456)</f>
        <v>0.24</v>
      </c>
      <c r="Y1462" s="33">
        <f>D1457*D1436/((1+G1454)^Y1456)</f>
        <v>0.24</v>
      </c>
      <c r="Z1462" s="33">
        <f>D1457*D1436/((1+G1454)^Z1456)</f>
        <v>0.24</v>
      </c>
      <c r="AA1462" s="33">
        <f>D1457*D1436/((1+G1454)^AA1456)</f>
        <v>0.24</v>
      </c>
    </row>
    <row r="1463" spans="3:27" hidden="1" outlineLevel="1" x14ac:dyDescent="0.3">
      <c r="C1463" s="18" t="s">
        <v>70</v>
      </c>
      <c r="D1463" s="32">
        <f>分布式光伏电站IRR汇总!$B$27</f>
        <v>1</v>
      </c>
      <c r="F1463" s="6" t="s">
        <v>19</v>
      </c>
      <c r="G1463" s="33"/>
      <c r="H1463" s="33"/>
      <c r="I1463" s="33"/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  <c r="T1463" s="33"/>
      <c r="U1463" s="33"/>
      <c r="V1463" s="33"/>
      <c r="W1463" s="33"/>
      <c r="X1463" s="33"/>
      <c r="Y1463" s="33"/>
      <c r="Z1463" s="33"/>
      <c r="AA1463" s="33">
        <f>D1457*D1460/((1+G1454)^AA1456)</f>
        <v>0.9844799999999998</v>
      </c>
    </row>
    <row r="1464" spans="3:27" hidden="1" outlineLevel="1" x14ac:dyDescent="0.3">
      <c r="C1464" s="18" t="s">
        <v>69</v>
      </c>
      <c r="D1464" s="31">
        <f>D1463*D1462</f>
        <v>0.66359506666666668</v>
      </c>
      <c r="F1464" s="8" t="s">
        <v>64</v>
      </c>
      <c r="G1464" s="33">
        <f>SUM(H1465:AA1465)</f>
        <v>102971.38245955798</v>
      </c>
      <c r="H1464" s="33"/>
      <c r="I1464" s="33"/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/>
    </row>
    <row r="1465" spans="3:27" hidden="1" outlineLevel="1" x14ac:dyDescent="0.3">
      <c r="C1465" s="18" t="s">
        <v>31</v>
      </c>
      <c r="D1465" s="27">
        <v>0</v>
      </c>
      <c r="F1465" s="9" t="s">
        <v>65</v>
      </c>
      <c r="G1465" s="33"/>
      <c r="H1465" s="33">
        <f>D1436*D1453*(1-D1455)*D1459/((1+G1454)^H1456)</f>
        <v>5372.1443999999992</v>
      </c>
      <c r="I1465" s="33">
        <f>D1436*D1453*(1-D1455)*(1-D1456)^(I1456-1)*D1459/((1+G1454)^I1456)</f>
        <v>5347.9697501999999</v>
      </c>
      <c r="J1465" s="33">
        <f>D1436*D1453*(1-D1455)*(1-D1456)^(J1456-1)*D1459/((1+G1454)^J1456)</f>
        <v>5323.9038863240994</v>
      </c>
      <c r="K1465" s="33">
        <f>D1436*D1453*(1-D1455)*(1-D1456)^(K1456-1)*D1459/((1+G1454)^K1456)</f>
        <v>5299.9463188356422</v>
      </c>
      <c r="L1465" s="33">
        <f>D1436*D1453*(1-D1455)*(1-D1456)^(L1456-1)*D1459/((1+G1454)^L1456)</f>
        <v>5276.0965604008816</v>
      </c>
      <c r="M1465" s="33">
        <f>D1436*D1453*(1-D1455)*(1-D1456)^(M1456-1)*D1459/((1+G1454)^M1456)</f>
        <v>5252.3541258790783</v>
      </c>
      <c r="N1465" s="33">
        <f>D1436*D1453*(1-D1455)*(1-D1456)^(N1456-1)*D1459/((1+G1454)^N1456)</f>
        <v>5228.7185323126223</v>
      </c>
      <c r="O1465" s="33">
        <f>D1436*D1453*(1-D1455)*(1-D1456)^(O1456-1)*D1459/((1+G1454)^O1456)</f>
        <v>5205.1892989172156</v>
      </c>
      <c r="P1465" s="33">
        <f>D1436*D1453*(1-D1455)*(1-D1456)^(P1456-1)*D1459/((1+G1454)^P1456)</f>
        <v>5181.7659470720891</v>
      </c>
      <c r="Q1465" s="33">
        <f>D1436*D1453*(1-D1455)*(1-D1456)^(Q1456-1)*D1459/((1+G1454)^Q1456)</f>
        <v>5158.4480003102653</v>
      </c>
      <c r="R1465" s="33">
        <f>D1436*D1453*(1-D1455)*(1-D1456)^(R1456-1)*D1459/((1+G1454)^R1456)</f>
        <v>5135.2349843088696</v>
      </c>
      <c r="S1465" s="33">
        <f>D1436*D1453*(1-D1455)*(1-D1456)^(S1456-1)*D1459/((1+G1454)^S1456)</f>
        <v>5112.1264268794794</v>
      </c>
      <c r="T1465" s="33">
        <f>D1436*D1453*(1-D1455)*(1-D1456)^(T1456-1)*D1459/((1+G1454)^T1456)</f>
        <v>5089.121857958522</v>
      </c>
      <c r="U1465" s="33">
        <f>D1436*D1453*(1-D1455)*(1-D1456)^(U1456-1)*D1459/((1+G1454)^U1456)</f>
        <v>5066.2208095977085</v>
      </c>
      <c r="V1465" s="33">
        <f>D1436*D1453*(1-D1455)*(1-D1456)^(V1456-1)*D1459/((1+G1454)^V1456)</f>
        <v>5043.4228159545191</v>
      </c>
      <c r="W1465" s="33">
        <f>D1436*D1453*(1-D1455)*(1-D1456)^(W1456-1)*D1459/((1+G1454)^W1456)</f>
        <v>5020.7274132827251</v>
      </c>
      <c r="X1465" s="33">
        <f>D1436*D1453*(1-D1455)*(1-D1456)^(X1456-1)*D1459/((1+G1454)^X1456)</f>
        <v>4998.1341399229523</v>
      </c>
      <c r="Y1465" s="33">
        <f>D1436*D1453*(1-D1455)*(1-D1456)^(Y1456-1)*D1459/((1+G1454)^Y1456)</f>
        <v>4975.6425362932996</v>
      </c>
      <c r="Z1465" s="33">
        <f>D1436*D1453*(1-D1455)*(1-D1456)^(Z1456-1)*D1459/((1+G1454)^Z1456)</f>
        <v>4953.2521448799807</v>
      </c>
      <c r="AA1465" s="33">
        <f>D1436*D1453*(1-D1455)*(1-D1456)^(AA1456-1)*D1459/((1+G1454)^AA1456)</f>
        <v>4930.9625102280215</v>
      </c>
    </row>
    <row r="1466" spans="3:27" hidden="1" outlineLevel="1" x14ac:dyDescent="0.3">
      <c r="F1466" s="4" t="s">
        <v>66</v>
      </c>
      <c r="G1466" s="33">
        <f>SUM(H1467:AA1467)</f>
        <v>68.331301408009196</v>
      </c>
      <c r="H1466" s="33"/>
      <c r="I1466" s="33"/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  <c r="Z1466" s="33"/>
      <c r="AA1466" s="33"/>
    </row>
    <row r="1467" spans="3:27" hidden="1" outlineLevel="1" x14ac:dyDescent="0.3">
      <c r="F1467" s="7" t="s">
        <v>67</v>
      </c>
      <c r="G1467" s="33"/>
      <c r="H1467" s="33">
        <f>H1465*D1464/1000</f>
        <v>3.5649285212609598</v>
      </c>
      <c r="I1467" s="33">
        <f>I1465*D1464/1000</f>
        <v>3.5488863429152855</v>
      </c>
      <c r="J1467" s="33">
        <f>J1465*D1464/1000</f>
        <v>3.5329163543721664</v>
      </c>
      <c r="K1467" s="33">
        <f>K1465*D1464/1000</f>
        <v>3.5170182307774924</v>
      </c>
      <c r="L1467" s="33">
        <f>L1465*D1464/1000</f>
        <v>3.5011916487389936</v>
      </c>
      <c r="M1467" s="33">
        <f>M1465*D1464/1000</f>
        <v>3.4854362863196688</v>
      </c>
      <c r="N1467" s="33">
        <f>N1465*D1464/1000</f>
        <v>3.4697518230312303</v>
      </c>
      <c r="O1467" s="33">
        <f>O1465*D1464/1000</f>
        <v>3.4541379398275898</v>
      </c>
      <c r="P1467" s="33">
        <f>P1465*D1464/1000</f>
        <v>3.4385943190983661</v>
      </c>
      <c r="Q1467" s="33">
        <f>Q1465*D1464/1000</f>
        <v>3.4231206446624238</v>
      </c>
      <c r="R1467" s="33">
        <f>R1465*D1464/1000</f>
        <v>3.4077166017614431</v>
      </c>
      <c r="S1467" s="33">
        <f>S1465*D1464/1000</f>
        <v>3.3923818770535168</v>
      </c>
      <c r="T1467" s="33">
        <f>T1465*D1464/1000</f>
        <v>3.3771161586067762</v>
      </c>
      <c r="U1467" s="33">
        <f>U1465*D1464/1000</f>
        <v>3.3619191358930451</v>
      </c>
      <c r="V1467" s="33">
        <f>V1465*D1464/1000</f>
        <v>3.3467904997815268</v>
      </c>
      <c r="W1467" s="33">
        <f>W1465*D1464/1000</f>
        <v>3.3317299425325109</v>
      </c>
      <c r="X1467" s="33">
        <f>X1465*D1464/1000</f>
        <v>3.3167371577911142</v>
      </c>
      <c r="Y1467" s="33">
        <f>Y1465*D1464/1000</f>
        <v>3.3018118405810548</v>
      </c>
      <c r="Z1467" s="33">
        <f>Z1465*D1464/1000</f>
        <v>3.2869536872984404</v>
      </c>
      <c r="AA1467" s="33">
        <f>AA1465*D1464/1000</f>
        <v>3.2721623957055983</v>
      </c>
    </row>
    <row r="1468" spans="3:27" hidden="1" outlineLevel="1" x14ac:dyDescent="0.3">
      <c r="F1468" s="4" t="s">
        <v>20</v>
      </c>
      <c r="G1468" s="33">
        <f>SUM(H1469:AA1469)</f>
        <v>10.037475352002303</v>
      </c>
      <c r="H1468" s="33"/>
      <c r="I1468" s="33"/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/>
    </row>
    <row r="1469" spans="3:27" hidden="1" outlineLevel="1" x14ac:dyDescent="0.3">
      <c r="F1469" s="7" t="s">
        <v>21</v>
      </c>
      <c r="G1469" s="33"/>
      <c r="H1469" s="33">
        <f>(H1467-H1460-H1462)*G1455</f>
        <v>0.53896463031524</v>
      </c>
      <c r="I1469" s="33">
        <f>(I1467-I1460-I1462)*G1455</f>
        <v>0.53495408572882153</v>
      </c>
      <c r="J1469" s="33">
        <f>(J1467-J1460-J1462)*G1455</f>
        <v>0.53096158859304166</v>
      </c>
      <c r="K1469" s="33">
        <f>(K1467-K1460-K1462)*G1455</f>
        <v>0.52698705769437315</v>
      </c>
      <c r="L1469" s="33">
        <f>(L1467-L1460-L1462)*G1455</f>
        <v>0.52303041218474844</v>
      </c>
      <c r="M1469" s="33">
        <f>(M1467-M1460-M1462)*G1455</f>
        <v>0.51909157157991737</v>
      </c>
      <c r="N1469" s="33">
        <f>(N1467-N1460-N1462)*G1455</f>
        <v>0.51517045575780762</v>
      </c>
      <c r="O1469" s="33">
        <f>(O1467-O1460-O1462)*G1455</f>
        <v>0.5112669849568976</v>
      </c>
      <c r="P1469" s="33">
        <f>(P1467-P1460-P1462)*G1455</f>
        <v>0.50738107977459168</v>
      </c>
      <c r="Q1469" s="33">
        <f>(Q1467-Q1460-Q1462)*G1455</f>
        <v>0.503512661165606</v>
      </c>
      <c r="R1469" s="33">
        <f>(R1467-R1460-R1462)*G1455</f>
        <v>0.49966165044036087</v>
      </c>
      <c r="S1469" s="33">
        <f>(S1467-S1460-S1462)*G1455</f>
        <v>0.4958279692633793</v>
      </c>
      <c r="T1469" s="33">
        <f>(T1467-T1460-T1462)*G1455</f>
        <v>0.49201153965169414</v>
      </c>
      <c r="U1469" s="33">
        <f>(U1467-U1460-U1462)*G1455</f>
        <v>0.48821228397326139</v>
      </c>
      <c r="V1469" s="33">
        <f>(V1467-V1460-V1462)*G1455</f>
        <v>0.48443012494538179</v>
      </c>
      <c r="W1469" s="33">
        <f>(W1467-W1460-W1462)*G1455</f>
        <v>0.48066498563312782</v>
      </c>
      <c r="X1469" s="33">
        <f>(X1467-X1460-X1462)*G1455</f>
        <v>0.47691678944777866</v>
      </c>
      <c r="Y1469" s="33">
        <f>(Y1467-Y1460-Y1462)*G1455</f>
        <v>0.4731854601452638</v>
      </c>
      <c r="Z1469" s="33">
        <f>(Z1467-Z1460-Z1462)*G1455</f>
        <v>0.4694709218246102</v>
      </c>
      <c r="AA1469" s="33">
        <f>(AA1467-AA1460-AA1462)*G1455</f>
        <v>0.46577309892639968</v>
      </c>
    </row>
    <row r="1470" spans="3:27" hidden="1" outlineLevel="1" x14ac:dyDescent="0.3">
      <c r="F1470" s="10" t="s">
        <v>22</v>
      </c>
      <c r="G1470" s="33">
        <f>-G1458</f>
        <v>-24.611999999999995</v>
      </c>
      <c r="H1470" s="33">
        <f>H1467-H1469-H1462</f>
        <v>2.7859638909457196</v>
      </c>
      <c r="I1470" s="33">
        <f t="shared" ref="I1470" si="531">I1467-I1469-I1462</f>
        <v>2.7739322571864635</v>
      </c>
      <c r="J1470" s="33">
        <f t="shared" ref="J1470" si="532">J1467-J1469-J1462</f>
        <v>2.7619547657791248</v>
      </c>
      <c r="K1470" s="33">
        <f t="shared" ref="K1470" si="533">K1467-K1469-K1462</f>
        <v>2.7500311730831193</v>
      </c>
      <c r="L1470" s="33">
        <f t="shared" ref="L1470" si="534">L1467-L1469-L1462</f>
        <v>2.7381612365542454</v>
      </c>
      <c r="M1470" s="33">
        <f t="shared" ref="M1470" si="535">M1467-M1469-M1462</f>
        <v>2.726344714739751</v>
      </c>
      <c r="N1470" s="33">
        <f t="shared" ref="N1470" si="536">N1467-N1469-N1462</f>
        <v>2.7145813672734223</v>
      </c>
      <c r="O1470" s="33">
        <f t="shared" ref="O1470" si="537">O1467-O1469-O1462</f>
        <v>2.7028709548706917</v>
      </c>
      <c r="P1470" s="33">
        <f t="shared" ref="P1470" si="538">P1467-P1469-P1462</f>
        <v>2.6912132393237744</v>
      </c>
      <c r="Q1470" s="33">
        <f t="shared" ref="Q1470" si="539">Q1467-Q1469-Q1462</f>
        <v>2.6796079834968181</v>
      </c>
      <c r="R1470" s="33">
        <f t="shared" ref="R1470" si="540">R1467-R1469-R1462</f>
        <v>2.6680549513210821</v>
      </c>
      <c r="S1470" s="33">
        <f t="shared" ref="S1470" si="541">S1467-S1469-S1462</f>
        <v>2.6565539077901379</v>
      </c>
      <c r="T1470" s="33">
        <f t="shared" ref="T1470" si="542">T1467-T1469-T1462</f>
        <v>2.6451046189550818</v>
      </c>
      <c r="U1470" s="33">
        <f t="shared" ref="U1470" si="543">U1467-U1469-U1462</f>
        <v>2.6337068519197837</v>
      </c>
      <c r="V1470" s="33">
        <f t="shared" ref="V1470" si="544">V1467-V1469-V1462</f>
        <v>2.6223603748361448</v>
      </c>
      <c r="W1470" s="33">
        <f t="shared" ref="W1470" si="545">W1467-W1469-W1462</f>
        <v>2.6110649568993827</v>
      </c>
      <c r="X1470" s="33">
        <f t="shared" ref="X1470" si="546">X1467-X1469-X1462</f>
        <v>2.5998203683433356</v>
      </c>
      <c r="Y1470" s="33">
        <f t="shared" ref="Y1470" si="547">Y1467-Y1469-Y1462</f>
        <v>2.588626380435791</v>
      </c>
      <c r="Z1470" s="33">
        <f t="shared" ref="Z1470" si="548">Z1467-Z1469-Z1462</f>
        <v>2.5774827654738299</v>
      </c>
      <c r="AA1470" s="33">
        <f t="shared" ref="AA1470" si="549">AA1467-AA1469-AA1462</f>
        <v>2.5663892967791986</v>
      </c>
    </row>
    <row r="1471" spans="3:27" ht="13.5" hidden="1" outlineLevel="1" thickBot="1" x14ac:dyDescent="0.35">
      <c r="F1471" s="3" t="s">
        <v>68</v>
      </c>
      <c r="G1471" s="40">
        <f>IRR(G1470:AA1470)</f>
        <v>9.053848208645765E-2</v>
      </c>
      <c r="H1471" s="34"/>
      <c r="I1471" s="34"/>
      <c r="J1471" s="34"/>
      <c r="K1471" s="34"/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</row>
    <row r="1472" spans="3:27" ht="13.5" collapsed="1" thickTop="1" x14ac:dyDescent="0.3"/>
    <row r="1473" spans="2:27" x14ac:dyDescent="0.3">
      <c r="B1473" s="11" t="s">
        <v>174</v>
      </c>
      <c r="C1473" s="11" t="s">
        <v>52</v>
      </c>
    </row>
    <row r="1474" spans="2:27" x14ac:dyDescent="0.3">
      <c r="C1474" s="11" t="s">
        <v>141</v>
      </c>
      <c r="D1474" s="54">
        <f>D1505</f>
        <v>1032</v>
      </c>
    </row>
    <row r="1475" spans="2:27" x14ac:dyDescent="0.3">
      <c r="C1475" s="16" t="s">
        <v>78</v>
      </c>
      <c r="D1475" s="37">
        <f>(G1504+G1507+G1514)/G1510*1000</f>
        <v>0.35421826367913889</v>
      </c>
    </row>
    <row r="1476" spans="2:27" x14ac:dyDescent="0.3">
      <c r="C1476" s="13" t="s">
        <v>77</v>
      </c>
      <c r="D1476" s="39">
        <f>(G1485+G1488+G1495)/G1491*1000</f>
        <v>0.55883532284538084</v>
      </c>
    </row>
    <row r="1477" spans="2:27" x14ac:dyDescent="0.3">
      <c r="C1477" s="13" t="s">
        <v>61</v>
      </c>
      <c r="D1477" s="36">
        <f>G1498</f>
        <v>-8.3656229823268147E-2</v>
      </c>
    </row>
    <row r="1478" spans="2:27" x14ac:dyDescent="0.3">
      <c r="C1478" s="13" t="s">
        <v>73</v>
      </c>
      <c r="D1478" s="25">
        <f>SUM(G1497:AA1497)</f>
        <v>-2.0589471284102752</v>
      </c>
    </row>
    <row r="1479" spans="2:27" ht="13.5" thickBot="1" x14ac:dyDescent="0.35">
      <c r="C1479" s="23" t="s">
        <v>68</v>
      </c>
      <c r="D1479" s="26">
        <f>G1517</f>
        <v>5.8857916038486113E-2</v>
      </c>
    </row>
    <row r="1480" spans="2:27" ht="13.5" hidden="1" outlineLevel="1" thickTop="1" x14ac:dyDescent="0.3">
      <c r="E1480" s="20"/>
      <c r="F1480" s="38" t="s">
        <v>75</v>
      </c>
    </row>
    <row r="1481" spans="2:27" hidden="1" outlineLevel="1" x14ac:dyDescent="0.3">
      <c r="C1481" s="11" t="s">
        <v>71</v>
      </c>
      <c r="F1481" s="13" t="s">
        <v>25</v>
      </c>
      <c r="G1481" s="14">
        <v>7.0000000000000007E-2</v>
      </c>
    </row>
    <row r="1482" spans="2:27" hidden="1" outlineLevel="1" x14ac:dyDescent="0.3">
      <c r="C1482" s="18" t="s">
        <v>53</v>
      </c>
      <c r="D1482" s="19">
        <f>分布式光伏电站IRR汇总!$B$2</f>
        <v>6</v>
      </c>
      <c r="F1482" s="13" t="s">
        <v>26</v>
      </c>
      <c r="G1482" s="14">
        <v>0.25</v>
      </c>
    </row>
    <row r="1483" spans="2:27" hidden="1" outlineLevel="1" x14ac:dyDescent="0.3">
      <c r="C1483" s="18" t="s">
        <v>56</v>
      </c>
      <c r="D1483" s="19">
        <f>分布式光伏电站IRR汇总!$B$3</f>
        <v>120</v>
      </c>
      <c r="F1483" s="1" t="s">
        <v>44</v>
      </c>
      <c r="G1483" s="4"/>
      <c r="H1483" s="5">
        <v>1</v>
      </c>
      <c r="I1483" s="5">
        <v>2</v>
      </c>
      <c r="J1483" s="5">
        <v>3</v>
      </c>
      <c r="K1483" s="5">
        <v>4</v>
      </c>
      <c r="L1483" s="5">
        <v>5</v>
      </c>
      <c r="M1483" s="5">
        <v>6</v>
      </c>
      <c r="N1483" s="5">
        <v>7</v>
      </c>
      <c r="O1483" s="5">
        <v>8</v>
      </c>
      <c r="P1483" s="5">
        <v>9</v>
      </c>
      <c r="Q1483" s="5">
        <v>10</v>
      </c>
      <c r="R1483" s="5">
        <v>11</v>
      </c>
      <c r="S1483" s="5">
        <v>12</v>
      </c>
      <c r="T1483" s="5">
        <v>13</v>
      </c>
      <c r="U1483" s="5">
        <v>14</v>
      </c>
      <c r="V1483" s="5">
        <v>15</v>
      </c>
      <c r="W1483" s="5">
        <v>16</v>
      </c>
      <c r="X1483" s="5">
        <v>17</v>
      </c>
      <c r="Y1483" s="5">
        <v>18</v>
      </c>
      <c r="Z1483" s="5">
        <v>19</v>
      </c>
      <c r="AA1483" s="5">
        <v>20</v>
      </c>
    </row>
    <row r="1484" spans="2:27" hidden="1" outlineLevel="1" x14ac:dyDescent="0.3">
      <c r="C1484" s="18" t="s">
        <v>57</v>
      </c>
      <c r="D1484" s="19">
        <f>分布式光伏电站IRR汇总!$B$4</f>
        <v>3</v>
      </c>
      <c r="F1484" s="16"/>
      <c r="G1484" s="2" t="s">
        <v>0</v>
      </c>
      <c r="H1484" s="2" t="s">
        <v>1</v>
      </c>
      <c r="I1484" s="2" t="s">
        <v>2</v>
      </c>
      <c r="J1484" s="2" t="s">
        <v>3</v>
      </c>
      <c r="K1484" s="2" t="s">
        <v>4</v>
      </c>
      <c r="L1484" s="2" t="s">
        <v>5</v>
      </c>
      <c r="M1484" s="2" t="s">
        <v>6</v>
      </c>
      <c r="N1484" s="2" t="s">
        <v>7</v>
      </c>
      <c r="O1484" s="2" t="s">
        <v>8</v>
      </c>
      <c r="P1484" s="2" t="s">
        <v>9</v>
      </c>
      <c r="Q1484" s="2" t="s">
        <v>10</v>
      </c>
      <c r="R1484" s="2" t="s">
        <v>11</v>
      </c>
      <c r="S1484" s="2" t="s">
        <v>12</v>
      </c>
      <c r="T1484" s="2" t="s">
        <v>13</v>
      </c>
      <c r="U1484" s="2" t="s">
        <v>45</v>
      </c>
      <c r="V1484" s="2" t="s">
        <v>46</v>
      </c>
      <c r="W1484" s="2" t="s">
        <v>47</v>
      </c>
      <c r="X1484" s="2" t="s">
        <v>48</v>
      </c>
      <c r="Y1484" s="2" t="s">
        <v>49</v>
      </c>
      <c r="Z1484" s="2" t="s">
        <v>50</v>
      </c>
      <c r="AA1484" s="2" t="s">
        <v>127</v>
      </c>
    </row>
    <row r="1485" spans="2:27" hidden="1" outlineLevel="1" x14ac:dyDescent="0.3">
      <c r="C1485" s="18" t="s">
        <v>54</v>
      </c>
      <c r="D1485" s="19">
        <f>分布式光伏电站IRR汇总!$B$5</f>
        <v>5</v>
      </c>
      <c r="F1485" s="6" t="s">
        <v>14</v>
      </c>
      <c r="G1485" s="33">
        <f>D1506</f>
        <v>24.611999999999995</v>
      </c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</row>
    <row r="1486" spans="2:27" hidden="1" outlineLevel="1" x14ac:dyDescent="0.3">
      <c r="C1486" s="18" t="s">
        <v>55</v>
      </c>
      <c r="D1486" s="19">
        <f>分布式光伏电站IRR汇总!$B$6</f>
        <v>15</v>
      </c>
      <c r="F1486" s="6" t="s">
        <v>15</v>
      </c>
      <c r="G1486" s="33">
        <f>SUM(H1487:AA1487)</f>
        <v>12.385144234005573</v>
      </c>
      <c r="H1486" s="33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  <c r="AA1486" s="33"/>
    </row>
    <row r="1487" spans="2:27" hidden="1" outlineLevel="1" x14ac:dyDescent="0.3">
      <c r="C1487" s="18" t="s">
        <v>42</v>
      </c>
      <c r="D1487" s="19">
        <f>分布式光伏电站IRR汇总!$B$7</f>
        <v>4.1019999999999994</v>
      </c>
      <c r="F1487" s="7" t="s">
        <v>16</v>
      </c>
      <c r="G1487" s="33"/>
      <c r="H1487" s="33">
        <f>D1506*(1-D1504)/D1500/((1+G1481)^H1483)</f>
        <v>1.0925887850467286</v>
      </c>
      <c r="I1487" s="33">
        <f>D1506*(1-D1504)/D1500/((1+G1481)^I1483)</f>
        <v>1.0211110140623632</v>
      </c>
      <c r="J1487" s="33">
        <f>D1506*(1-D1504)/D1500/((1+G1481)^J1483)</f>
        <v>0.95430935893678792</v>
      </c>
      <c r="K1487" s="33">
        <f>D1506*(1-D1504)/D1500/((1+G1481)^K1483)</f>
        <v>0.89187790554839996</v>
      </c>
      <c r="L1487" s="33">
        <f>D1506*(1-D1504)/D1500/((1+G1481)^L1483)</f>
        <v>0.83353075284897193</v>
      </c>
      <c r="M1487" s="33">
        <f>D1506*(1-D1504)/D1500/((1+G1481)^M1483)</f>
        <v>0.77900070359717</v>
      </c>
      <c r="N1487" s="33">
        <f>D1506*(1-D1504)/D1500/((1+G1481)^N1483)</f>
        <v>0.72803804074501866</v>
      </c>
      <c r="O1487" s="33">
        <f>D1506*(1-D1504)/D1500/((1+G1481)^O1483)</f>
        <v>0.6804093838738493</v>
      </c>
      <c r="P1487" s="33">
        <f>D1506*(1-D1504)/D1500/((1+G1481)^P1483)</f>
        <v>0.63589662044284967</v>
      </c>
      <c r="Q1487" s="33">
        <f>D1506*(1-D1504)/D1500/((1+G1481)^Q1483)</f>
        <v>0.59429590695593437</v>
      </c>
      <c r="R1487" s="33">
        <f>D1506*(1-D1504)/D1500/((1+G1481)^R1483)</f>
        <v>0.55541673547283577</v>
      </c>
      <c r="S1487" s="33">
        <f>D1506*(1-D1504)/D1500/((1+G1481)^S1483)</f>
        <v>0.51908106118956621</v>
      </c>
      <c r="T1487" s="33">
        <f>D1506*(1-D1504)/D1500/((1+G1481)^T1483)</f>
        <v>0.4851224870930525</v>
      </c>
      <c r="U1487" s="33">
        <f>D1506*(1-D1504)/D1500/((1+G1481)^U1483)</f>
        <v>0.45338550195612387</v>
      </c>
      <c r="V1487" s="33">
        <f>D1506*(1-D1504)/D1500/((1+G1481)^V1483)</f>
        <v>0.4237247681832933</v>
      </c>
      <c r="W1487" s="33">
        <f>D1506*(1-D1504)/D1500/((1+G1481)^W1483)</f>
        <v>0.39600445624606856</v>
      </c>
      <c r="X1487" s="33">
        <f>D1506*(1-D1504)/D1500/((1+G1481)^X1483)</f>
        <v>0.37009762265987711</v>
      </c>
      <c r="Y1487" s="33">
        <f>D1506*(1-D1504)/D1500/((1+G1481)^Y1483)</f>
        <v>0.34588562865409078</v>
      </c>
      <c r="Z1487" s="33">
        <f>D1506*(1-D1504)/D1500/((1+G1481)^Z1483)</f>
        <v>0.323257596872982</v>
      </c>
      <c r="AA1487" s="33">
        <f>D1506*(1-D1504)/D1500/((1+G1481)^AA1483)</f>
        <v>0.30210990361960938</v>
      </c>
    </row>
    <row r="1488" spans="2:27" hidden="1" outlineLevel="1" x14ac:dyDescent="0.3">
      <c r="C1488" s="21" t="s">
        <v>32</v>
      </c>
      <c r="D1488" s="19">
        <f>分布式光伏电站IRR汇总!$B$8</f>
        <v>1.8870000000000002</v>
      </c>
      <c r="F1488" s="6" t="s">
        <v>17</v>
      </c>
      <c r="G1488" s="33">
        <f>SUM(H1489:AA1489)</f>
        <v>2.5425634189238777</v>
      </c>
      <c r="H1488" s="33"/>
      <c r="I1488" s="33"/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  <c r="T1488" s="33"/>
      <c r="U1488" s="33"/>
      <c r="V1488" s="33"/>
      <c r="W1488" s="33"/>
      <c r="X1488" s="33"/>
      <c r="Y1488" s="33"/>
      <c r="Z1488" s="33"/>
      <c r="AA1488" s="33"/>
    </row>
    <row r="1489" spans="3:27" hidden="1" outlineLevel="1" x14ac:dyDescent="0.3">
      <c r="C1489" s="21" t="s">
        <v>33</v>
      </c>
      <c r="D1489" s="19">
        <f>分布式光伏电站IRR汇总!$B$9</f>
        <v>0.18500000000000003</v>
      </c>
      <c r="F1489" s="7" t="s">
        <v>18</v>
      </c>
      <c r="G1489" s="33"/>
      <c r="H1489" s="33">
        <f>D1503*D1482/((1+G1481)^H1483)</f>
        <v>0.22429906542056072</v>
      </c>
      <c r="I1489" s="33">
        <f>D1503*D1482/((1+G1481)^I1483)</f>
        <v>0.20962529478557079</v>
      </c>
      <c r="J1489" s="33">
        <f>D1503*D1482/((1+G1481)^J1483)</f>
        <v>0.19591149045380446</v>
      </c>
      <c r="K1489" s="33">
        <f>D1503*D1482/((1+G1481)^K1483)</f>
        <v>0.18309485089140604</v>
      </c>
      <c r="L1489" s="33">
        <f>D1503*D1482/((1+G1481)^L1483)</f>
        <v>0.17111668307608041</v>
      </c>
      <c r="M1489" s="33">
        <f>D1503*D1482/((1+G1481)^M1483)</f>
        <v>0.15992213371596301</v>
      </c>
      <c r="N1489" s="33">
        <f>D1503*D1482/((1+G1481)^N1483)</f>
        <v>0.14945993805230187</v>
      </c>
      <c r="O1489" s="33">
        <f>D1503*D1482/((1+G1481)^O1483)</f>
        <v>0.13968218509560923</v>
      </c>
      <c r="P1489" s="33">
        <f>D1503*D1482/((1+G1481)^P1483)</f>
        <v>0.13054409822019553</v>
      </c>
      <c r="Q1489" s="33">
        <f>D1503*D1482/((1+G1481)^Q1483)</f>
        <v>0.12200383011233226</v>
      </c>
      <c r="R1489" s="33">
        <f>D1503*D1482/((1+G1481)^R1483)</f>
        <v>0.1140222711330208</v>
      </c>
      <c r="S1489" s="33">
        <f>D1503*D1482/((1+G1481)^S1483)</f>
        <v>0.10656287021777647</v>
      </c>
      <c r="T1489" s="33">
        <f>D1503*D1482/((1+G1481)^T1483)</f>
        <v>9.9591467493249028E-2</v>
      </c>
      <c r="U1489" s="33">
        <f>D1503*D1482/((1+G1481)^U1483)</f>
        <v>9.3076137844157969E-2</v>
      </c>
      <c r="V1489" s="33">
        <f>D1503*D1482/((1+G1481)^V1483)</f>
        <v>8.6987044714166323E-2</v>
      </c>
      <c r="W1489" s="33">
        <f>D1503*D1482/((1+G1481)^W1483)</f>
        <v>8.1296303471183481E-2</v>
      </c>
      <c r="X1489" s="33">
        <f>D1503*D1482/((1+G1481)^X1483)</f>
        <v>7.5977853711386434E-2</v>
      </c>
      <c r="Y1489" s="33">
        <f>D1503*D1482/((1+G1481)^Y1483)</f>
        <v>7.1007339917183582E-2</v>
      </c>
      <c r="Z1489" s="33">
        <f>D1503*D1482/((1+G1481)^Z1483)</f>
        <v>6.6361999922601472E-2</v>
      </c>
      <c r="AA1489" s="33">
        <f>D1503*D1482/((1+G1481)^AA1483)</f>
        <v>6.2020560675328483E-2</v>
      </c>
    </row>
    <row r="1490" spans="3:27" hidden="1" outlineLevel="1" x14ac:dyDescent="0.3">
      <c r="C1490" s="21" t="s">
        <v>34</v>
      </c>
      <c r="D1490" s="19">
        <f>分布式光伏电站IRR汇总!$B$10</f>
        <v>0.222</v>
      </c>
      <c r="F1490" s="6" t="s">
        <v>19</v>
      </c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>
        <f>D1503*D1506/((1+G1481)^AA1483)</f>
        <v>0.2544083398901974</v>
      </c>
    </row>
    <row r="1491" spans="3:27" hidden="1" outlineLevel="1" x14ac:dyDescent="0.3">
      <c r="C1491" s="21" t="s">
        <v>35</v>
      </c>
      <c r="D1491" s="19">
        <f>分布式光伏电站IRR汇总!$B$11</f>
        <v>0.44400000000000001</v>
      </c>
      <c r="F1491" s="8" t="s">
        <v>64</v>
      </c>
      <c r="G1491" s="33">
        <f>SUM(H1492:AA1492)</f>
        <v>53881.358850127319</v>
      </c>
      <c r="H1491" s="33"/>
      <c r="I1491" s="33"/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  <c r="T1491" s="33"/>
      <c r="U1491" s="33"/>
      <c r="V1491" s="33"/>
      <c r="W1491" s="33"/>
      <c r="X1491" s="33"/>
      <c r="Y1491" s="33"/>
      <c r="Z1491" s="33"/>
      <c r="AA1491" s="33"/>
    </row>
    <row r="1492" spans="3:27" hidden="1" outlineLevel="1" x14ac:dyDescent="0.3">
      <c r="C1492" s="21" t="s">
        <v>36</v>
      </c>
      <c r="D1492" s="19">
        <f>分布式光伏电站IRR汇总!$B$12</f>
        <v>0.222</v>
      </c>
      <c r="F1492" s="9" t="s">
        <v>65</v>
      </c>
      <c r="G1492" s="33"/>
      <c r="H1492" s="33">
        <f>D1482*D1499*(1-D1501)*D1505/((1+G1481)^H1483)</f>
        <v>4911.2397757009339</v>
      </c>
      <c r="I1492" s="33">
        <f>D1482*D1499*(1-D1501)*(1-D1502)^(I1483-1)*D1505/((1+G1481)^I1483)</f>
        <v>4569.2889688881123</v>
      </c>
      <c r="J1492" s="33">
        <f>D1482*D1499*(1-D1501)*(1-D1502)^(J1483-1)*D1505/((1+G1481)^J1483)</f>
        <v>4251.1468864748749</v>
      </c>
      <c r="K1492" s="33">
        <f>D1482*D1499*(1-D1501)*(1-D1502)^(K1483-1)*D1505/((1+G1481)^K1483)</f>
        <v>3955.1558182109702</v>
      </c>
      <c r="L1492" s="33">
        <f>D1482*D1499*(1-D1501)*(1-D1502)^(L1483-1)*D1505/((1+G1481)^L1483)</f>
        <v>3679.7734738588979</v>
      </c>
      <c r="M1492" s="33">
        <f>D1482*D1499*(1-D1501)*(1-D1502)^(M1483-1)*D1505/((1+G1481)^M1483)</f>
        <v>3423.5649469406853</v>
      </c>
      <c r="N1492" s="33">
        <f>D1482*D1499*(1-D1501)*(1-D1502)^(N1483-1)*D1505/((1+G1481)^N1483)</f>
        <v>3185.1952380181797</v>
      </c>
      <c r="O1492" s="33">
        <f>D1482*D1499*(1-D1501)*(1-D1502)^(O1483-1)*D1505/((1+G1481)^O1483)</f>
        <v>2963.4222985486899</v>
      </c>
      <c r="P1492" s="33">
        <f>D1482*D1499*(1-D1501)*(1-D1502)^(P1483-1)*D1505/((1+G1481)^P1483)</f>
        <v>2757.0905590702996</v>
      </c>
      <c r="Q1492" s="33">
        <f>D1482*D1499*(1-D1501)*(1-D1502)^(Q1483-1)*D1505/((1+G1481)^Q1483)</f>
        <v>2565.1249079948448</v>
      </c>
      <c r="R1492" s="33">
        <f>D1482*D1499*(1-D1501)*(1-D1502)^(R1483-1)*D1505/((1+G1481)^R1483)</f>
        <v>2386.5250896344555</v>
      </c>
      <c r="S1492" s="33">
        <f>D1482*D1499*(1-D1501)*(1-D1502)^(S1483-1)*D1505/((1+G1481)^S1483)</f>
        <v>2220.3604922720569</v>
      </c>
      <c r="T1492" s="33">
        <f>D1482*D1499*(1-D1501)*(1-D1502)^(T1483-1)*D1505/((1+G1481)^T1483)</f>
        <v>2065.7652991185355</v>
      </c>
      <c r="U1492" s="33">
        <f>D1482*D1499*(1-D1501)*(1-D1502)^(U1483-1)*D1505/((1+G1481)^U1483)</f>
        <v>1921.9339768901891</v>
      </c>
      <c r="V1492" s="33">
        <f>D1482*D1499*(1-D1501)*(1-D1502)^(V1483-1)*D1505/((1+G1481)^V1483)</f>
        <v>1788.1170784992364</v>
      </c>
      <c r="W1492" s="33">
        <f>D1482*D1499*(1-D1501)*(1-D1502)^(W1483-1)*D1505/((1+G1481)^W1483)</f>
        <v>1663.6173379869069</v>
      </c>
      <c r="X1492" s="33">
        <f>D1482*D1499*(1-D1501)*(1-D1502)^(X1483-1)*D1505/((1+G1481)^X1483)</f>
        <v>1547.7860373513699</v>
      </c>
      <c r="Y1492" s="33">
        <f>D1482*D1499*(1-D1501)*(1-D1502)^(Y1483-1)*D1505/((1+G1481)^Y1483)</f>
        <v>1440.0196263395221</v>
      </c>
      <c r="Z1492" s="33">
        <f>D1482*D1499*(1-D1501)*(1-D1502)^(Z1483-1)*D1505/((1+G1481)^Z1483)</f>
        <v>1339.7565775897144</v>
      </c>
      <c r="AA1492" s="33">
        <f>D1482*D1499*(1-D1501)*(1-D1502)^(AA1483-1)*D1505/((1+G1481)^AA1483)</f>
        <v>1246.474460738842</v>
      </c>
    </row>
    <row r="1493" spans="3:27" hidden="1" outlineLevel="1" x14ac:dyDescent="0.3">
      <c r="C1493" s="21" t="s">
        <v>37</v>
      </c>
      <c r="D1493" s="19">
        <f>分布式光伏电站IRR汇总!$B$13</f>
        <v>0.15</v>
      </c>
      <c r="F1493" s="4" t="s">
        <v>66</v>
      </c>
      <c r="G1493" s="33">
        <f>SUM(H1494:AA1494)</f>
        <v>28.484919169708302</v>
      </c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</row>
    <row r="1494" spans="3:27" hidden="1" outlineLevel="1" x14ac:dyDescent="0.3">
      <c r="C1494" s="21" t="s">
        <v>38</v>
      </c>
      <c r="D1494" s="19">
        <f>分布式光伏电站IRR汇总!$B$14</f>
        <v>3.7000000000000005E-2</v>
      </c>
      <c r="F1494" s="7" t="s">
        <v>67</v>
      </c>
      <c r="G1494" s="33"/>
      <c r="H1494" s="33">
        <f>H1492*D1510/1000</f>
        <v>2.5963760198220558</v>
      </c>
      <c r="I1494" s="33">
        <f>I1492*D1510/1000</f>
        <v>2.4156003062923896</v>
      </c>
      <c r="J1494" s="33">
        <f>J1492*D1510/1000</f>
        <v>2.2474113130038078</v>
      </c>
      <c r="K1494" s="33">
        <f>K1492*D1510/1000</f>
        <v>2.0909326748554116</v>
      </c>
      <c r="L1494" s="33">
        <f>L1492*D1510/1000</f>
        <v>1.9453490446902451</v>
      </c>
      <c r="M1494" s="33">
        <f>M1492*D1510/1000</f>
        <v>1.8099018448496627</v>
      </c>
      <c r="N1494" s="33">
        <f>N1492*D1510/1000</f>
        <v>1.6838853145306909</v>
      </c>
      <c r="O1494" s="33">
        <f>O1492*D1510/1000</f>
        <v>1.5666428323507504</v>
      </c>
      <c r="P1494" s="33">
        <f>P1492*D1510/1000</f>
        <v>1.4575634949581047</v>
      </c>
      <c r="Q1494" s="33">
        <f>Q1492*D1510/1000</f>
        <v>1.3560789338605546</v>
      </c>
      <c r="R1494" s="33">
        <f>R1492*D1510/1000</f>
        <v>1.2616603538861513</v>
      </c>
      <c r="S1494" s="33">
        <f>S1492*D1510/1000</f>
        <v>1.1738157778445457</v>
      </c>
      <c r="T1494" s="33">
        <f>T1492*D1510/1000</f>
        <v>1.0920874830320049</v>
      </c>
      <c r="U1494" s="33">
        <f>U1492*D1510/1000</f>
        <v>1.0160496162227675</v>
      </c>
      <c r="V1494" s="33">
        <f>V1492*D1510/1000</f>
        <v>0.94530597471940636</v>
      </c>
      <c r="W1494" s="33">
        <f>W1492*D1510/1000</f>
        <v>0.87948794190015822</v>
      </c>
      <c r="X1494" s="33">
        <f>X1492*D1510/1000</f>
        <v>0.81825256650617528</v>
      </c>
      <c r="Y1494" s="33">
        <f>Y1492*D1510/1000</f>
        <v>0.76128077566065178</v>
      </c>
      <c r="Z1494" s="33">
        <f>Z1492*D1510/1000</f>
        <v>0.70827571230857844</v>
      </c>
      <c r="AA1494" s="33">
        <f>AA1492*D1510/1000</f>
        <v>0.65896118841419626</v>
      </c>
    </row>
    <row r="1495" spans="3:27" hidden="1" outlineLevel="1" x14ac:dyDescent="0.3">
      <c r="C1495" s="21" t="s">
        <v>39</v>
      </c>
      <c r="D1495" s="19">
        <f>分布式光伏电站IRR汇总!$B$15</f>
        <v>0.25900000000000006</v>
      </c>
      <c r="F1495" s="4" t="s">
        <v>20</v>
      </c>
      <c r="G1495" s="33">
        <f>SUM(H1496:V1496)</f>
        <v>2.9562431494348522</v>
      </c>
      <c r="H1495" s="33"/>
      <c r="I1495" s="33"/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  <c r="Z1495" s="33"/>
      <c r="AA1495" s="33"/>
    </row>
    <row r="1496" spans="3:27" hidden="1" outlineLevel="1" x14ac:dyDescent="0.3">
      <c r="C1496" s="21" t="s">
        <v>40</v>
      </c>
      <c r="D1496" s="19">
        <f>分布式光伏电站IRR汇总!$B$16</f>
        <v>7.400000000000001E-2</v>
      </c>
      <c r="F1496" s="7" t="s">
        <v>21</v>
      </c>
      <c r="G1496" s="33"/>
      <c r="H1496" s="33">
        <f>(H1494-H1487-H1489)*G1482</f>
        <v>0.3198720423386916</v>
      </c>
      <c r="I1496" s="33">
        <f>(I1494-I1487-I1489)*G1482</f>
        <v>0.29621599936111392</v>
      </c>
      <c r="J1496" s="33">
        <f>(J1494-J1487-J1489)*G1482</f>
        <v>0.27429761590330387</v>
      </c>
      <c r="K1496" s="33">
        <f>(K1494-K1487-K1489)*G1482</f>
        <v>0.25398997960390141</v>
      </c>
      <c r="L1496" s="33">
        <f>(L1494-L1487-L1489)*G1482</f>
        <v>0.23517540219129818</v>
      </c>
      <c r="M1496" s="33">
        <f>(M1494-M1487-M1489)*G1482</f>
        <v>0.21774475188413242</v>
      </c>
      <c r="N1496" s="33">
        <f>(N1494-N1487-N1489)*G1482</f>
        <v>0.2015968339333426</v>
      </c>
      <c r="O1496" s="33">
        <f>(O1494-O1487-O1489)*G1482</f>
        <v>0.18663781584532296</v>
      </c>
      <c r="P1496" s="33">
        <f>(P1494-P1487-P1489)*G1482</f>
        <v>0.17278069407376487</v>
      </c>
      <c r="Q1496" s="33">
        <f>(Q1494-Q1487-Q1489)*G1482</f>
        <v>0.15994479919807197</v>
      </c>
      <c r="R1496" s="33">
        <f>(R1494-R1487-R1489)*G1482</f>
        <v>0.14805533682007369</v>
      </c>
      <c r="S1496" s="33">
        <f>(S1494-S1487-S1489)*G1482</f>
        <v>0.13704296160930077</v>
      </c>
      <c r="T1496" s="33">
        <f>(T1494-T1487-T1489)*G1482</f>
        <v>0.12684338211142585</v>
      </c>
      <c r="U1496" s="33">
        <f>(U1494-U1487-U1489)*G1482</f>
        <v>0.11739699410562139</v>
      </c>
      <c r="V1496" s="33">
        <f>(V1494-V1487-V1489)*G1482</f>
        <v>0.10864854045548669</v>
      </c>
      <c r="W1496" s="33">
        <f>(W1494-W1487-W1489)*G1482</f>
        <v>0.10054679554572654</v>
      </c>
      <c r="X1496" s="33">
        <f>(X1494-X1487-X1489)*G1482</f>
        <v>9.3044272533727934E-2</v>
      </c>
      <c r="Y1496" s="33">
        <f>(Y1494-Y1487-Y1489)*G1482</f>
        <v>8.609695177234436E-2</v>
      </c>
      <c r="Z1496" s="33">
        <f>(Z1494-Z1487-Z1489)*G1482</f>
        <v>7.9664028878248749E-2</v>
      </c>
      <c r="AA1496" s="33">
        <f>(AA1494-AA1487-AA1489)*G1482</f>
        <v>7.3707681029814606E-2</v>
      </c>
    </row>
    <row r="1497" spans="3:27" hidden="1" outlineLevel="1" x14ac:dyDescent="0.3">
      <c r="C1497" s="21" t="s">
        <v>41</v>
      </c>
      <c r="D1497" s="19">
        <f>分布式光伏电站IRR汇总!$B$17</f>
        <v>0.222</v>
      </c>
      <c r="F1497" s="10" t="s">
        <v>22</v>
      </c>
      <c r="G1497" s="33">
        <f>-G1485</f>
        <v>-24.611999999999995</v>
      </c>
      <c r="H1497" s="33">
        <f t="shared" ref="H1497:AA1497" si="550">H1494-H1496-H1489</f>
        <v>2.0522049120628036</v>
      </c>
      <c r="I1497" s="33">
        <f t="shared" si="550"/>
        <v>1.9097590121457049</v>
      </c>
      <c r="J1497" s="33">
        <f t="shared" si="550"/>
        <v>1.7772022066466995</v>
      </c>
      <c r="K1497" s="33">
        <f t="shared" si="550"/>
        <v>1.6538478443601041</v>
      </c>
      <c r="L1497" s="33">
        <f t="shared" si="550"/>
        <v>1.5390569594228665</v>
      </c>
      <c r="M1497" s="33">
        <f t="shared" si="550"/>
        <v>1.4322349592495671</v>
      </c>
      <c r="N1497" s="33">
        <f t="shared" si="550"/>
        <v>1.3328285425450463</v>
      </c>
      <c r="O1497" s="33">
        <f t="shared" si="550"/>
        <v>1.2403228314098182</v>
      </c>
      <c r="P1497" s="33">
        <f t="shared" si="550"/>
        <v>1.1542387026641443</v>
      </c>
      <c r="Q1497" s="33">
        <f t="shared" si="550"/>
        <v>1.0741303045501502</v>
      </c>
      <c r="R1497" s="33">
        <f t="shared" si="550"/>
        <v>0.99958274593305685</v>
      </c>
      <c r="S1497" s="33">
        <f t="shared" si="550"/>
        <v>0.93020994601746854</v>
      </c>
      <c r="T1497" s="33">
        <f t="shared" si="550"/>
        <v>0.86565263342733001</v>
      </c>
      <c r="U1497" s="33">
        <f t="shared" si="550"/>
        <v>0.805576484272988</v>
      </c>
      <c r="V1497" s="33">
        <f t="shared" si="550"/>
        <v>0.7496703895497534</v>
      </c>
      <c r="W1497" s="33">
        <f t="shared" si="550"/>
        <v>0.69764484288324824</v>
      </c>
      <c r="X1497" s="33">
        <f t="shared" si="550"/>
        <v>0.64923044026106091</v>
      </c>
      <c r="Y1497" s="33">
        <f t="shared" si="550"/>
        <v>0.60417648397112389</v>
      </c>
      <c r="Z1497" s="33">
        <f t="shared" si="550"/>
        <v>0.56224968350772819</v>
      </c>
      <c r="AA1497" s="33">
        <f t="shared" si="550"/>
        <v>0.52323294670905318</v>
      </c>
    </row>
    <row r="1498" spans="3:27" ht="13.5" hidden="1" outlineLevel="1" thickBot="1" x14ac:dyDescent="0.35">
      <c r="C1498" s="21" t="s">
        <v>74</v>
      </c>
      <c r="D1498" s="19">
        <f>分布式光伏电站IRR汇总!$B$18</f>
        <v>0.4</v>
      </c>
      <c r="F1498" s="3" t="s">
        <v>61</v>
      </c>
      <c r="G1498" s="35">
        <f>SUM(G1497:AA1497)/G1485</f>
        <v>-8.3656229823268147E-2</v>
      </c>
      <c r="H1498" s="34"/>
      <c r="I1498" s="34"/>
      <c r="J1498" s="34"/>
      <c r="K1498" s="34"/>
      <c r="L1498" s="34"/>
      <c r="M1498" s="34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</row>
    <row r="1499" spans="3:27" ht="13.5" hidden="1" outlineLevel="1" thickTop="1" x14ac:dyDescent="0.3">
      <c r="C1499" s="18" t="s">
        <v>58</v>
      </c>
      <c r="D1499" s="19">
        <f>分布式光伏电站IRR汇总!$B$19</f>
        <v>0.86599999999999999</v>
      </c>
    </row>
    <row r="1500" spans="3:27" hidden="1" outlineLevel="1" x14ac:dyDescent="0.3">
      <c r="C1500" s="18" t="s">
        <v>62</v>
      </c>
      <c r="D1500" s="19">
        <f>分布式光伏电站IRR汇总!$B$20</f>
        <v>20</v>
      </c>
      <c r="F1500" s="13" t="s">
        <v>25</v>
      </c>
      <c r="G1500" s="14">
        <v>0</v>
      </c>
    </row>
    <row r="1501" spans="3:27" hidden="1" outlineLevel="1" x14ac:dyDescent="0.3">
      <c r="C1501" s="18" t="s">
        <v>59</v>
      </c>
      <c r="D1501" s="52">
        <f>分布式光伏电站IRR汇总!$B$21</f>
        <v>0.02</v>
      </c>
      <c r="F1501" s="13" t="s">
        <v>26</v>
      </c>
      <c r="G1501" s="14">
        <v>0.25</v>
      </c>
      <c r="Q1501" s="15"/>
    </row>
    <row r="1502" spans="3:27" hidden="1" outlineLevel="1" x14ac:dyDescent="0.3">
      <c r="C1502" s="18" t="s">
        <v>60</v>
      </c>
      <c r="D1502" s="52">
        <f>分布式光伏电站IRR汇总!$B$22</f>
        <v>4.4999999999999997E-3</v>
      </c>
      <c r="F1502" s="1" t="s">
        <v>44</v>
      </c>
      <c r="G1502" s="4"/>
      <c r="H1502" s="5">
        <v>1</v>
      </c>
      <c r="I1502" s="5">
        <v>2</v>
      </c>
      <c r="J1502" s="5">
        <v>3</v>
      </c>
      <c r="K1502" s="5">
        <v>4</v>
      </c>
      <c r="L1502" s="5">
        <v>5</v>
      </c>
      <c r="M1502" s="5">
        <v>6</v>
      </c>
      <c r="N1502" s="5">
        <v>7</v>
      </c>
      <c r="O1502" s="5">
        <v>8</v>
      </c>
      <c r="P1502" s="5">
        <v>9</v>
      </c>
      <c r="Q1502" s="5">
        <v>10</v>
      </c>
      <c r="R1502" s="5">
        <v>11</v>
      </c>
      <c r="S1502" s="5">
        <v>12</v>
      </c>
      <c r="T1502" s="5">
        <v>13</v>
      </c>
      <c r="U1502" s="5">
        <v>14</v>
      </c>
      <c r="V1502" s="5">
        <v>15</v>
      </c>
      <c r="W1502" s="5">
        <v>16</v>
      </c>
      <c r="X1502" s="5">
        <v>17</v>
      </c>
      <c r="Y1502" s="5">
        <v>18</v>
      </c>
      <c r="Z1502" s="5">
        <v>19</v>
      </c>
      <c r="AA1502" s="5">
        <v>20</v>
      </c>
    </row>
    <row r="1503" spans="3:27" hidden="1" outlineLevel="1" x14ac:dyDescent="0.3">
      <c r="C1503" s="18" t="s">
        <v>28</v>
      </c>
      <c r="D1503" s="29">
        <f>分布式光伏电站IRR汇总!$B$23</f>
        <v>0.04</v>
      </c>
      <c r="F1503" s="16"/>
      <c r="G1503" s="2" t="s">
        <v>0</v>
      </c>
      <c r="H1503" s="2" t="s">
        <v>1</v>
      </c>
      <c r="I1503" s="2" t="s">
        <v>2</v>
      </c>
      <c r="J1503" s="2" t="s">
        <v>3</v>
      </c>
      <c r="K1503" s="2" t="s">
        <v>4</v>
      </c>
      <c r="L1503" s="2" t="s">
        <v>5</v>
      </c>
      <c r="M1503" s="2" t="s">
        <v>6</v>
      </c>
      <c r="N1503" s="2" t="s">
        <v>7</v>
      </c>
      <c r="O1503" s="2" t="s">
        <v>8</v>
      </c>
      <c r="P1503" s="2" t="s">
        <v>9</v>
      </c>
      <c r="Q1503" s="2" t="s">
        <v>10</v>
      </c>
      <c r="R1503" s="2" t="s">
        <v>11</v>
      </c>
      <c r="S1503" s="2" t="s">
        <v>12</v>
      </c>
      <c r="T1503" s="2" t="s">
        <v>13</v>
      </c>
      <c r="U1503" s="2" t="s">
        <v>45</v>
      </c>
      <c r="V1503" s="2" t="s">
        <v>46</v>
      </c>
      <c r="W1503" s="2" t="s">
        <v>47</v>
      </c>
      <c r="X1503" s="2" t="s">
        <v>48</v>
      </c>
      <c r="Y1503" s="2" t="s">
        <v>49</v>
      </c>
      <c r="Z1503" s="2" t="s">
        <v>50</v>
      </c>
      <c r="AA1503" s="2" t="s">
        <v>51</v>
      </c>
    </row>
    <row r="1504" spans="3:27" hidden="1" outlineLevel="1" x14ac:dyDescent="0.3">
      <c r="C1504" s="18" t="s">
        <v>43</v>
      </c>
      <c r="D1504" s="19">
        <f>分布式光伏电站IRR汇总!$B$24</f>
        <v>0.05</v>
      </c>
      <c r="F1504" s="6" t="s">
        <v>14</v>
      </c>
      <c r="G1504" s="33">
        <f>D1506</f>
        <v>24.611999999999995</v>
      </c>
      <c r="H1504" s="33"/>
      <c r="I1504" s="33"/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/>
    </row>
    <row r="1505" spans="2:27" hidden="1" outlineLevel="1" x14ac:dyDescent="0.3">
      <c r="C1505" s="18" t="s">
        <v>126</v>
      </c>
      <c r="D1505" s="28">
        <f>Backup分地区光伏小时数及电价!E33</f>
        <v>1032</v>
      </c>
      <c r="F1505" s="6" t="s">
        <v>15</v>
      </c>
      <c r="G1505" s="33">
        <f>SUM(H1506:AA1506)</f>
        <v>23.381399999999985</v>
      </c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</row>
    <row r="1506" spans="2:27" hidden="1" outlineLevel="1" x14ac:dyDescent="0.3">
      <c r="C1506" s="24" t="s">
        <v>14</v>
      </c>
      <c r="D1506" s="30">
        <f>D1482*D1487</f>
        <v>24.611999999999995</v>
      </c>
      <c r="F1506" s="7" t="s">
        <v>16</v>
      </c>
      <c r="G1506" s="33"/>
      <c r="H1506" s="33">
        <f>D1506*(1-D1504)/D1500/((1+G1500)^H1502)</f>
        <v>1.1690699999999996</v>
      </c>
      <c r="I1506" s="33">
        <f>D1506*(1-D1504)/D1500/((1+G1500)^I1502)</f>
        <v>1.1690699999999996</v>
      </c>
      <c r="J1506" s="33">
        <f>D1506*(1-D1504)/D1500/((1+G1500)^J1502)</f>
        <v>1.1690699999999996</v>
      </c>
      <c r="K1506" s="33">
        <f>D1506*(1-D1504)/D1500/((1+G1500)^K1502)</f>
        <v>1.1690699999999996</v>
      </c>
      <c r="L1506" s="33">
        <f>D1506*(1-D1504)/D1500/((1+G1500)^L1502)</f>
        <v>1.1690699999999996</v>
      </c>
      <c r="M1506" s="33">
        <f>D1506*(1-D1504)/D1500/((1+G1500)^M1502)</f>
        <v>1.1690699999999996</v>
      </c>
      <c r="N1506" s="33">
        <f>D1506*(1-D1504)/D1500/((1+G1500)^N1502)</f>
        <v>1.1690699999999996</v>
      </c>
      <c r="O1506" s="33">
        <f>D1506*(1-D1504)/D1500/((1+G1500)^O1502)</f>
        <v>1.1690699999999996</v>
      </c>
      <c r="P1506" s="33">
        <f>D1506*(1-D1504)/D1500/((1+G1500)^P1502)</f>
        <v>1.1690699999999996</v>
      </c>
      <c r="Q1506" s="33">
        <f>D1506*(1-D1504)/D1500/((1+G1500)^Q1502)</f>
        <v>1.1690699999999996</v>
      </c>
      <c r="R1506" s="33">
        <f>D1506*(1-D1504)/D1500/((1+G1500)^R1502)</f>
        <v>1.1690699999999996</v>
      </c>
      <c r="S1506" s="33">
        <f>D1506*(1-D1504)/D1500/((1+G1500)^S1502)</f>
        <v>1.1690699999999996</v>
      </c>
      <c r="T1506" s="33">
        <f>D1506*(1-D1504)/D1500/((1+G1500)^T1502)</f>
        <v>1.1690699999999996</v>
      </c>
      <c r="U1506" s="33">
        <f>D1506*(1-D1504)/D1500/((1+G1500)^U1502)</f>
        <v>1.1690699999999996</v>
      </c>
      <c r="V1506" s="33">
        <f>D1506*(1-D1504)/D1500/((1+G1500)^V1502)</f>
        <v>1.1690699999999996</v>
      </c>
      <c r="W1506" s="33">
        <f>D1506*(1-D1504)/D1500/((1+G1500)^W1502)</f>
        <v>1.1690699999999996</v>
      </c>
      <c r="X1506" s="33">
        <f>D1506*(1-D1504)/D1500/((1+G1500)^X1502)</f>
        <v>1.1690699999999996</v>
      </c>
      <c r="Y1506" s="33">
        <f>D1506*(1-D1504)/D1500/((1+G1500)^Y1502)</f>
        <v>1.1690699999999996</v>
      </c>
      <c r="Z1506" s="33">
        <f>D1506*(1-D1504)/D1500/((1+G1500)^Z1502)</f>
        <v>1.1690699999999996</v>
      </c>
      <c r="AA1506" s="33">
        <f>D1506*(1-D1504)/D1500/((1+G1500)^AA1502)</f>
        <v>1.1690699999999996</v>
      </c>
    </row>
    <row r="1507" spans="2:27" hidden="1" outlineLevel="1" x14ac:dyDescent="0.3">
      <c r="C1507" s="18" t="s">
        <v>29</v>
      </c>
      <c r="D1507" s="29">
        <v>0.35980000000000001</v>
      </c>
      <c r="F1507" s="6" t="s">
        <v>17</v>
      </c>
      <c r="G1507" s="33">
        <f>SUM(H1508:AA1508)</f>
        <v>4.8000000000000025</v>
      </c>
      <c r="H1507" s="33"/>
      <c r="I1507" s="33"/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/>
    </row>
    <row r="1508" spans="2:27" hidden="1" outlineLevel="1" x14ac:dyDescent="0.3">
      <c r="C1508" s="18" t="s">
        <v>30</v>
      </c>
      <c r="D1508" s="31">
        <f>Backup分地区光伏小时数及电价!I33</f>
        <v>0.52866000000000002</v>
      </c>
      <c r="F1508" s="7" t="s">
        <v>18</v>
      </c>
      <c r="G1508" s="33"/>
      <c r="H1508" s="33">
        <f>D1503*D1482/((1+G1500)^H1502)</f>
        <v>0.24</v>
      </c>
      <c r="I1508" s="33">
        <f>D1503*D1482/((1+G1500)^I1502)</f>
        <v>0.24</v>
      </c>
      <c r="J1508" s="33">
        <f>D1503*D1482/((1+G1500)^J1502)</f>
        <v>0.24</v>
      </c>
      <c r="K1508" s="33">
        <f>D1503*D1482/((1+G1500)^K1502)</f>
        <v>0.24</v>
      </c>
      <c r="L1508" s="33">
        <f>D1503*D1482/((1+G1500)^L1502)</f>
        <v>0.24</v>
      </c>
      <c r="M1508" s="33">
        <f>D1503*D1482/((1+G1500)^M1502)</f>
        <v>0.24</v>
      </c>
      <c r="N1508" s="33">
        <f>D1503*D1482/((1+G1500)^N1502)</f>
        <v>0.24</v>
      </c>
      <c r="O1508" s="33">
        <f>D1503*D1482/((1+G1500)^O1502)</f>
        <v>0.24</v>
      </c>
      <c r="P1508" s="33">
        <f>D1503*D1482/((1+G1500)^P1502)</f>
        <v>0.24</v>
      </c>
      <c r="Q1508" s="33">
        <f>D1503*D1482/((1+G1500)^Q1502)</f>
        <v>0.24</v>
      </c>
      <c r="R1508" s="33">
        <f>D1503*D1482/((1+G1500)^R1502)</f>
        <v>0.24</v>
      </c>
      <c r="S1508" s="33">
        <f>D1503*D1482/((1+G1500)^S1502)</f>
        <v>0.24</v>
      </c>
      <c r="T1508" s="33">
        <f>D1503*D1482/((1+G1500)^T1502)</f>
        <v>0.24</v>
      </c>
      <c r="U1508" s="33">
        <f>D1503*D1482/((1+G1500)^U1502)</f>
        <v>0.24</v>
      </c>
      <c r="V1508" s="33">
        <f>D1503*D1482/((1+G1500)^V1502)</f>
        <v>0.24</v>
      </c>
      <c r="W1508" s="33">
        <f>D1503*D1482/((1+G1500)^W1502)</f>
        <v>0.24</v>
      </c>
      <c r="X1508" s="33">
        <f>D1503*D1482/((1+G1500)^X1502)</f>
        <v>0.24</v>
      </c>
      <c r="Y1508" s="33">
        <f>D1503*D1482/((1+G1500)^Y1502)</f>
        <v>0.24</v>
      </c>
      <c r="Z1508" s="33">
        <f>D1503*D1482/((1+G1500)^Z1502)</f>
        <v>0.24</v>
      </c>
      <c r="AA1508" s="33">
        <f>D1503*D1482/((1+G1500)^AA1502)</f>
        <v>0.24</v>
      </c>
    </row>
    <row r="1509" spans="2:27" hidden="1" outlineLevel="1" x14ac:dyDescent="0.3">
      <c r="C1509" s="18" t="s">
        <v>70</v>
      </c>
      <c r="D1509" s="32">
        <f>分布式光伏电站IRR汇总!$B$27</f>
        <v>1</v>
      </c>
      <c r="F1509" s="6" t="s">
        <v>19</v>
      </c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f>D1503*D1506/((1+G1500)^AA1502)</f>
        <v>0.9844799999999998</v>
      </c>
    </row>
    <row r="1510" spans="2:27" hidden="1" outlineLevel="1" x14ac:dyDescent="0.3">
      <c r="C1510" s="18" t="s">
        <v>69</v>
      </c>
      <c r="D1510" s="31">
        <f>D1509*D1508</f>
        <v>0.52866000000000002</v>
      </c>
      <c r="F1510" s="8" t="s">
        <v>64</v>
      </c>
      <c r="G1510" s="33">
        <f>SUM(H1511:AA1511)</f>
        <v>100726.50871873347</v>
      </c>
      <c r="H1510" s="33"/>
      <c r="I1510" s="33"/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  <c r="Z1510" s="33"/>
      <c r="AA1510" s="33"/>
    </row>
    <row r="1511" spans="2:27" hidden="1" outlineLevel="1" x14ac:dyDescent="0.3">
      <c r="C1511" s="18" t="s">
        <v>31</v>
      </c>
      <c r="D1511" s="27">
        <v>0</v>
      </c>
      <c r="F1511" s="9" t="s">
        <v>65</v>
      </c>
      <c r="G1511" s="33"/>
      <c r="H1511" s="33">
        <f>D1482*D1499*(1-D1501)*D1505/((1+G1500)^H1502)</f>
        <v>5255.0265599999993</v>
      </c>
      <c r="I1511" s="33">
        <f>D1482*D1499*(1-D1501)*(1-D1502)^(I1502-1)*D1505/((1+G1500)^I1502)</f>
        <v>5231.37894048</v>
      </c>
      <c r="J1511" s="33">
        <f>D1482*D1499*(1-D1501)*(1-D1502)^(J1502-1)*D1505/((1+G1500)^J1502)</f>
        <v>5207.8377352478401</v>
      </c>
      <c r="K1511" s="33">
        <f>D1482*D1499*(1-D1501)*(1-D1502)^(K1502-1)*D1505/((1+G1500)^K1502)</f>
        <v>5184.4024654392251</v>
      </c>
      <c r="L1511" s="33">
        <f>D1482*D1499*(1-D1501)*(1-D1502)^(L1502-1)*D1505/((1+G1500)^L1502)</f>
        <v>5161.072654344749</v>
      </c>
      <c r="M1511" s="33">
        <f>D1482*D1499*(1-D1501)*(1-D1502)^(M1502-1)*D1505/((1+G1500)^M1502)</f>
        <v>5137.8478274001982</v>
      </c>
      <c r="N1511" s="33">
        <f>D1482*D1499*(1-D1501)*(1-D1502)^(N1502-1)*D1505/((1+G1500)^N1502)</f>
        <v>5114.7275121768971</v>
      </c>
      <c r="O1511" s="33">
        <f>D1482*D1499*(1-D1501)*(1-D1502)^(O1502-1)*D1505/((1+G1500)^O1502)</f>
        <v>5091.7112383721014</v>
      </c>
      <c r="P1511" s="33">
        <f>D1482*D1499*(1-D1501)*(1-D1502)^(P1502-1)*D1505/((1+G1500)^P1502)</f>
        <v>5068.7985377994273</v>
      </c>
      <c r="Q1511" s="33">
        <f>D1482*D1499*(1-D1501)*(1-D1502)^(Q1502-1)*D1505/((1+G1500)^Q1502)</f>
        <v>5045.9889443793309</v>
      </c>
      <c r="R1511" s="33">
        <f>D1482*D1499*(1-D1501)*(1-D1502)^(R1502-1)*D1505/((1+G1500)^R1502)</f>
        <v>5023.2819941296239</v>
      </c>
      <c r="S1511" s="33">
        <f>D1482*D1499*(1-D1501)*(1-D1502)^(S1502-1)*D1505/((1+G1500)^S1502)</f>
        <v>5000.6772251560405</v>
      </c>
      <c r="T1511" s="33">
        <f>D1482*D1499*(1-D1501)*(1-D1502)^(T1502-1)*D1505/((1+G1500)^T1502)</f>
        <v>4978.1741776428389</v>
      </c>
      <c r="U1511" s="33">
        <f>D1482*D1499*(1-D1501)*(1-D1502)^(U1502-1)*D1505/((1+G1500)^U1502)</f>
        <v>4955.7723938434465</v>
      </c>
      <c r="V1511" s="33">
        <f>D1482*D1499*(1-D1501)*(1-D1502)^(V1502-1)*D1505/((1+G1500)^V1502)</f>
        <v>4933.4714180711508</v>
      </c>
      <c r="W1511" s="33">
        <f>D1482*D1499*(1-D1501)*(1-D1502)^(W1502-1)*D1505/((1+G1500)^W1502)</f>
        <v>4911.2707966898315</v>
      </c>
      <c r="X1511" s="33">
        <f>D1482*D1499*(1-D1501)*(1-D1502)^(X1502-1)*D1505/((1+G1500)^X1502)</f>
        <v>4889.1700781047275</v>
      </c>
      <c r="Y1511" s="33">
        <f>D1482*D1499*(1-D1501)*(1-D1502)^(Y1502-1)*D1505/((1+G1500)^Y1502)</f>
        <v>4867.1688127532561</v>
      </c>
      <c r="Z1511" s="33">
        <f>D1482*D1499*(1-D1501)*(1-D1502)^(Z1502-1)*D1505/((1+G1500)^Z1502)</f>
        <v>4845.2665530958675</v>
      </c>
      <c r="AA1511" s="33">
        <f>D1482*D1499*(1-D1501)*(1-D1502)^(AA1502-1)*D1505/((1+G1500)^AA1502)</f>
        <v>4823.4628536069367</v>
      </c>
    </row>
    <row r="1512" spans="2:27" hidden="1" outlineLevel="1" x14ac:dyDescent="0.3">
      <c r="F1512" s="4" t="s">
        <v>66</v>
      </c>
      <c r="G1512" s="33">
        <f>SUM(H1513:AA1513)</f>
        <v>53.250076099245653</v>
      </c>
      <c r="H1512" s="33"/>
      <c r="I1512" s="33"/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33"/>
      <c r="AA1512" s="33"/>
    </row>
    <row r="1513" spans="2:27" hidden="1" outlineLevel="1" x14ac:dyDescent="0.3">
      <c r="F1513" s="7" t="s">
        <v>67</v>
      </c>
      <c r="G1513" s="33"/>
      <c r="H1513" s="33">
        <f>H1511*D1510/1000</f>
        <v>2.7781223412095994</v>
      </c>
      <c r="I1513" s="33">
        <f>I1511*D1510/1000</f>
        <v>2.765620790674157</v>
      </c>
      <c r="J1513" s="33">
        <f>J1511*D1510/1000</f>
        <v>2.7531754971161231</v>
      </c>
      <c r="K1513" s="33">
        <f>K1511*D1510/1000</f>
        <v>2.7407862073791005</v>
      </c>
      <c r="L1513" s="33">
        <f>L1511*D1510/1000</f>
        <v>2.728452669445895</v>
      </c>
      <c r="M1513" s="33">
        <f>M1511*D1510/1000</f>
        <v>2.7161746324333889</v>
      </c>
      <c r="N1513" s="33">
        <f>N1511*D1510/1000</f>
        <v>2.7039518465874384</v>
      </c>
      <c r="O1513" s="33">
        <f>O1511*D1510/1000</f>
        <v>2.6917840632777952</v>
      </c>
      <c r="P1513" s="33">
        <f>P1511*D1510/1000</f>
        <v>2.6796710349930453</v>
      </c>
      <c r="Q1513" s="33">
        <f>Q1511*D1510/1000</f>
        <v>2.667612515335577</v>
      </c>
      <c r="R1513" s="33">
        <f>R1511*D1510/1000</f>
        <v>2.6556082590165668</v>
      </c>
      <c r="S1513" s="33">
        <f>S1511*D1510/1000</f>
        <v>2.6436580218509924</v>
      </c>
      <c r="T1513" s="33">
        <f>T1511*D1510/1000</f>
        <v>2.631761560752663</v>
      </c>
      <c r="U1513" s="33">
        <f>U1511*D1510/1000</f>
        <v>2.6199186337292768</v>
      </c>
      <c r="V1513" s="33">
        <f>V1511*D1510/1000</f>
        <v>2.6081289998774948</v>
      </c>
      <c r="W1513" s="33">
        <f>W1511*D1510/1000</f>
        <v>2.5963924193780463</v>
      </c>
      <c r="X1513" s="33">
        <f>X1511*D1510/1000</f>
        <v>2.5847086534908454</v>
      </c>
      <c r="Y1513" s="33">
        <f>Y1511*D1510/1000</f>
        <v>2.5730774645501366</v>
      </c>
      <c r="Z1513" s="33">
        <f>Z1511*D1510/1000</f>
        <v>2.5614986159596613</v>
      </c>
      <c r="AA1513" s="33">
        <f>AA1511*D1510/1000</f>
        <v>2.5499718721878435</v>
      </c>
    </row>
    <row r="1514" spans="2:27" hidden="1" outlineLevel="1" x14ac:dyDescent="0.3">
      <c r="F1514" s="4" t="s">
        <v>20</v>
      </c>
      <c r="G1514" s="33">
        <f>SUM(H1515:AA1515)</f>
        <v>6.2671690248114134</v>
      </c>
      <c r="H1514" s="33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</row>
    <row r="1515" spans="2:27" hidden="1" outlineLevel="1" x14ac:dyDescent="0.3">
      <c r="F1515" s="7" t="s">
        <v>21</v>
      </c>
      <c r="G1515" s="33"/>
      <c r="H1515" s="33">
        <f>(H1513-H1506-H1508)*G1501</f>
        <v>0.34226308530239996</v>
      </c>
      <c r="I1515" s="33">
        <f>(I1513-I1506-I1508)*G1501</f>
        <v>0.33913769766853935</v>
      </c>
      <c r="J1515" s="33">
        <f>(J1513-J1506-J1508)*G1501</f>
        <v>0.33602637427903087</v>
      </c>
      <c r="K1515" s="33">
        <f>(K1513-K1506-K1508)*G1501</f>
        <v>0.33292905184477523</v>
      </c>
      <c r="L1515" s="33">
        <f>(L1513-L1506-L1508)*G1501</f>
        <v>0.32984566736147386</v>
      </c>
      <c r="M1515" s="33">
        <f>(M1513-M1506-M1508)*G1501</f>
        <v>0.32677615810834731</v>
      </c>
      <c r="N1515" s="33">
        <f>(N1513-N1506-N1508)*G1501</f>
        <v>0.32372046164685969</v>
      </c>
      <c r="O1515" s="33">
        <f>(O1513-O1506-O1508)*G1501</f>
        <v>0.32067851581944889</v>
      </c>
      <c r="P1515" s="33">
        <f>(P1513-P1506-P1508)*G1501</f>
        <v>0.31765025874826142</v>
      </c>
      <c r="Q1515" s="33">
        <f>(Q1513-Q1506-Q1508)*G1501</f>
        <v>0.31463562883389434</v>
      </c>
      <c r="R1515" s="33">
        <f>(R1513-R1506-R1508)*G1501</f>
        <v>0.31163456475414181</v>
      </c>
      <c r="S1515" s="33">
        <f>(S1513-S1506-S1508)*G1501</f>
        <v>0.3086470054627482</v>
      </c>
      <c r="T1515" s="33">
        <f>(T1513-T1506-T1508)*G1501</f>
        <v>0.30567289018816585</v>
      </c>
      <c r="U1515" s="33">
        <f>(U1513-U1506-U1508)*G1501</f>
        <v>0.3027121584323193</v>
      </c>
      <c r="V1515" s="33">
        <f>(V1513-V1506-V1508)*G1501</f>
        <v>0.2997647499693738</v>
      </c>
      <c r="W1515" s="33">
        <f>(W1513-W1506-W1508)*G1501</f>
        <v>0.29683060484451168</v>
      </c>
      <c r="X1515" s="33">
        <f>(X1513-X1506-X1508)*G1501</f>
        <v>0.29390966337271146</v>
      </c>
      <c r="Y1515" s="33">
        <f>(Y1513-Y1506-Y1508)*G1501</f>
        <v>0.29100186613753426</v>
      </c>
      <c r="Z1515" s="33">
        <f>(Z1513-Z1506-Z1508)*G1501</f>
        <v>0.28810715398991543</v>
      </c>
      <c r="AA1515" s="33">
        <f>(AA1513-AA1506-AA1508)*G1501</f>
        <v>0.28522546804696097</v>
      </c>
    </row>
    <row r="1516" spans="2:27" hidden="1" outlineLevel="1" x14ac:dyDescent="0.3">
      <c r="F1516" s="10" t="s">
        <v>22</v>
      </c>
      <c r="G1516" s="33">
        <f>-G1504</f>
        <v>-24.611999999999995</v>
      </c>
      <c r="H1516" s="33">
        <f>H1513-H1515-H1508</f>
        <v>2.1958592559071999</v>
      </c>
      <c r="I1516" s="33">
        <f t="shared" ref="I1516" si="551">I1513-I1515-I1508</f>
        <v>2.1864830930056174</v>
      </c>
      <c r="J1516" s="33">
        <f t="shared" ref="J1516" si="552">J1513-J1515-J1508</f>
        <v>2.1771491228370925</v>
      </c>
      <c r="K1516" s="33">
        <f t="shared" ref="K1516" si="553">K1513-K1515-K1508</f>
        <v>2.1678571555343256</v>
      </c>
      <c r="L1516" s="33">
        <f t="shared" ref="L1516" si="554">L1513-L1515-L1508</f>
        <v>2.1586070020844215</v>
      </c>
      <c r="M1516" s="33">
        <f t="shared" ref="M1516" si="555">M1513-M1515-M1508</f>
        <v>2.1493984743250412</v>
      </c>
      <c r="N1516" s="33">
        <f t="shared" ref="N1516" si="556">N1513-N1515-N1508</f>
        <v>2.140231384940579</v>
      </c>
      <c r="O1516" s="33">
        <f t="shared" ref="O1516" si="557">O1513-O1515-O1508</f>
        <v>2.131105547458346</v>
      </c>
      <c r="P1516" s="33">
        <f t="shared" ref="P1516" si="558">P1513-P1515-P1508</f>
        <v>2.122020776244784</v>
      </c>
      <c r="Q1516" s="33">
        <f t="shared" ref="Q1516" si="559">Q1513-Q1515-Q1508</f>
        <v>2.1129768865016825</v>
      </c>
      <c r="R1516" s="33">
        <f t="shared" ref="R1516" si="560">R1513-R1515-R1508</f>
        <v>2.1039736942624252</v>
      </c>
      <c r="S1516" s="33">
        <f t="shared" ref="S1516" si="561">S1513-S1515-S1508</f>
        <v>2.0950110163882441</v>
      </c>
      <c r="T1516" s="33">
        <f t="shared" ref="T1516" si="562">T1513-T1515-T1508</f>
        <v>2.0860886705644974</v>
      </c>
      <c r="U1516" s="33">
        <f t="shared" ref="U1516" si="563">U1513-U1515-U1508</f>
        <v>2.0772064752969577</v>
      </c>
      <c r="V1516" s="33">
        <f t="shared" ref="V1516" si="564">V1513-V1515-V1508</f>
        <v>2.0683642499081207</v>
      </c>
      <c r="W1516" s="33">
        <f t="shared" ref="W1516" si="565">W1513-W1515-W1508</f>
        <v>2.0595618145335344</v>
      </c>
      <c r="X1516" s="33">
        <f t="shared" ref="X1516" si="566">X1513-X1515-X1508</f>
        <v>2.0507989901181336</v>
      </c>
      <c r="Y1516" s="33">
        <f t="shared" ref="Y1516" si="567">Y1513-Y1515-Y1508</f>
        <v>2.0420755984126027</v>
      </c>
      <c r="Z1516" s="33">
        <f t="shared" ref="Z1516" si="568">Z1513-Z1515-Z1508</f>
        <v>2.033391461969746</v>
      </c>
      <c r="AA1516" s="33">
        <f t="shared" ref="AA1516" si="569">AA1513-AA1515-AA1508</f>
        <v>2.0247464041408829</v>
      </c>
    </row>
    <row r="1517" spans="2:27" ht="13.5" hidden="1" outlineLevel="1" thickBot="1" x14ac:dyDescent="0.35">
      <c r="F1517" s="3" t="s">
        <v>68</v>
      </c>
      <c r="G1517" s="40">
        <f>IRR(G1516:AA1516)</f>
        <v>5.8857916038486113E-2</v>
      </c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</row>
    <row r="1518" spans="2:27" ht="13.5" collapsed="1" thickTop="1" x14ac:dyDescent="0.3"/>
    <row r="1519" spans="2:27" x14ac:dyDescent="0.3">
      <c r="B1519" s="11" t="s">
        <v>175</v>
      </c>
      <c r="C1519" s="11" t="s">
        <v>52</v>
      </c>
    </row>
    <row r="1520" spans="2:27" x14ac:dyDescent="0.3">
      <c r="C1520" s="11" t="s">
        <v>141</v>
      </c>
      <c r="D1520" s="54">
        <f>D1551</f>
        <v>1013</v>
      </c>
    </row>
    <row r="1521" spans="3:27" x14ac:dyDescent="0.3">
      <c r="C1521" s="16" t="s">
        <v>78</v>
      </c>
      <c r="D1521" s="37">
        <f>(G1550+G1553+G1560)/G1556*1000</f>
        <v>0.40819908239572678</v>
      </c>
    </row>
    <row r="1522" spans="3:27" x14ac:dyDescent="0.3">
      <c r="C1522" s="13" t="s">
        <v>77</v>
      </c>
      <c r="D1522" s="39">
        <f>(G1531+G1534+G1541)/G1537*1000</f>
        <v>0.6102953902662106</v>
      </c>
    </row>
    <row r="1523" spans="3:27" x14ac:dyDescent="0.3">
      <c r="C1523" s="13" t="s">
        <v>61</v>
      </c>
      <c r="D1523" s="36">
        <f>G1544</f>
        <v>0.22151510798760488</v>
      </c>
    </row>
    <row r="1524" spans="3:27" x14ac:dyDescent="0.3">
      <c r="C1524" s="13" t="s">
        <v>73</v>
      </c>
      <c r="D1524" s="25">
        <f>SUM(G1543:AA1543)</f>
        <v>5.4519298377909298</v>
      </c>
    </row>
    <row r="1525" spans="3:27" ht="13.5" thickBot="1" x14ac:dyDescent="0.35">
      <c r="C1525" s="23" t="s">
        <v>68</v>
      </c>
      <c r="D1525" s="26">
        <f>G1563</f>
        <v>9.7768514016625785E-2</v>
      </c>
    </row>
    <row r="1526" spans="3:27" ht="13.5" hidden="1" outlineLevel="1" thickTop="1" x14ac:dyDescent="0.3">
      <c r="E1526" s="20"/>
      <c r="F1526" s="38" t="s">
        <v>75</v>
      </c>
    </row>
    <row r="1527" spans="3:27" hidden="1" outlineLevel="1" x14ac:dyDescent="0.3">
      <c r="C1527" s="11" t="s">
        <v>71</v>
      </c>
      <c r="F1527" s="13" t="s">
        <v>25</v>
      </c>
      <c r="G1527" s="14">
        <v>7.0000000000000007E-2</v>
      </c>
    </row>
    <row r="1528" spans="3:27" hidden="1" outlineLevel="1" x14ac:dyDescent="0.3">
      <c r="C1528" s="18" t="s">
        <v>53</v>
      </c>
      <c r="D1528" s="19">
        <f>分布式光伏电站IRR汇总!$B$2</f>
        <v>6</v>
      </c>
      <c r="F1528" s="13" t="s">
        <v>26</v>
      </c>
      <c r="G1528" s="14">
        <v>0.25</v>
      </c>
    </row>
    <row r="1529" spans="3:27" hidden="1" outlineLevel="1" x14ac:dyDescent="0.3">
      <c r="C1529" s="18" t="s">
        <v>56</v>
      </c>
      <c r="D1529" s="19">
        <f>分布式光伏电站IRR汇总!$B$3</f>
        <v>120</v>
      </c>
      <c r="F1529" s="1" t="s">
        <v>44</v>
      </c>
      <c r="G1529" s="4"/>
      <c r="H1529" s="5">
        <v>1</v>
      </c>
      <c r="I1529" s="5">
        <v>2</v>
      </c>
      <c r="J1529" s="5">
        <v>3</v>
      </c>
      <c r="K1529" s="5">
        <v>4</v>
      </c>
      <c r="L1529" s="5">
        <v>5</v>
      </c>
      <c r="M1529" s="5">
        <v>6</v>
      </c>
      <c r="N1529" s="5">
        <v>7</v>
      </c>
      <c r="O1529" s="5">
        <v>8</v>
      </c>
      <c r="P1529" s="5">
        <v>9</v>
      </c>
      <c r="Q1529" s="5">
        <v>10</v>
      </c>
      <c r="R1529" s="5">
        <v>11</v>
      </c>
      <c r="S1529" s="5">
        <v>12</v>
      </c>
      <c r="T1529" s="5">
        <v>13</v>
      </c>
      <c r="U1529" s="5">
        <v>14</v>
      </c>
      <c r="V1529" s="5">
        <v>15</v>
      </c>
      <c r="W1529" s="5">
        <v>16</v>
      </c>
      <c r="X1529" s="5">
        <v>17</v>
      </c>
      <c r="Y1529" s="5">
        <v>18</v>
      </c>
      <c r="Z1529" s="5">
        <v>19</v>
      </c>
      <c r="AA1529" s="5">
        <v>20</v>
      </c>
    </row>
    <row r="1530" spans="3:27" hidden="1" outlineLevel="1" x14ac:dyDescent="0.3">
      <c r="C1530" s="18" t="s">
        <v>57</v>
      </c>
      <c r="D1530" s="19">
        <f>分布式光伏电站IRR汇总!$B$4</f>
        <v>3</v>
      </c>
      <c r="F1530" s="16"/>
      <c r="G1530" s="2" t="s">
        <v>0</v>
      </c>
      <c r="H1530" s="2" t="s">
        <v>1</v>
      </c>
      <c r="I1530" s="2" t="s">
        <v>2</v>
      </c>
      <c r="J1530" s="2" t="s">
        <v>3</v>
      </c>
      <c r="K1530" s="2" t="s">
        <v>4</v>
      </c>
      <c r="L1530" s="2" t="s">
        <v>5</v>
      </c>
      <c r="M1530" s="2" t="s">
        <v>6</v>
      </c>
      <c r="N1530" s="2" t="s">
        <v>7</v>
      </c>
      <c r="O1530" s="2" t="s">
        <v>8</v>
      </c>
      <c r="P1530" s="2" t="s">
        <v>9</v>
      </c>
      <c r="Q1530" s="2" t="s">
        <v>10</v>
      </c>
      <c r="R1530" s="2" t="s">
        <v>11</v>
      </c>
      <c r="S1530" s="2" t="s">
        <v>12</v>
      </c>
      <c r="T1530" s="2" t="s">
        <v>13</v>
      </c>
      <c r="U1530" s="2" t="s">
        <v>45</v>
      </c>
      <c r="V1530" s="2" t="s">
        <v>46</v>
      </c>
      <c r="W1530" s="2" t="s">
        <v>47</v>
      </c>
      <c r="X1530" s="2" t="s">
        <v>48</v>
      </c>
      <c r="Y1530" s="2" t="s">
        <v>49</v>
      </c>
      <c r="Z1530" s="2" t="s">
        <v>50</v>
      </c>
      <c r="AA1530" s="2" t="s">
        <v>127</v>
      </c>
    </row>
    <row r="1531" spans="3:27" hidden="1" outlineLevel="1" x14ac:dyDescent="0.3">
      <c r="C1531" s="18" t="s">
        <v>54</v>
      </c>
      <c r="D1531" s="19">
        <f>分布式光伏电站IRR汇总!$B$5</f>
        <v>5</v>
      </c>
      <c r="F1531" s="6" t="s">
        <v>14</v>
      </c>
      <c r="G1531" s="33">
        <f>D1552</f>
        <v>24.611999999999995</v>
      </c>
      <c r="H1531" s="33"/>
      <c r="I1531" s="33"/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  <c r="T1531" s="33"/>
      <c r="U1531" s="33"/>
      <c r="V1531" s="33"/>
      <c r="W1531" s="33"/>
      <c r="X1531" s="33"/>
      <c r="Y1531" s="33"/>
      <c r="Z1531" s="33"/>
      <c r="AA1531" s="33"/>
    </row>
    <row r="1532" spans="3:27" hidden="1" outlineLevel="1" x14ac:dyDescent="0.3">
      <c r="C1532" s="18" t="s">
        <v>55</v>
      </c>
      <c r="D1532" s="19">
        <f>分布式光伏电站IRR汇总!$B$6</f>
        <v>15</v>
      </c>
      <c r="F1532" s="6" t="s">
        <v>15</v>
      </c>
      <c r="G1532" s="33">
        <f>SUM(H1533:AA1533)</f>
        <v>12.385144234005573</v>
      </c>
      <c r="H1532" s="33"/>
      <c r="I1532" s="33"/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  <c r="Z1532" s="33"/>
      <c r="AA1532" s="33"/>
    </row>
    <row r="1533" spans="3:27" hidden="1" outlineLevel="1" x14ac:dyDescent="0.3">
      <c r="C1533" s="18" t="s">
        <v>42</v>
      </c>
      <c r="D1533" s="19">
        <f>分布式光伏电站IRR汇总!$B$7</f>
        <v>4.1019999999999994</v>
      </c>
      <c r="F1533" s="7" t="s">
        <v>16</v>
      </c>
      <c r="G1533" s="33"/>
      <c r="H1533" s="33">
        <f>D1552*(1-D1550)/D1546/((1+G1527)^H1529)</f>
        <v>1.0925887850467286</v>
      </c>
      <c r="I1533" s="33">
        <f>D1552*(1-D1550)/D1546/((1+G1527)^I1529)</f>
        <v>1.0211110140623632</v>
      </c>
      <c r="J1533" s="33">
        <f>D1552*(1-D1550)/D1546/((1+G1527)^J1529)</f>
        <v>0.95430935893678792</v>
      </c>
      <c r="K1533" s="33">
        <f>D1552*(1-D1550)/D1546/((1+G1527)^K1529)</f>
        <v>0.89187790554839996</v>
      </c>
      <c r="L1533" s="33">
        <f>D1552*(1-D1550)/D1546/((1+G1527)^L1529)</f>
        <v>0.83353075284897193</v>
      </c>
      <c r="M1533" s="33">
        <f>D1552*(1-D1550)/D1546/((1+G1527)^M1529)</f>
        <v>0.77900070359717</v>
      </c>
      <c r="N1533" s="33">
        <f>D1552*(1-D1550)/D1546/((1+G1527)^N1529)</f>
        <v>0.72803804074501866</v>
      </c>
      <c r="O1533" s="33">
        <f>D1552*(1-D1550)/D1546/((1+G1527)^O1529)</f>
        <v>0.6804093838738493</v>
      </c>
      <c r="P1533" s="33">
        <f>D1552*(1-D1550)/D1546/((1+G1527)^P1529)</f>
        <v>0.63589662044284967</v>
      </c>
      <c r="Q1533" s="33">
        <f>D1552*(1-D1550)/D1546/((1+G1527)^Q1529)</f>
        <v>0.59429590695593437</v>
      </c>
      <c r="R1533" s="33">
        <f>D1552*(1-D1550)/D1546/((1+G1527)^R1529)</f>
        <v>0.55541673547283577</v>
      </c>
      <c r="S1533" s="33">
        <f>D1552*(1-D1550)/D1546/((1+G1527)^S1529)</f>
        <v>0.51908106118956621</v>
      </c>
      <c r="T1533" s="33">
        <f>D1552*(1-D1550)/D1546/((1+G1527)^T1529)</f>
        <v>0.4851224870930525</v>
      </c>
      <c r="U1533" s="33">
        <f>D1552*(1-D1550)/D1546/((1+G1527)^U1529)</f>
        <v>0.45338550195612387</v>
      </c>
      <c r="V1533" s="33">
        <f>D1552*(1-D1550)/D1546/((1+G1527)^V1529)</f>
        <v>0.4237247681832933</v>
      </c>
      <c r="W1533" s="33">
        <f>D1552*(1-D1550)/D1546/((1+G1527)^W1529)</f>
        <v>0.39600445624606856</v>
      </c>
      <c r="X1533" s="33">
        <f>D1552*(1-D1550)/D1546/((1+G1527)^X1529)</f>
        <v>0.37009762265987711</v>
      </c>
      <c r="Y1533" s="33">
        <f>D1552*(1-D1550)/D1546/((1+G1527)^Y1529)</f>
        <v>0.34588562865409078</v>
      </c>
      <c r="Z1533" s="33">
        <f>D1552*(1-D1550)/D1546/((1+G1527)^Z1529)</f>
        <v>0.323257596872982</v>
      </c>
      <c r="AA1533" s="33">
        <f>D1552*(1-D1550)/D1546/((1+G1527)^AA1529)</f>
        <v>0.30210990361960938</v>
      </c>
    </row>
    <row r="1534" spans="3:27" hidden="1" outlineLevel="1" x14ac:dyDescent="0.3">
      <c r="C1534" s="21" t="s">
        <v>32</v>
      </c>
      <c r="D1534" s="19">
        <f>分布式光伏电站IRR汇总!$B$8</f>
        <v>1.8870000000000002</v>
      </c>
      <c r="F1534" s="6" t="s">
        <v>17</v>
      </c>
      <c r="G1534" s="33">
        <f>SUM(H1535:AA1535)</f>
        <v>2.5425634189238777</v>
      </c>
      <c r="H1534" s="33"/>
      <c r="I1534" s="33"/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  <c r="T1534" s="33"/>
      <c r="U1534" s="33"/>
      <c r="V1534" s="33"/>
      <c r="W1534" s="33"/>
      <c r="X1534" s="33"/>
      <c r="Y1534" s="33"/>
      <c r="Z1534" s="33"/>
      <c r="AA1534" s="33"/>
    </row>
    <row r="1535" spans="3:27" hidden="1" outlineLevel="1" x14ac:dyDescent="0.3">
      <c r="C1535" s="21" t="s">
        <v>33</v>
      </c>
      <c r="D1535" s="19">
        <f>分布式光伏电站IRR汇总!$B$9</f>
        <v>0.18500000000000003</v>
      </c>
      <c r="F1535" s="7" t="s">
        <v>18</v>
      </c>
      <c r="G1535" s="33"/>
      <c r="H1535" s="33">
        <f>D1549*D1528/((1+G1527)^H1529)</f>
        <v>0.22429906542056072</v>
      </c>
      <c r="I1535" s="33">
        <f>D1549*D1528/((1+G1527)^I1529)</f>
        <v>0.20962529478557079</v>
      </c>
      <c r="J1535" s="33">
        <f>D1549*D1528/((1+G1527)^J1529)</f>
        <v>0.19591149045380446</v>
      </c>
      <c r="K1535" s="33">
        <f>D1549*D1528/((1+G1527)^K1529)</f>
        <v>0.18309485089140604</v>
      </c>
      <c r="L1535" s="33">
        <f>D1549*D1528/((1+G1527)^L1529)</f>
        <v>0.17111668307608041</v>
      </c>
      <c r="M1535" s="33">
        <f>D1549*D1528/((1+G1527)^M1529)</f>
        <v>0.15992213371596301</v>
      </c>
      <c r="N1535" s="33">
        <f>D1549*D1528/((1+G1527)^N1529)</f>
        <v>0.14945993805230187</v>
      </c>
      <c r="O1535" s="33">
        <f>D1549*D1528/((1+G1527)^O1529)</f>
        <v>0.13968218509560923</v>
      </c>
      <c r="P1535" s="33">
        <f>D1549*D1528/((1+G1527)^P1529)</f>
        <v>0.13054409822019553</v>
      </c>
      <c r="Q1535" s="33">
        <f>D1549*D1528/((1+G1527)^Q1529)</f>
        <v>0.12200383011233226</v>
      </c>
      <c r="R1535" s="33">
        <f>D1549*D1528/((1+G1527)^R1529)</f>
        <v>0.1140222711330208</v>
      </c>
      <c r="S1535" s="33">
        <f>D1549*D1528/((1+G1527)^S1529)</f>
        <v>0.10656287021777647</v>
      </c>
      <c r="T1535" s="33">
        <f>D1549*D1528/((1+G1527)^T1529)</f>
        <v>9.9591467493249028E-2</v>
      </c>
      <c r="U1535" s="33">
        <f>D1549*D1528/((1+G1527)^U1529)</f>
        <v>9.3076137844157969E-2</v>
      </c>
      <c r="V1535" s="33">
        <f>D1549*D1528/((1+G1527)^V1529)</f>
        <v>8.6987044714166323E-2</v>
      </c>
      <c r="W1535" s="33">
        <f>D1549*D1528/((1+G1527)^W1529)</f>
        <v>8.1296303471183481E-2</v>
      </c>
      <c r="X1535" s="33">
        <f>D1549*D1528/((1+G1527)^X1529)</f>
        <v>7.5977853711386434E-2</v>
      </c>
      <c r="Y1535" s="33">
        <f>D1549*D1528/((1+G1527)^Y1529)</f>
        <v>7.1007339917183582E-2</v>
      </c>
      <c r="Z1535" s="33">
        <f>D1549*D1528/((1+G1527)^Z1529)</f>
        <v>6.6361999922601472E-2</v>
      </c>
      <c r="AA1535" s="33">
        <f>D1549*D1528/((1+G1527)^AA1529)</f>
        <v>6.2020560675328483E-2</v>
      </c>
    </row>
    <row r="1536" spans="3:27" hidden="1" outlineLevel="1" x14ac:dyDescent="0.3">
      <c r="C1536" s="21" t="s">
        <v>34</v>
      </c>
      <c r="D1536" s="19">
        <f>分布式光伏电站IRR汇总!$B$10</f>
        <v>0.222</v>
      </c>
      <c r="F1536" s="6" t="s">
        <v>19</v>
      </c>
      <c r="G1536" s="33"/>
      <c r="H1536" s="33"/>
      <c r="I1536" s="33"/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  <c r="T1536" s="33"/>
      <c r="U1536" s="33"/>
      <c r="V1536" s="33"/>
      <c r="W1536" s="33"/>
      <c r="X1536" s="33"/>
      <c r="Y1536" s="33"/>
      <c r="Z1536" s="33"/>
      <c r="AA1536" s="33">
        <f>D1549*D1552/((1+G1527)^AA1529)</f>
        <v>0.2544083398901974</v>
      </c>
    </row>
    <row r="1537" spans="3:27" hidden="1" outlineLevel="1" x14ac:dyDescent="0.3">
      <c r="C1537" s="21" t="s">
        <v>35</v>
      </c>
      <c r="D1537" s="19">
        <f>分布式光伏电站IRR汇总!$B$11</f>
        <v>0.44400000000000001</v>
      </c>
      <c r="F1537" s="8" t="s">
        <v>64</v>
      </c>
      <c r="G1537" s="33">
        <f>SUM(H1538:AA1538)</f>
        <v>52889.357088351717</v>
      </c>
      <c r="H1537" s="33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  <c r="AA1537" s="33"/>
    </row>
    <row r="1538" spans="3:27" hidden="1" outlineLevel="1" x14ac:dyDescent="0.3">
      <c r="C1538" s="21" t="s">
        <v>36</v>
      </c>
      <c r="D1538" s="19">
        <f>分布式光伏电站IRR汇总!$B$12</f>
        <v>0.222</v>
      </c>
      <c r="F1538" s="9" t="s">
        <v>65</v>
      </c>
      <c r="G1538" s="33"/>
      <c r="H1538" s="33">
        <f>D1528*D1545*(1-D1547)*D1551/((1+G1527)^H1529)</f>
        <v>4820.8196635514005</v>
      </c>
      <c r="I1538" s="33">
        <f>D1528*D1545*(1-D1547)*(1-D1548)^(I1529-1)*D1551/((1+G1527)^I1529)</f>
        <v>4485.1644626779625</v>
      </c>
      <c r="J1538" s="33">
        <f>D1528*D1545*(1-D1547)*(1-D1548)^(J1529-1)*D1551/((1+G1527)^J1529)</f>
        <v>4172.8796472858994</v>
      </c>
      <c r="K1538" s="33">
        <f>D1528*D1545*(1-D1547)*(1-D1548)^(K1529-1)*D1551/((1+G1527)^K1529)</f>
        <v>3882.3380269842178</v>
      </c>
      <c r="L1538" s="33">
        <f>D1528*D1545*(1-D1547)*(1-D1548)^(L1529-1)*D1551/((1+G1527)^L1529)</f>
        <v>3612.0257064138214</v>
      </c>
      <c r="M1538" s="33">
        <f>D1528*D1545*(1-D1547)*(1-D1548)^(M1529-1)*D1551/((1+G1527)^M1529)</f>
        <v>3360.5341969485603</v>
      </c>
      <c r="N1538" s="33">
        <f>D1528*D1545*(1-D1547)*(1-D1548)^(N1529-1)*D1551/((1+G1527)^N1529)</f>
        <v>3126.5530776283103</v>
      </c>
      <c r="O1538" s="33">
        <f>D1528*D1545*(1-D1547)*(1-D1548)^(O1529-1)*D1551/((1+G1527)^O1529)</f>
        <v>2908.8631670831614</v>
      </c>
      <c r="P1538" s="33">
        <f>D1528*D1545*(1-D1547)*(1-D1548)^(P1529-1)*D1551/((1+G1527)^P1529)</f>
        <v>2706.3301708703621</v>
      </c>
      <c r="Q1538" s="33">
        <f>D1528*D1545*(1-D1547)*(1-D1548)^(Q1529-1)*D1551/((1+G1527)^Q1529)</f>
        <v>2517.8987711228465</v>
      </c>
      <c r="R1538" s="33">
        <f>D1528*D1545*(1-D1547)*(1-D1548)^(R1529-1)*D1551/((1+G1527)^R1529)</f>
        <v>2342.5871277128913</v>
      </c>
      <c r="S1538" s="33">
        <f>D1528*D1545*(1-D1547)*(1-D1548)^(S1529-1)*D1551/((1+G1527)^S1529)</f>
        <v>2179.4817622786763</v>
      </c>
      <c r="T1538" s="33">
        <f>D1528*D1545*(1-D1547)*(1-D1548)^(T1529-1)*D1551/((1+G1527)^T1529)</f>
        <v>2027.7327984564695</v>
      </c>
      <c r="U1538" s="33">
        <f>D1528*D1545*(1-D1547)*(1-D1548)^(U1529-1)*D1551/((1+G1527)^U1529)</f>
        <v>1886.5495335172104</v>
      </c>
      <c r="V1538" s="33">
        <f>D1528*D1545*(1-D1547)*(1-D1548)^(V1529-1)*D1551/((1+G1527)^V1529)</f>
        <v>1755.1963183330681</v>
      </c>
      <c r="W1538" s="33">
        <f>D1528*D1545*(1-D1547)*(1-D1548)^(W1529-1)*D1551/((1+G1527)^W1529)</f>
        <v>1632.9887242061402</v>
      </c>
      <c r="X1538" s="33">
        <f>D1528*D1545*(1-D1547)*(1-D1548)^(X1529-1)*D1551/((1+G1527)^X1529)</f>
        <v>1519.2899765861798</v>
      </c>
      <c r="Y1538" s="33">
        <f>D1528*D1545*(1-D1547)*(1-D1548)^(Y1529-1)*D1551/((1+G1527)^Y1529)</f>
        <v>1413.5076370948993</v>
      </c>
      <c r="Z1538" s="33">
        <f>D1528*D1545*(1-D1547)*(1-D1548)^(Z1529-1)*D1551/((1+G1527)^Z1529)</f>
        <v>1315.0905165681984</v>
      </c>
      <c r="AA1538" s="33">
        <f>D1528*D1545*(1-D1547)*(1-D1548)^(AA1529-1)*D1551/((1+G1527)^AA1529)</f>
        <v>1223.525803031441</v>
      </c>
    </row>
    <row r="1539" spans="3:27" hidden="1" outlineLevel="1" x14ac:dyDescent="0.3">
      <c r="C1539" s="21" t="s">
        <v>37</v>
      </c>
      <c r="D1539" s="19">
        <f>分布式光伏电站IRR汇总!$B$13</f>
        <v>0.15</v>
      </c>
      <c r="F1539" s="4" t="s">
        <v>66</v>
      </c>
      <c r="G1539" s="33">
        <f>SUM(H1540:AA1540)</f>
        <v>38.499421791309906</v>
      </c>
      <c r="H1539" s="33"/>
      <c r="I1539" s="33"/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  <c r="T1539" s="33"/>
      <c r="U1539" s="33"/>
      <c r="V1539" s="33"/>
      <c r="W1539" s="33"/>
      <c r="X1539" s="33"/>
      <c r="Y1539" s="33"/>
      <c r="Z1539" s="33"/>
      <c r="AA1539" s="33"/>
    </row>
    <row r="1540" spans="3:27" hidden="1" outlineLevel="1" x14ac:dyDescent="0.3">
      <c r="C1540" s="21" t="s">
        <v>38</v>
      </c>
      <c r="D1540" s="19">
        <f>分布式光伏电站IRR汇总!$B$14</f>
        <v>3.7000000000000005E-2</v>
      </c>
      <c r="F1540" s="7" t="s">
        <v>67</v>
      </c>
      <c r="G1540" s="33"/>
      <c r="H1540" s="33">
        <f>H1538*D1556/1000</f>
        <v>3.509189368607057</v>
      </c>
      <c r="I1540" s="33">
        <f>I1538*D1556/1000</f>
        <v>3.2648579592975007</v>
      </c>
      <c r="J1540" s="33">
        <f>J1538*D1556/1000</f>
        <v>3.0375384097950118</v>
      </c>
      <c r="K1540" s="33">
        <f>K1538*D1556/1000</f>
        <v>2.8260462494868541</v>
      </c>
      <c r="L1540" s="33">
        <f>L1538*D1556/1000</f>
        <v>2.6292794779104334</v>
      </c>
      <c r="M1540" s="33">
        <f>M1538*D1556/1000</f>
        <v>2.4462128226727446</v>
      </c>
      <c r="N1540" s="33">
        <f>N1538*D1556/1000</f>
        <v>2.2758923971688945</v>
      </c>
      <c r="O1540" s="33">
        <f>O1538*D1556/1000</f>
        <v>2.1174307302632096</v>
      </c>
      <c r="P1540" s="33">
        <f>P1538*D1556/1000</f>
        <v>1.9700021420346034</v>
      </c>
      <c r="Q1540" s="33">
        <f>Q1538*D1556/1000</f>
        <v>1.8328384414910728</v>
      </c>
      <c r="R1540" s="33">
        <f>R1538*D1556/1000</f>
        <v>1.7052249238358532</v>
      </c>
      <c r="S1540" s="33">
        <f>S1538*D1556/1000</f>
        <v>1.5864966464285908</v>
      </c>
      <c r="T1540" s="33">
        <f>T1538*D1556/1000</f>
        <v>1.4760349640370674</v>
      </c>
      <c r="U1540" s="33">
        <f>U1538*D1556/1000</f>
        <v>1.3732643053260751</v>
      </c>
      <c r="V1540" s="33">
        <f>V1538*D1556/1000</f>
        <v>1.2776491737870168</v>
      </c>
      <c r="W1540" s="33">
        <f>W1538*D1556/1000</f>
        <v>1.1886913574812856</v>
      </c>
      <c r="X1540" s="33">
        <f>X1538*D1556/1000</f>
        <v>1.1059273330585231</v>
      </c>
      <c r="Y1540" s="33">
        <f>Y1538*D1556/1000</f>
        <v>1.02892585052314</v>
      </c>
      <c r="Z1540" s="33">
        <f>Z1538*D1556/1000</f>
        <v>0.957285686164286</v>
      </c>
      <c r="AA1540" s="33">
        <f>AA1538*D1556/1000</f>
        <v>0.89063355194069815</v>
      </c>
    </row>
    <row r="1541" spans="3:27" hidden="1" outlineLevel="1" x14ac:dyDescent="0.3">
      <c r="C1541" s="21" t="s">
        <v>39</v>
      </c>
      <c r="D1541" s="19">
        <f>分布式光伏电站IRR汇总!$B$15</f>
        <v>0.25900000000000006</v>
      </c>
      <c r="F1541" s="4" t="s">
        <v>20</v>
      </c>
      <c r="G1541" s="33">
        <f>SUM(H1542:V1542)</f>
        <v>5.1235674062407108</v>
      </c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  <c r="AA1541" s="33"/>
    </row>
    <row r="1542" spans="3:27" hidden="1" outlineLevel="1" x14ac:dyDescent="0.3">
      <c r="C1542" s="21" t="s">
        <v>40</v>
      </c>
      <c r="D1542" s="19">
        <f>分布式光伏电站IRR汇总!$B$16</f>
        <v>7.400000000000001E-2</v>
      </c>
      <c r="F1542" s="7" t="s">
        <v>21</v>
      </c>
      <c r="G1542" s="33"/>
      <c r="H1542" s="33">
        <f>(H1540-H1533-H1535)*G1528</f>
        <v>0.5480753795349419</v>
      </c>
      <c r="I1542" s="33">
        <f>(I1540-I1533-I1535)*G1528</f>
        <v>0.50853041261239174</v>
      </c>
      <c r="J1542" s="33">
        <f>(J1540-J1533-J1535)*G1528</f>
        <v>0.47182939010110481</v>
      </c>
      <c r="K1542" s="33">
        <f>(K1540-K1533-K1535)*G1528</f>
        <v>0.43776837326176204</v>
      </c>
      <c r="L1542" s="33">
        <f>(L1540-L1533-L1535)*G1528</f>
        <v>0.40615801049634526</v>
      </c>
      <c r="M1542" s="33">
        <f>(M1540-M1533-M1535)*G1528</f>
        <v>0.37682249633990289</v>
      </c>
      <c r="N1542" s="33">
        <f>(N1540-N1533-N1535)*G1528</f>
        <v>0.34959860459289349</v>
      </c>
      <c r="O1542" s="33">
        <f>(O1540-O1533-O1535)*G1528</f>
        <v>0.32433479032343782</v>
      </c>
      <c r="P1542" s="33">
        <f>(P1540-P1533-P1535)*G1528</f>
        <v>0.30089035584288959</v>
      </c>
      <c r="Q1542" s="33">
        <f>(Q1540-Q1533-Q1535)*G1528</f>
        <v>0.27913467610570153</v>
      </c>
      <c r="R1542" s="33">
        <f>(R1540-R1533-R1535)*G1528</f>
        <v>0.25894647930749914</v>
      </c>
      <c r="S1542" s="33">
        <f>(S1540-S1533-S1535)*G1528</f>
        <v>0.24021317875531203</v>
      </c>
      <c r="T1542" s="33">
        <f>(T1540-T1533-T1535)*G1528</f>
        <v>0.22283025236269147</v>
      </c>
      <c r="U1542" s="33">
        <f>(U1540-U1533-U1535)*G1528</f>
        <v>0.20670066638144829</v>
      </c>
      <c r="V1542" s="33">
        <f>(V1540-V1533-V1535)*G1528</f>
        <v>0.1917343402223893</v>
      </c>
      <c r="W1542" s="33">
        <f>(W1540-W1533-W1535)*G1528</f>
        <v>0.17784764944100842</v>
      </c>
      <c r="X1542" s="33">
        <f>(X1540-X1533-X1535)*G1528</f>
        <v>0.16496296417181489</v>
      </c>
      <c r="Y1542" s="33">
        <f>(Y1540-Y1533-Y1535)*G1528</f>
        <v>0.15300822048796642</v>
      </c>
      <c r="Z1542" s="33">
        <f>(Z1540-Z1533-Z1535)*G1528</f>
        <v>0.14191652234217561</v>
      </c>
      <c r="AA1542" s="33">
        <f>(AA1540-AA1533-AA1535)*G1528</f>
        <v>0.13162577191144006</v>
      </c>
    </row>
    <row r="1543" spans="3:27" hidden="1" outlineLevel="1" x14ac:dyDescent="0.3">
      <c r="C1543" s="21" t="s">
        <v>41</v>
      </c>
      <c r="D1543" s="19">
        <f>分布式光伏电站IRR汇总!$B$17</f>
        <v>0.222</v>
      </c>
      <c r="F1543" s="10" t="s">
        <v>22</v>
      </c>
      <c r="G1543" s="33">
        <f>-G1531</f>
        <v>-24.611999999999995</v>
      </c>
      <c r="H1543" s="33">
        <f t="shared" ref="H1543:AA1543" si="570">H1540-H1542-H1535</f>
        <v>2.7368149236515542</v>
      </c>
      <c r="I1543" s="33">
        <f t="shared" si="570"/>
        <v>2.5467022518995384</v>
      </c>
      <c r="J1543" s="33">
        <f t="shared" si="570"/>
        <v>2.3697975292401026</v>
      </c>
      <c r="K1543" s="33">
        <f t="shared" si="570"/>
        <v>2.2051830253336862</v>
      </c>
      <c r="L1543" s="33">
        <f t="shared" si="570"/>
        <v>2.052004784338008</v>
      </c>
      <c r="M1543" s="33">
        <f t="shared" si="570"/>
        <v>1.9094681926168788</v>
      </c>
      <c r="N1543" s="33">
        <f t="shared" si="570"/>
        <v>1.7768338545236992</v>
      </c>
      <c r="O1543" s="33">
        <f t="shared" si="570"/>
        <v>1.6534137548441628</v>
      </c>
      <c r="P1543" s="33">
        <f t="shared" si="570"/>
        <v>1.5385676879715184</v>
      </c>
      <c r="Q1543" s="33">
        <f t="shared" si="570"/>
        <v>1.4316999352730388</v>
      </c>
      <c r="R1543" s="33">
        <f t="shared" si="570"/>
        <v>1.3322561733953333</v>
      </c>
      <c r="S1543" s="33">
        <f t="shared" si="570"/>
        <v>1.2397205974555021</v>
      </c>
      <c r="T1543" s="33">
        <f t="shared" si="570"/>
        <v>1.1536132441811269</v>
      </c>
      <c r="U1543" s="33">
        <f t="shared" si="570"/>
        <v>1.0734875011004688</v>
      </c>
      <c r="V1543" s="33">
        <f t="shared" si="570"/>
        <v>0.9989277888504613</v>
      </c>
      <c r="W1543" s="33">
        <f t="shared" si="570"/>
        <v>0.92954740456909379</v>
      </c>
      <c r="X1543" s="33">
        <f t="shared" si="570"/>
        <v>0.86498651517532177</v>
      </c>
      <c r="Y1543" s="33">
        <f t="shared" si="570"/>
        <v>0.80491029011799009</v>
      </c>
      <c r="Z1543" s="33">
        <f t="shared" si="570"/>
        <v>0.74900716389950883</v>
      </c>
      <c r="AA1543" s="33">
        <f t="shared" si="570"/>
        <v>0.6969872193539296</v>
      </c>
    </row>
    <row r="1544" spans="3:27" ht="13.5" hidden="1" outlineLevel="1" thickBot="1" x14ac:dyDescent="0.35">
      <c r="C1544" s="21" t="s">
        <v>74</v>
      </c>
      <c r="D1544" s="19">
        <f>分布式光伏电站IRR汇总!$B$18</f>
        <v>0.4</v>
      </c>
      <c r="F1544" s="3" t="s">
        <v>61</v>
      </c>
      <c r="G1544" s="35">
        <f>SUM(G1543:AA1543)/G1531</f>
        <v>0.22151510798760488</v>
      </c>
      <c r="H1544" s="34"/>
      <c r="I1544" s="34"/>
      <c r="J1544" s="3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</row>
    <row r="1545" spans="3:27" ht="13.5" hidden="1" outlineLevel="1" thickTop="1" x14ac:dyDescent="0.3">
      <c r="C1545" s="18" t="s">
        <v>58</v>
      </c>
      <c r="D1545" s="19">
        <f>分布式光伏电站IRR汇总!$B$19</f>
        <v>0.86599999999999999</v>
      </c>
    </row>
    <row r="1546" spans="3:27" hidden="1" outlineLevel="1" x14ac:dyDescent="0.3">
      <c r="C1546" s="18" t="s">
        <v>62</v>
      </c>
      <c r="D1546" s="19">
        <f>分布式光伏电站IRR汇总!$B$20</f>
        <v>20</v>
      </c>
      <c r="F1546" s="13" t="s">
        <v>25</v>
      </c>
      <c r="G1546" s="14">
        <v>0</v>
      </c>
    </row>
    <row r="1547" spans="3:27" hidden="1" outlineLevel="1" x14ac:dyDescent="0.3">
      <c r="C1547" s="18" t="s">
        <v>59</v>
      </c>
      <c r="D1547" s="52">
        <f>分布式光伏电站IRR汇总!$B$21</f>
        <v>0.02</v>
      </c>
      <c r="F1547" s="13" t="s">
        <v>26</v>
      </c>
      <c r="G1547" s="14">
        <v>0.25</v>
      </c>
      <c r="Q1547" s="15"/>
    </row>
    <row r="1548" spans="3:27" hidden="1" outlineLevel="1" x14ac:dyDescent="0.3">
      <c r="C1548" s="18" t="s">
        <v>60</v>
      </c>
      <c r="D1548" s="52">
        <f>分布式光伏电站IRR汇总!$B$22</f>
        <v>4.4999999999999997E-3</v>
      </c>
      <c r="F1548" s="1" t="s">
        <v>44</v>
      </c>
      <c r="G1548" s="4"/>
      <c r="H1548" s="5">
        <v>1</v>
      </c>
      <c r="I1548" s="5">
        <v>2</v>
      </c>
      <c r="J1548" s="5">
        <v>3</v>
      </c>
      <c r="K1548" s="5">
        <v>4</v>
      </c>
      <c r="L1548" s="5">
        <v>5</v>
      </c>
      <c r="M1548" s="5">
        <v>6</v>
      </c>
      <c r="N1548" s="5">
        <v>7</v>
      </c>
      <c r="O1548" s="5">
        <v>8</v>
      </c>
      <c r="P1548" s="5">
        <v>9</v>
      </c>
      <c r="Q1548" s="5">
        <v>10</v>
      </c>
      <c r="R1548" s="5">
        <v>11</v>
      </c>
      <c r="S1548" s="5">
        <v>12</v>
      </c>
      <c r="T1548" s="5">
        <v>13</v>
      </c>
      <c r="U1548" s="5">
        <v>14</v>
      </c>
      <c r="V1548" s="5">
        <v>15</v>
      </c>
      <c r="W1548" s="5">
        <v>16</v>
      </c>
      <c r="X1548" s="5">
        <v>17</v>
      </c>
      <c r="Y1548" s="5">
        <v>18</v>
      </c>
      <c r="Z1548" s="5">
        <v>19</v>
      </c>
      <c r="AA1548" s="5">
        <v>20</v>
      </c>
    </row>
    <row r="1549" spans="3:27" hidden="1" outlineLevel="1" x14ac:dyDescent="0.3">
      <c r="C1549" s="18" t="s">
        <v>28</v>
      </c>
      <c r="D1549" s="29">
        <f>分布式光伏电站IRR汇总!$B$23</f>
        <v>0.04</v>
      </c>
      <c r="F1549" s="16"/>
      <c r="G1549" s="2" t="s">
        <v>0</v>
      </c>
      <c r="H1549" s="2" t="s">
        <v>1</v>
      </c>
      <c r="I1549" s="2" t="s">
        <v>2</v>
      </c>
      <c r="J1549" s="2" t="s">
        <v>3</v>
      </c>
      <c r="K1549" s="2" t="s">
        <v>4</v>
      </c>
      <c r="L1549" s="2" t="s">
        <v>5</v>
      </c>
      <c r="M1549" s="2" t="s">
        <v>6</v>
      </c>
      <c r="N1549" s="2" t="s">
        <v>7</v>
      </c>
      <c r="O1549" s="2" t="s">
        <v>8</v>
      </c>
      <c r="P1549" s="2" t="s">
        <v>9</v>
      </c>
      <c r="Q1549" s="2" t="s">
        <v>10</v>
      </c>
      <c r="R1549" s="2" t="s">
        <v>11</v>
      </c>
      <c r="S1549" s="2" t="s">
        <v>12</v>
      </c>
      <c r="T1549" s="2" t="s">
        <v>13</v>
      </c>
      <c r="U1549" s="2" t="s">
        <v>45</v>
      </c>
      <c r="V1549" s="2" t="s">
        <v>46</v>
      </c>
      <c r="W1549" s="2" t="s">
        <v>47</v>
      </c>
      <c r="X1549" s="2" t="s">
        <v>48</v>
      </c>
      <c r="Y1549" s="2" t="s">
        <v>49</v>
      </c>
      <c r="Z1549" s="2" t="s">
        <v>50</v>
      </c>
      <c r="AA1549" s="2" t="s">
        <v>51</v>
      </c>
    </row>
    <row r="1550" spans="3:27" hidden="1" outlineLevel="1" x14ac:dyDescent="0.3">
      <c r="C1550" s="18" t="s">
        <v>43</v>
      </c>
      <c r="D1550" s="19">
        <f>分布式光伏电站IRR汇总!$B$24</f>
        <v>0.05</v>
      </c>
      <c r="F1550" s="6" t="s">
        <v>14</v>
      </c>
      <c r="G1550" s="33">
        <f>D1552</f>
        <v>24.611999999999995</v>
      </c>
      <c r="H1550" s="33"/>
      <c r="I1550" s="33"/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  <c r="T1550" s="33"/>
      <c r="U1550" s="33"/>
      <c r="V1550" s="33"/>
      <c r="W1550" s="33"/>
      <c r="X1550" s="33"/>
      <c r="Y1550" s="33"/>
      <c r="Z1550" s="33"/>
      <c r="AA1550" s="33"/>
    </row>
    <row r="1551" spans="3:27" hidden="1" outlineLevel="1" x14ac:dyDescent="0.3">
      <c r="C1551" s="18" t="s">
        <v>126</v>
      </c>
      <c r="D1551" s="28">
        <f>Backup分地区光伏小时数及电价!E34</f>
        <v>1013</v>
      </c>
      <c r="F1551" s="6" t="s">
        <v>15</v>
      </c>
      <c r="G1551" s="33">
        <f>SUM(H1552:AA1552)</f>
        <v>23.381399999999985</v>
      </c>
      <c r="H1551" s="33"/>
      <c r="I1551" s="33"/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  <c r="T1551" s="33"/>
      <c r="U1551" s="33"/>
      <c r="V1551" s="33"/>
      <c r="W1551" s="33"/>
      <c r="X1551" s="33"/>
      <c r="Y1551" s="33"/>
      <c r="Z1551" s="33"/>
      <c r="AA1551" s="33"/>
    </row>
    <row r="1552" spans="3:27" hidden="1" outlineLevel="1" x14ac:dyDescent="0.3">
      <c r="C1552" s="24" t="s">
        <v>14</v>
      </c>
      <c r="D1552" s="30">
        <f>D1528*D1533</f>
        <v>24.611999999999995</v>
      </c>
      <c r="F1552" s="7" t="s">
        <v>16</v>
      </c>
      <c r="G1552" s="33"/>
      <c r="H1552" s="33">
        <f>D1552*(1-D1550)/D1546/((1+G1546)^H1548)</f>
        <v>1.1690699999999996</v>
      </c>
      <c r="I1552" s="33">
        <f>D1552*(1-D1550)/D1546/((1+G1546)^I1548)</f>
        <v>1.1690699999999996</v>
      </c>
      <c r="J1552" s="33">
        <f>D1552*(1-D1550)/D1546/((1+G1546)^J1548)</f>
        <v>1.1690699999999996</v>
      </c>
      <c r="K1552" s="33">
        <f>D1552*(1-D1550)/D1546/((1+G1546)^K1548)</f>
        <v>1.1690699999999996</v>
      </c>
      <c r="L1552" s="33">
        <f>D1552*(1-D1550)/D1546/((1+G1546)^L1548)</f>
        <v>1.1690699999999996</v>
      </c>
      <c r="M1552" s="33">
        <f>D1552*(1-D1550)/D1546/((1+G1546)^M1548)</f>
        <v>1.1690699999999996</v>
      </c>
      <c r="N1552" s="33">
        <f>D1552*(1-D1550)/D1546/((1+G1546)^N1548)</f>
        <v>1.1690699999999996</v>
      </c>
      <c r="O1552" s="33">
        <f>D1552*(1-D1550)/D1546/((1+G1546)^O1548)</f>
        <v>1.1690699999999996</v>
      </c>
      <c r="P1552" s="33">
        <f>D1552*(1-D1550)/D1546/((1+G1546)^P1548)</f>
        <v>1.1690699999999996</v>
      </c>
      <c r="Q1552" s="33">
        <f>D1552*(1-D1550)/D1546/((1+G1546)^Q1548)</f>
        <v>1.1690699999999996</v>
      </c>
      <c r="R1552" s="33">
        <f>D1552*(1-D1550)/D1546/((1+G1546)^R1548)</f>
        <v>1.1690699999999996</v>
      </c>
      <c r="S1552" s="33">
        <f>D1552*(1-D1550)/D1546/((1+G1546)^S1548)</f>
        <v>1.1690699999999996</v>
      </c>
      <c r="T1552" s="33">
        <f>D1552*(1-D1550)/D1546/((1+G1546)^T1548)</f>
        <v>1.1690699999999996</v>
      </c>
      <c r="U1552" s="33">
        <f>D1552*(1-D1550)/D1546/((1+G1546)^U1548)</f>
        <v>1.1690699999999996</v>
      </c>
      <c r="V1552" s="33">
        <f>D1552*(1-D1550)/D1546/((1+G1546)^V1548)</f>
        <v>1.1690699999999996</v>
      </c>
      <c r="W1552" s="33">
        <f>D1552*(1-D1550)/D1546/((1+G1546)^W1548)</f>
        <v>1.1690699999999996</v>
      </c>
      <c r="X1552" s="33">
        <f>D1552*(1-D1550)/D1546/((1+G1546)^X1548)</f>
        <v>1.1690699999999996</v>
      </c>
      <c r="Y1552" s="33">
        <f>D1552*(1-D1550)/D1546/((1+G1546)^Y1548)</f>
        <v>1.1690699999999996</v>
      </c>
      <c r="Z1552" s="33">
        <f>D1552*(1-D1550)/D1546/((1+G1546)^Z1548)</f>
        <v>1.1690699999999996</v>
      </c>
      <c r="AA1552" s="33">
        <f>D1552*(1-D1550)/D1546/((1+G1546)^AA1548)</f>
        <v>1.1690699999999996</v>
      </c>
    </row>
    <row r="1553" spans="2:27" hidden="1" outlineLevel="1" x14ac:dyDescent="0.3">
      <c r="C1553" s="18" t="s">
        <v>29</v>
      </c>
      <c r="D1553" s="29">
        <v>0.35980000000000001</v>
      </c>
      <c r="F1553" s="6" t="s">
        <v>17</v>
      </c>
      <c r="G1553" s="33">
        <f>SUM(H1554:AA1554)</f>
        <v>4.8000000000000025</v>
      </c>
      <c r="H1553" s="33"/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  <c r="Z1553" s="33"/>
      <c r="AA1553" s="33"/>
    </row>
    <row r="1554" spans="2:27" hidden="1" outlineLevel="1" x14ac:dyDescent="0.3">
      <c r="C1554" s="18" t="s">
        <v>30</v>
      </c>
      <c r="D1554" s="31">
        <f>Backup分地区光伏小时数及电价!I34</f>
        <v>0.72792380000000001</v>
      </c>
      <c r="F1554" s="7" t="s">
        <v>18</v>
      </c>
      <c r="G1554" s="33"/>
      <c r="H1554" s="33">
        <f>D1549*D1528/((1+G1546)^H1548)</f>
        <v>0.24</v>
      </c>
      <c r="I1554" s="33">
        <f>D1549*D1528/((1+G1546)^I1548)</f>
        <v>0.24</v>
      </c>
      <c r="J1554" s="33">
        <f>D1549*D1528/((1+G1546)^J1548)</f>
        <v>0.24</v>
      </c>
      <c r="K1554" s="33">
        <f>D1549*D1528/((1+G1546)^K1548)</f>
        <v>0.24</v>
      </c>
      <c r="L1554" s="33">
        <f>D1549*D1528/((1+G1546)^L1548)</f>
        <v>0.24</v>
      </c>
      <c r="M1554" s="33">
        <f>D1549*D1528/((1+G1546)^M1548)</f>
        <v>0.24</v>
      </c>
      <c r="N1554" s="33">
        <f>D1549*D1528/((1+G1546)^N1548)</f>
        <v>0.24</v>
      </c>
      <c r="O1554" s="33">
        <f>D1549*D1528/((1+G1546)^O1548)</f>
        <v>0.24</v>
      </c>
      <c r="P1554" s="33">
        <f>D1549*D1528/((1+G1546)^P1548)</f>
        <v>0.24</v>
      </c>
      <c r="Q1554" s="33">
        <f>D1549*D1528/((1+G1546)^Q1548)</f>
        <v>0.24</v>
      </c>
      <c r="R1554" s="33">
        <f>D1549*D1528/((1+G1546)^R1548)</f>
        <v>0.24</v>
      </c>
      <c r="S1554" s="33">
        <f>D1549*D1528/((1+G1546)^S1548)</f>
        <v>0.24</v>
      </c>
      <c r="T1554" s="33">
        <f>D1549*D1528/((1+G1546)^T1548)</f>
        <v>0.24</v>
      </c>
      <c r="U1554" s="33">
        <f>D1549*D1528/((1+G1546)^U1548)</f>
        <v>0.24</v>
      </c>
      <c r="V1554" s="33">
        <f>D1549*D1528/((1+G1546)^V1548)</f>
        <v>0.24</v>
      </c>
      <c r="W1554" s="33">
        <f>D1549*D1528/((1+G1546)^W1548)</f>
        <v>0.24</v>
      </c>
      <c r="X1554" s="33">
        <f>D1549*D1528/((1+G1546)^X1548)</f>
        <v>0.24</v>
      </c>
      <c r="Y1554" s="33">
        <f>D1549*D1528/((1+G1546)^Y1548)</f>
        <v>0.24</v>
      </c>
      <c r="Z1554" s="33">
        <f>D1549*D1528/((1+G1546)^Z1548)</f>
        <v>0.24</v>
      </c>
      <c r="AA1554" s="33">
        <f>D1549*D1528/((1+G1546)^AA1548)</f>
        <v>0.24</v>
      </c>
    </row>
    <row r="1555" spans="2:27" hidden="1" outlineLevel="1" x14ac:dyDescent="0.3">
      <c r="C1555" s="18" t="s">
        <v>70</v>
      </c>
      <c r="D1555" s="32">
        <f>分布式光伏电站IRR汇总!$B$27</f>
        <v>1</v>
      </c>
      <c r="F1555" s="6" t="s">
        <v>19</v>
      </c>
      <c r="G1555" s="33"/>
      <c r="H1555" s="33"/>
      <c r="I1555" s="33"/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  <c r="T1555" s="33"/>
      <c r="U1555" s="33"/>
      <c r="V1555" s="33"/>
      <c r="W1555" s="33"/>
      <c r="X1555" s="33"/>
      <c r="Y1555" s="33"/>
      <c r="Z1555" s="33"/>
      <c r="AA1555" s="33">
        <f>D1549*D1552/((1+G1546)^AA1548)</f>
        <v>0.9844799999999998</v>
      </c>
    </row>
    <row r="1556" spans="2:27" hidden="1" outlineLevel="1" x14ac:dyDescent="0.3">
      <c r="C1556" s="18" t="s">
        <v>69</v>
      </c>
      <c r="D1556" s="31">
        <f>D1555*D1554</f>
        <v>0.72792380000000001</v>
      </c>
      <c r="F1556" s="8" t="s">
        <v>64</v>
      </c>
      <c r="G1556" s="33">
        <f>SUM(H1557:AA1557)</f>
        <v>98872.047802400222</v>
      </c>
      <c r="H1556" s="33"/>
      <c r="I1556" s="33"/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  <c r="T1556" s="33"/>
      <c r="U1556" s="33"/>
      <c r="V1556" s="33"/>
      <c r="W1556" s="33"/>
      <c r="X1556" s="33"/>
      <c r="Y1556" s="33"/>
      <c r="Z1556" s="33"/>
      <c r="AA1556" s="33"/>
    </row>
    <row r="1557" spans="2:27" hidden="1" outlineLevel="1" x14ac:dyDescent="0.3">
      <c r="C1557" s="18" t="s">
        <v>31</v>
      </c>
      <c r="D1557" s="27">
        <v>0</v>
      </c>
      <c r="F1557" s="9" t="s">
        <v>65</v>
      </c>
      <c r="G1557" s="33"/>
      <c r="H1557" s="33">
        <f>D1528*D1545*(1-D1547)*D1551/((1+G1546)^H1548)</f>
        <v>5158.277039999999</v>
      </c>
      <c r="I1557" s="33">
        <f>D1528*D1545*(1-D1547)*(1-D1548)^(I1548-1)*D1551/((1+G1546)^I1548)</f>
        <v>5135.0647933199998</v>
      </c>
      <c r="J1557" s="33">
        <f>D1528*D1545*(1-D1547)*(1-D1548)^(J1548-1)*D1551/((1+G1546)^J1548)</f>
        <v>5111.95700175006</v>
      </c>
      <c r="K1557" s="33">
        <f>D1528*D1545*(1-D1547)*(1-D1548)^(K1548-1)*D1551/((1+G1546)^K1548)</f>
        <v>5088.9531952421848</v>
      </c>
      <c r="L1557" s="33">
        <f>D1528*D1545*(1-D1547)*(1-D1548)^(L1548-1)*D1551/((1+G1546)^L1548)</f>
        <v>5066.0529058635957</v>
      </c>
      <c r="M1557" s="33">
        <f>D1528*D1545*(1-D1547)*(1-D1548)^(M1548-1)*D1551/((1+G1546)^M1548)</f>
        <v>5043.2556677872099</v>
      </c>
      <c r="N1557" s="33">
        <f>D1528*D1545*(1-D1547)*(1-D1548)^(N1548-1)*D1551/((1+G1546)^N1548)</f>
        <v>5020.561017282168</v>
      </c>
      <c r="O1557" s="33">
        <f>D1528*D1545*(1-D1547)*(1-D1548)^(O1548-1)*D1551/((1+G1546)^O1548)</f>
        <v>4997.9684927043982</v>
      </c>
      <c r="P1557" s="33">
        <f>D1528*D1545*(1-D1547)*(1-D1548)^(P1548-1)*D1551/((1+G1546)^P1548)</f>
        <v>4975.4776344872289</v>
      </c>
      <c r="Q1557" s="33">
        <f>D1528*D1545*(1-D1547)*(1-D1548)^(Q1548-1)*D1551/((1+G1546)^Q1548)</f>
        <v>4953.0879851320369</v>
      </c>
      <c r="R1557" s="33">
        <f>D1528*D1545*(1-D1547)*(1-D1548)^(R1548-1)*D1551/((1+G1546)^R1548)</f>
        <v>4930.799089198943</v>
      </c>
      <c r="S1557" s="33">
        <f>D1528*D1545*(1-D1547)*(1-D1548)^(S1548-1)*D1551/((1+G1546)^S1548)</f>
        <v>4908.6104932975477</v>
      </c>
      <c r="T1557" s="33">
        <f>D1528*D1545*(1-D1547)*(1-D1548)^(T1548-1)*D1551/((1+G1546)^T1548)</f>
        <v>4886.5217460777094</v>
      </c>
      <c r="U1557" s="33">
        <f>D1528*D1545*(1-D1547)*(1-D1548)^(U1548-1)*D1551/((1+G1546)^U1548)</f>
        <v>4864.532398220359</v>
      </c>
      <c r="V1557" s="33">
        <f>D1528*D1545*(1-D1547)*(1-D1548)^(V1548-1)*D1551/((1+G1546)^V1548)</f>
        <v>4842.642002428368</v>
      </c>
      <c r="W1557" s="33">
        <f>D1528*D1545*(1-D1547)*(1-D1548)^(W1548-1)*D1551/((1+G1546)^W1548)</f>
        <v>4820.8501134174412</v>
      </c>
      <c r="X1557" s="33">
        <f>D1528*D1545*(1-D1547)*(1-D1548)^(X1548-1)*D1551/((1+G1546)^X1548)</f>
        <v>4799.1562879070625</v>
      </c>
      <c r="Y1557" s="33">
        <f>D1528*D1545*(1-D1547)*(1-D1548)^(Y1548-1)*D1551/((1+G1546)^Y1548)</f>
        <v>4777.5600846114812</v>
      </c>
      <c r="Z1557" s="33">
        <f>D1528*D1545*(1-D1547)*(1-D1548)^(Z1548-1)*D1551/((1+G1546)^Z1548)</f>
        <v>4756.0610642307302</v>
      </c>
      <c r="AA1557" s="33">
        <f>D1528*D1545*(1-D1547)*(1-D1548)^(AA1548-1)*D1551/((1+G1546)^AA1548)</f>
        <v>4734.6587894416925</v>
      </c>
    </row>
    <row r="1558" spans="2:27" hidden="1" outlineLevel="1" x14ac:dyDescent="0.3">
      <c r="F1558" s="4" t="s">
        <v>66</v>
      </c>
      <c r="G1558" s="33">
        <f>SUM(H1559:AA1559)</f>
        <v>71.971316750104819</v>
      </c>
      <c r="H1558" s="33"/>
      <c r="I1558" s="33"/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  <c r="Z1558" s="33"/>
      <c r="AA1558" s="33"/>
    </row>
    <row r="1559" spans="2:27" hidden="1" outlineLevel="1" x14ac:dyDescent="0.3">
      <c r="F1559" s="7" t="s">
        <v>67</v>
      </c>
      <c r="G1559" s="33"/>
      <c r="H1559" s="33">
        <f>H1557*D1556/1000</f>
        <v>3.7548326244095516</v>
      </c>
      <c r="I1559" s="33">
        <f>I1557*D1556/1000</f>
        <v>3.7379358775997087</v>
      </c>
      <c r="J1559" s="33">
        <f>J1557*D1556/1000</f>
        <v>3.7211151661505104</v>
      </c>
      <c r="K1559" s="33">
        <f>K1557*D1556/1000</f>
        <v>3.704370147902833</v>
      </c>
      <c r="L1559" s="33">
        <f>L1557*D1556/1000</f>
        <v>3.687700482237271</v>
      </c>
      <c r="M1559" s="33">
        <f>M1557*D1556/1000</f>
        <v>3.6711058300672033</v>
      </c>
      <c r="N1559" s="33">
        <f>N1557*D1556/1000</f>
        <v>3.6545858538319016</v>
      </c>
      <c r="O1559" s="33">
        <f>O1557*D1556/1000</f>
        <v>3.6381402174896578</v>
      </c>
      <c r="P1559" s="33">
        <f>P1557*D1556/1000</f>
        <v>3.6217685865109548</v>
      </c>
      <c r="Q1559" s="33">
        <f>Q1557*D1556/1000</f>
        <v>3.605470627871656</v>
      </c>
      <c r="R1559" s="33">
        <f>R1557*D1556/1000</f>
        <v>3.5892460100462333</v>
      </c>
      <c r="S1559" s="33">
        <f>S1557*D1556/1000</f>
        <v>3.5730944030010257</v>
      </c>
      <c r="T1559" s="33">
        <f>T1557*D1556/1000</f>
        <v>3.5570154781875214</v>
      </c>
      <c r="U1559" s="33">
        <f>U1557*D1556/1000</f>
        <v>3.5410089085356771</v>
      </c>
      <c r="V1559" s="33">
        <f>V1557*D1556/1000</f>
        <v>3.525074368447267</v>
      </c>
      <c r="W1559" s="33">
        <f>W1557*D1556/1000</f>
        <v>3.5092115337892547</v>
      </c>
      <c r="X1559" s="33">
        <f>X1557*D1556/1000</f>
        <v>3.4934200818872032</v>
      </c>
      <c r="Y1559" s="33">
        <f>Y1557*D1556/1000</f>
        <v>3.4776996915187111</v>
      </c>
      <c r="Z1559" s="33">
        <f>Z1557*D1556/1000</f>
        <v>3.4620500429068772</v>
      </c>
      <c r="AA1559" s="33">
        <f>AA1557*D1556/1000</f>
        <v>3.4464708177137968</v>
      </c>
    </row>
    <row r="1560" spans="2:27" hidden="1" outlineLevel="1" x14ac:dyDescent="0.3">
      <c r="F1560" s="4" t="s">
        <v>20</v>
      </c>
      <c r="G1560" s="33">
        <f>SUM(H1561:AA1561)</f>
        <v>10.947479187526204</v>
      </c>
      <c r="H1560" s="33"/>
      <c r="I1560" s="33"/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  <c r="T1560" s="33"/>
      <c r="U1560" s="33"/>
      <c r="V1560" s="33"/>
      <c r="W1560" s="33"/>
      <c r="X1560" s="33"/>
      <c r="Y1560" s="33"/>
      <c r="Z1560" s="33"/>
      <c r="AA1560" s="33"/>
    </row>
    <row r="1561" spans="2:27" hidden="1" outlineLevel="1" x14ac:dyDescent="0.3">
      <c r="F1561" s="7" t="s">
        <v>21</v>
      </c>
      <c r="G1561" s="33"/>
      <c r="H1561" s="33">
        <f>(H1559-H1552-H1554)*G1547</f>
        <v>0.58644065610238805</v>
      </c>
      <c r="I1561" s="33">
        <f>(I1559-I1552-I1554)*G1547</f>
        <v>0.58221646939992722</v>
      </c>
      <c r="J1561" s="33">
        <f>(J1559-J1552-J1554)*G1547</f>
        <v>0.57801129153762765</v>
      </c>
      <c r="K1561" s="33">
        <f>(K1559-K1552-K1554)*G1547</f>
        <v>0.5738250369757083</v>
      </c>
      <c r="L1561" s="33">
        <f>(L1559-L1552-L1554)*G1547</f>
        <v>0.56965762055931779</v>
      </c>
      <c r="M1561" s="33">
        <f>(M1559-M1552-M1554)*G1547</f>
        <v>0.56550895751680086</v>
      </c>
      <c r="N1561" s="33">
        <f>(N1559-N1552-N1554)*G1547</f>
        <v>0.56137896345797555</v>
      </c>
      <c r="O1561" s="33">
        <f>(O1559-O1552-O1554)*G1547</f>
        <v>0.5572675543724146</v>
      </c>
      <c r="P1561" s="33">
        <f>(P1559-P1552-P1554)*G1547</f>
        <v>0.55317464662773874</v>
      </c>
      <c r="Q1561" s="33">
        <f>(Q1559-Q1552-Q1554)*G1547</f>
        <v>0.54910015696791414</v>
      </c>
      <c r="R1561" s="33">
        <f>(R1559-R1552-R1554)*G1547</f>
        <v>0.54504400251155838</v>
      </c>
      <c r="S1561" s="33">
        <f>(S1559-S1552-S1554)*G1547</f>
        <v>0.54100610075025646</v>
      </c>
      <c r="T1561" s="33">
        <f>(T1559-T1552-T1554)*G1547</f>
        <v>0.53698636954688039</v>
      </c>
      <c r="U1561" s="33">
        <f>(U1559-U1552-U1554)*G1547</f>
        <v>0.53298472713391942</v>
      </c>
      <c r="V1561" s="33">
        <f>(V1559-V1552-V1554)*G1547</f>
        <v>0.5290010921118169</v>
      </c>
      <c r="W1561" s="33">
        <f>(W1559-W1552-W1554)*G1547</f>
        <v>0.52503538344731382</v>
      </c>
      <c r="X1561" s="33">
        <f>(X1559-X1552-X1554)*G1547</f>
        <v>0.52108752047180085</v>
      </c>
      <c r="Y1561" s="33">
        <f>(Y1559-Y1552-Y1554)*G1547</f>
        <v>0.51715742287967781</v>
      </c>
      <c r="Z1561" s="33">
        <f>(Z1559-Z1552-Z1554)*G1547</f>
        <v>0.51324501072671946</v>
      </c>
      <c r="AA1561" s="33">
        <f>(AA1559-AA1552-AA1554)*G1547</f>
        <v>0.50935020442844925</v>
      </c>
    </row>
    <row r="1562" spans="2:27" hidden="1" outlineLevel="1" x14ac:dyDescent="0.3">
      <c r="F1562" s="10" t="s">
        <v>22</v>
      </c>
      <c r="G1562" s="33">
        <f>-G1550</f>
        <v>-24.611999999999995</v>
      </c>
      <c r="H1562" s="33">
        <f>H1559-H1561-H1554</f>
        <v>2.9283919683071638</v>
      </c>
      <c r="I1562" s="33">
        <f t="shared" ref="I1562" si="571">I1559-I1561-I1554</f>
        <v>2.9157194081997817</v>
      </c>
      <c r="J1562" s="33">
        <f t="shared" ref="J1562" si="572">J1559-J1561-J1554</f>
        <v>2.9031038746128823</v>
      </c>
      <c r="K1562" s="33">
        <f t="shared" ref="K1562" si="573">K1559-K1561-K1554</f>
        <v>2.8905451109271247</v>
      </c>
      <c r="L1562" s="33">
        <f t="shared" ref="L1562" si="574">L1559-L1561-L1554</f>
        <v>2.8780428616779528</v>
      </c>
      <c r="M1562" s="33">
        <f t="shared" ref="M1562" si="575">M1559-M1561-M1554</f>
        <v>2.8655968725504026</v>
      </c>
      <c r="N1562" s="33">
        <f t="shared" ref="N1562" si="576">N1559-N1561-N1554</f>
        <v>2.8532068903739258</v>
      </c>
      <c r="O1562" s="33">
        <f t="shared" ref="O1562" si="577">O1559-O1561-O1554</f>
        <v>2.840872663117243</v>
      </c>
      <c r="P1562" s="33">
        <f t="shared" ref="P1562" si="578">P1559-P1561-P1554</f>
        <v>2.8285939398832163</v>
      </c>
      <c r="Q1562" s="33">
        <f t="shared" ref="Q1562" si="579">Q1559-Q1561-Q1554</f>
        <v>2.8163704709037418</v>
      </c>
      <c r="R1562" s="33">
        <f t="shared" ref="R1562" si="580">R1559-R1561-R1554</f>
        <v>2.8042020075346752</v>
      </c>
      <c r="S1562" s="33">
        <f t="shared" ref="S1562" si="581">S1559-S1561-S1554</f>
        <v>2.792088302250769</v>
      </c>
      <c r="T1562" s="33">
        <f t="shared" ref="T1562" si="582">T1559-T1561-T1554</f>
        <v>2.7800291086406412</v>
      </c>
      <c r="U1562" s="33">
        <f t="shared" ref="U1562" si="583">U1559-U1561-U1554</f>
        <v>2.7680241814017572</v>
      </c>
      <c r="V1562" s="33">
        <f t="shared" ref="V1562" si="584">V1559-V1561-V1554</f>
        <v>2.7560732763354503</v>
      </c>
      <c r="W1562" s="33">
        <f t="shared" ref="W1562" si="585">W1559-W1561-W1554</f>
        <v>2.7441761503419411</v>
      </c>
      <c r="X1562" s="33">
        <f t="shared" ref="X1562" si="586">X1559-X1561-X1554</f>
        <v>2.7323325614154026</v>
      </c>
      <c r="Y1562" s="33">
        <f t="shared" ref="Y1562" si="587">Y1559-Y1561-Y1554</f>
        <v>2.7205422686390328</v>
      </c>
      <c r="Z1562" s="33">
        <f t="shared" ref="Z1562" si="588">Z1559-Z1561-Z1554</f>
        <v>2.708805032180158</v>
      </c>
      <c r="AA1562" s="33">
        <f t="shared" ref="AA1562" si="589">AA1559-AA1561-AA1554</f>
        <v>2.6971206132853478</v>
      </c>
    </row>
    <row r="1563" spans="2:27" ht="13.5" hidden="1" outlineLevel="1" thickBot="1" x14ac:dyDescent="0.35">
      <c r="F1563" s="3" t="s">
        <v>68</v>
      </c>
      <c r="G1563" s="40">
        <f>IRR(G1562:AA1562)</f>
        <v>9.7768514016625785E-2</v>
      </c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</row>
    <row r="1564" spans="2:27" ht="13.5" collapsed="1" thickTop="1" x14ac:dyDescent="0.3"/>
    <row r="1565" spans="2:27" x14ac:dyDescent="0.3">
      <c r="B1565" s="11" t="s">
        <v>176</v>
      </c>
      <c r="C1565" s="11" t="s">
        <v>52</v>
      </c>
    </row>
    <row r="1566" spans="2:27" x14ac:dyDescent="0.3">
      <c r="C1566" s="11" t="s">
        <v>141</v>
      </c>
      <c r="D1566" s="54">
        <f>D1597</f>
        <v>998</v>
      </c>
    </row>
    <row r="1567" spans="2:27" x14ac:dyDescent="0.3">
      <c r="C1567" s="16" t="s">
        <v>78</v>
      </c>
      <c r="D1567" s="37">
        <f>(G1596+G1599+G1606)/G1602*1000</f>
        <v>0.45459820452592314</v>
      </c>
    </row>
    <row r="1568" spans="2:27" x14ac:dyDescent="0.3">
      <c r="C1568" s="13" t="s">
        <v>77</v>
      </c>
      <c r="D1568" s="39">
        <f>(G1577+G1580+G1587)/G1583*1000</f>
        <v>0.65432355806280329</v>
      </c>
    </row>
    <row r="1569" spans="3:27" x14ac:dyDescent="0.3">
      <c r="C1569" s="13" t="s">
        <v>61</v>
      </c>
      <c r="D1569" s="36">
        <f>G1590</f>
        <v>0.47724364697259158</v>
      </c>
    </row>
    <row r="1570" spans="3:27" x14ac:dyDescent="0.3">
      <c r="C1570" s="13" t="s">
        <v>73</v>
      </c>
      <c r="D1570" s="25">
        <f>SUM(G1589:AA1589)</f>
        <v>11.745920639289421</v>
      </c>
    </row>
    <row r="1571" spans="3:27" ht="13.5" thickBot="1" x14ac:dyDescent="0.35">
      <c r="C1571" s="23" t="s">
        <v>68</v>
      </c>
      <c r="D1571" s="26">
        <f>G1609</f>
        <v>0.12763244637243032</v>
      </c>
    </row>
    <row r="1572" spans="3:27" ht="13.5" hidden="1" outlineLevel="1" thickTop="1" x14ac:dyDescent="0.3">
      <c r="E1572" s="20"/>
      <c r="F1572" s="38" t="s">
        <v>75</v>
      </c>
    </row>
    <row r="1573" spans="3:27" hidden="1" outlineLevel="1" x14ac:dyDescent="0.3">
      <c r="C1573" s="11" t="s">
        <v>71</v>
      </c>
      <c r="F1573" s="13" t="s">
        <v>25</v>
      </c>
      <c r="G1573" s="14">
        <v>7.0000000000000007E-2</v>
      </c>
    </row>
    <row r="1574" spans="3:27" hidden="1" outlineLevel="1" x14ac:dyDescent="0.3">
      <c r="C1574" s="18" t="s">
        <v>53</v>
      </c>
      <c r="D1574" s="19">
        <f>分布式光伏电站IRR汇总!$B$2</f>
        <v>6</v>
      </c>
      <c r="F1574" s="13" t="s">
        <v>26</v>
      </c>
      <c r="G1574" s="14">
        <v>0.25</v>
      </c>
    </row>
    <row r="1575" spans="3:27" hidden="1" outlineLevel="1" x14ac:dyDescent="0.3">
      <c r="C1575" s="18" t="s">
        <v>56</v>
      </c>
      <c r="D1575" s="19">
        <f>分布式光伏电站IRR汇总!$B$3</f>
        <v>120</v>
      </c>
      <c r="F1575" s="1" t="s">
        <v>44</v>
      </c>
      <c r="G1575" s="4"/>
      <c r="H1575" s="5">
        <v>1</v>
      </c>
      <c r="I1575" s="5">
        <v>2</v>
      </c>
      <c r="J1575" s="5">
        <v>3</v>
      </c>
      <c r="K1575" s="5">
        <v>4</v>
      </c>
      <c r="L1575" s="5">
        <v>5</v>
      </c>
      <c r="M1575" s="5">
        <v>6</v>
      </c>
      <c r="N1575" s="5">
        <v>7</v>
      </c>
      <c r="O1575" s="5">
        <v>8</v>
      </c>
      <c r="P1575" s="5">
        <v>9</v>
      </c>
      <c r="Q1575" s="5">
        <v>10</v>
      </c>
      <c r="R1575" s="5">
        <v>11</v>
      </c>
      <c r="S1575" s="5">
        <v>12</v>
      </c>
      <c r="T1575" s="5">
        <v>13</v>
      </c>
      <c r="U1575" s="5">
        <v>14</v>
      </c>
      <c r="V1575" s="5">
        <v>15</v>
      </c>
      <c r="W1575" s="5">
        <v>16</v>
      </c>
      <c r="X1575" s="5">
        <v>17</v>
      </c>
      <c r="Y1575" s="5">
        <v>18</v>
      </c>
      <c r="Z1575" s="5">
        <v>19</v>
      </c>
      <c r="AA1575" s="5">
        <v>20</v>
      </c>
    </row>
    <row r="1576" spans="3:27" hidden="1" outlineLevel="1" x14ac:dyDescent="0.3">
      <c r="C1576" s="18" t="s">
        <v>57</v>
      </c>
      <c r="D1576" s="19">
        <f>分布式光伏电站IRR汇总!$B$4</f>
        <v>3</v>
      </c>
      <c r="F1576" s="16"/>
      <c r="G1576" s="2" t="s">
        <v>0</v>
      </c>
      <c r="H1576" s="2" t="s">
        <v>1</v>
      </c>
      <c r="I1576" s="2" t="s">
        <v>2</v>
      </c>
      <c r="J1576" s="2" t="s">
        <v>3</v>
      </c>
      <c r="K1576" s="2" t="s">
        <v>4</v>
      </c>
      <c r="L1576" s="2" t="s">
        <v>5</v>
      </c>
      <c r="M1576" s="2" t="s">
        <v>6</v>
      </c>
      <c r="N1576" s="2" t="s">
        <v>7</v>
      </c>
      <c r="O1576" s="2" t="s">
        <v>8</v>
      </c>
      <c r="P1576" s="2" t="s">
        <v>9</v>
      </c>
      <c r="Q1576" s="2" t="s">
        <v>10</v>
      </c>
      <c r="R1576" s="2" t="s">
        <v>11</v>
      </c>
      <c r="S1576" s="2" t="s">
        <v>12</v>
      </c>
      <c r="T1576" s="2" t="s">
        <v>13</v>
      </c>
      <c r="U1576" s="2" t="s">
        <v>45</v>
      </c>
      <c r="V1576" s="2" t="s">
        <v>46</v>
      </c>
      <c r="W1576" s="2" t="s">
        <v>47</v>
      </c>
      <c r="X1576" s="2" t="s">
        <v>48</v>
      </c>
      <c r="Y1576" s="2" t="s">
        <v>49</v>
      </c>
      <c r="Z1576" s="2" t="s">
        <v>50</v>
      </c>
      <c r="AA1576" s="2" t="s">
        <v>127</v>
      </c>
    </row>
    <row r="1577" spans="3:27" hidden="1" outlineLevel="1" x14ac:dyDescent="0.3">
      <c r="C1577" s="18" t="s">
        <v>54</v>
      </c>
      <c r="D1577" s="19">
        <f>分布式光伏电站IRR汇总!$B$5</f>
        <v>5</v>
      </c>
      <c r="F1577" s="6" t="s">
        <v>14</v>
      </c>
      <c r="G1577" s="33">
        <f>D1598</f>
        <v>24.611999999999995</v>
      </c>
      <c r="H1577" s="33"/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  <c r="Z1577" s="33"/>
      <c r="AA1577" s="33"/>
    </row>
    <row r="1578" spans="3:27" hidden="1" outlineLevel="1" x14ac:dyDescent="0.3">
      <c r="C1578" s="18" t="s">
        <v>55</v>
      </c>
      <c r="D1578" s="19">
        <f>分布式光伏电站IRR汇总!$B$6</f>
        <v>15</v>
      </c>
      <c r="F1578" s="6" t="s">
        <v>15</v>
      </c>
      <c r="G1578" s="33">
        <f>SUM(H1579:AA1579)</f>
        <v>12.385144234005573</v>
      </c>
      <c r="H1578" s="33"/>
      <c r="I1578" s="33"/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  <c r="Z1578" s="33"/>
      <c r="AA1578" s="33"/>
    </row>
    <row r="1579" spans="3:27" hidden="1" outlineLevel="1" x14ac:dyDescent="0.3">
      <c r="C1579" s="18" t="s">
        <v>42</v>
      </c>
      <c r="D1579" s="19">
        <f>分布式光伏电站IRR汇总!$B$7</f>
        <v>4.1019999999999994</v>
      </c>
      <c r="F1579" s="7" t="s">
        <v>16</v>
      </c>
      <c r="G1579" s="33"/>
      <c r="H1579" s="33">
        <f>D1598*(1-D1596)/D1592/((1+G1573)^H1575)</f>
        <v>1.0925887850467286</v>
      </c>
      <c r="I1579" s="33">
        <f>D1598*(1-D1596)/D1592/((1+G1573)^I1575)</f>
        <v>1.0211110140623632</v>
      </c>
      <c r="J1579" s="33">
        <f>D1598*(1-D1596)/D1592/((1+G1573)^J1575)</f>
        <v>0.95430935893678792</v>
      </c>
      <c r="K1579" s="33">
        <f>D1598*(1-D1596)/D1592/((1+G1573)^K1575)</f>
        <v>0.89187790554839996</v>
      </c>
      <c r="L1579" s="33">
        <f>D1598*(1-D1596)/D1592/((1+G1573)^L1575)</f>
        <v>0.83353075284897193</v>
      </c>
      <c r="M1579" s="33">
        <f>D1598*(1-D1596)/D1592/((1+G1573)^M1575)</f>
        <v>0.77900070359717</v>
      </c>
      <c r="N1579" s="33">
        <f>D1598*(1-D1596)/D1592/((1+G1573)^N1575)</f>
        <v>0.72803804074501866</v>
      </c>
      <c r="O1579" s="33">
        <f>D1598*(1-D1596)/D1592/((1+G1573)^O1575)</f>
        <v>0.6804093838738493</v>
      </c>
      <c r="P1579" s="33">
        <f>D1598*(1-D1596)/D1592/((1+G1573)^P1575)</f>
        <v>0.63589662044284967</v>
      </c>
      <c r="Q1579" s="33">
        <f>D1598*(1-D1596)/D1592/((1+G1573)^Q1575)</f>
        <v>0.59429590695593437</v>
      </c>
      <c r="R1579" s="33">
        <f>D1598*(1-D1596)/D1592/((1+G1573)^R1575)</f>
        <v>0.55541673547283577</v>
      </c>
      <c r="S1579" s="33">
        <f>D1598*(1-D1596)/D1592/((1+G1573)^S1575)</f>
        <v>0.51908106118956621</v>
      </c>
      <c r="T1579" s="33">
        <f>D1598*(1-D1596)/D1592/((1+G1573)^T1575)</f>
        <v>0.4851224870930525</v>
      </c>
      <c r="U1579" s="33">
        <f>D1598*(1-D1596)/D1592/((1+G1573)^U1575)</f>
        <v>0.45338550195612387</v>
      </c>
      <c r="V1579" s="33">
        <f>D1598*(1-D1596)/D1592/((1+G1573)^V1575)</f>
        <v>0.4237247681832933</v>
      </c>
      <c r="W1579" s="33">
        <f>D1598*(1-D1596)/D1592/((1+G1573)^W1575)</f>
        <v>0.39600445624606856</v>
      </c>
      <c r="X1579" s="33">
        <f>D1598*(1-D1596)/D1592/((1+G1573)^X1575)</f>
        <v>0.37009762265987711</v>
      </c>
      <c r="Y1579" s="33">
        <f>D1598*(1-D1596)/D1592/((1+G1573)^Y1575)</f>
        <v>0.34588562865409078</v>
      </c>
      <c r="Z1579" s="33">
        <f>D1598*(1-D1596)/D1592/((1+G1573)^Z1575)</f>
        <v>0.323257596872982</v>
      </c>
      <c r="AA1579" s="33">
        <f>D1598*(1-D1596)/D1592/((1+G1573)^AA1575)</f>
        <v>0.30210990361960938</v>
      </c>
    </row>
    <row r="1580" spans="3:27" hidden="1" outlineLevel="1" x14ac:dyDescent="0.3">
      <c r="C1580" s="21" t="s">
        <v>32</v>
      </c>
      <c r="D1580" s="19">
        <f>分布式光伏电站IRR汇总!$B$8</f>
        <v>1.8870000000000002</v>
      </c>
      <c r="F1580" s="6" t="s">
        <v>17</v>
      </c>
      <c r="G1580" s="33">
        <f>SUM(H1581:AA1581)</f>
        <v>2.5425634189238777</v>
      </c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  <c r="V1580" s="33"/>
      <c r="W1580" s="33"/>
      <c r="X1580" s="33"/>
      <c r="Y1580" s="33"/>
      <c r="Z1580" s="33"/>
      <c r="AA1580" s="33"/>
    </row>
    <row r="1581" spans="3:27" hidden="1" outlineLevel="1" x14ac:dyDescent="0.3">
      <c r="C1581" s="21" t="s">
        <v>33</v>
      </c>
      <c r="D1581" s="19">
        <f>分布式光伏电站IRR汇总!$B$9</f>
        <v>0.18500000000000003</v>
      </c>
      <c r="F1581" s="7" t="s">
        <v>18</v>
      </c>
      <c r="G1581" s="33"/>
      <c r="H1581" s="33">
        <f>D1595*D1574/((1+G1573)^H1575)</f>
        <v>0.22429906542056072</v>
      </c>
      <c r="I1581" s="33">
        <f>D1595*D1574/((1+G1573)^I1575)</f>
        <v>0.20962529478557079</v>
      </c>
      <c r="J1581" s="33">
        <f>D1595*D1574/((1+G1573)^J1575)</f>
        <v>0.19591149045380446</v>
      </c>
      <c r="K1581" s="33">
        <f>D1595*D1574/((1+G1573)^K1575)</f>
        <v>0.18309485089140604</v>
      </c>
      <c r="L1581" s="33">
        <f>D1595*D1574/((1+G1573)^L1575)</f>
        <v>0.17111668307608041</v>
      </c>
      <c r="M1581" s="33">
        <f>D1595*D1574/((1+G1573)^M1575)</f>
        <v>0.15992213371596301</v>
      </c>
      <c r="N1581" s="33">
        <f>D1595*D1574/((1+G1573)^N1575)</f>
        <v>0.14945993805230187</v>
      </c>
      <c r="O1581" s="33">
        <f>D1595*D1574/((1+G1573)^O1575)</f>
        <v>0.13968218509560923</v>
      </c>
      <c r="P1581" s="33">
        <f>D1595*D1574/((1+G1573)^P1575)</f>
        <v>0.13054409822019553</v>
      </c>
      <c r="Q1581" s="33">
        <f>D1595*D1574/((1+G1573)^Q1575)</f>
        <v>0.12200383011233226</v>
      </c>
      <c r="R1581" s="33">
        <f>D1595*D1574/((1+G1573)^R1575)</f>
        <v>0.1140222711330208</v>
      </c>
      <c r="S1581" s="33">
        <f>D1595*D1574/((1+G1573)^S1575)</f>
        <v>0.10656287021777647</v>
      </c>
      <c r="T1581" s="33">
        <f>D1595*D1574/((1+G1573)^T1575)</f>
        <v>9.9591467493249028E-2</v>
      </c>
      <c r="U1581" s="33">
        <f>D1595*D1574/((1+G1573)^U1575)</f>
        <v>9.3076137844157969E-2</v>
      </c>
      <c r="V1581" s="33">
        <f>D1595*D1574/((1+G1573)^V1575)</f>
        <v>8.6987044714166323E-2</v>
      </c>
      <c r="W1581" s="33">
        <f>D1595*D1574/((1+G1573)^W1575)</f>
        <v>8.1296303471183481E-2</v>
      </c>
      <c r="X1581" s="33">
        <f>D1595*D1574/((1+G1573)^X1575)</f>
        <v>7.5977853711386434E-2</v>
      </c>
      <c r="Y1581" s="33">
        <f>D1595*D1574/((1+G1573)^Y1575)</f>
        <v>7.1007339917183582E-2</v>
      </c>
      <c r="Z1581" s="33">
        <f>D1595*D1574/((1+G1573)^Z1575)</f>
        <v>6.6361999922601472E-2</v>
      </c>
      <c r="AA1581" s="33">
        <f>D1595*D1574/((1+G1573)^AA1575)</f>
        <v>6.2020560675328483E-2</v>
      </c>
    </row>
    <row r="1582" spans="3:27" hidden="1" outlineLevel="1" x14ac:dyDescent="0.3">
      <c r="C1582" s="21" t="s">
        <v>34</v>
      </c>
      <c r="D1582" s="19">
        <f>分布式光伏电站IRR汇总!$B$10</f>
        <v>0.222</v>
      </c>
      <c r="F1582" s="6" t="s">
        <v>19</v>
      </c>
      <c r="G1582" s="33"/>
      <c r="H1582" s="33"/>
      <c r="I1582" s="33"/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>
        <f>D1595*D1598/((1+G1573)^AA1575)</f>
        <v>0.2544083398901974</v>
      </c>
    </row>
    <row r="1583" spans="3:27" hidden="1" outlineLevel="1" x14ac:dyDescent="0.3">
      <c r="C1583" s="21" t="s">
        <v>35</v>
      </c>
      <c r="D1583" s="19">
        <f>分布式光伏电站IRR汇总!$B$11</f>
        <v>0.44400000000000001</v>
      </c>
      <c r="F1583" s="8" t="s">
        <v>64</v>
      </c>
      <c r="G1583" s="33">
        <f>SUM(H1584:AA1584)</f>
        <v>52106.1978027394</v>
      </c>
      <c r="H1583" s="33"/>
      <c r="I1583" s="33"/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/>
    </row>
    <row r="1584" spans="3:27" hidden="1" outlineLevel="1" x14ac:dyDescent="0.3">
      <c r="C1584" s="21" t="s">
        <v>36</v>
      </c>
      <c r="D1584" s="19">
        <f>分布式光伏电站IRR汇总!$B$12</f>
        <v>0.222</v>
      </c>
      <c r="F1584" s="9" t="s">
        <v>65</v>
      </c>
      <c r="G1584" s="33"/>
      <c r="H1584" s="33">
        <f>D1574*D1591*(1-D1593)*D1597/((1+G1573)^H1575)</f>
        <v>4749.4353644859802</v>
      </c>
      <c r="I1584" s="33">
        <f>D1574*D1591*(1-D1593)*(1-D1594)^(I1575-1)*D1597/((1+G1573)^I1575)</f>
        <v>4418.7503788278445</v>
      </c>
      <c r="J1584" s="33">
        <f>D1574*D1591*(1-D1593)*(1-D1594)^(J1575-1)*D1597/((1+G1573)^J1575)</f>
        <v>4111.0897216103922</v>
      </c>
      <c r="K1584" s="33">
        <f>D1574*D1591*(1-D1593)*(1-D1594)^(K1575-1)*D1597/((1+G1573)^K1575)</f>
        <v>3824.8502970683608</v>
      </c>
      <c r="L1584" s="33">
        <f>D1574*D1591*(1-D1593)*(1-D1594)^(L1575-1)*D1597/((1+G1573)^L1575)</f>
        <v>3558.5406268519182</v>
      </c>
      <c r="M1584" s="33">
        <f>D1574*D1591*(1-D1593)*(1-D1594)^(M1575-1)*D1597/((1+G1573)^M1575)</f>
        <v>3310.7730785337249</v>
      </c>
      <c r="N1584" s="33">
        <f>D1574*D1591*(1-D1593)*(1-D1594)^(N1575-1)*D1597/((1+G1573)^N1575)</f>
        <v>3080.2566352152553</v>
      </c>
      <c r="O1584" s="33">
        <f>D1574*D1591*(1-D1593)*(1-D1594)^(O1575-1)*D1597/((1+G1573)^O1575)</f>
        <v>2865.7901685577444</v>
      </c>
      <c r="P1584" s="33">
        <f>D1574*D1591*(1-D1593)*(1-D1594)^(P1575-1)*D1597/((1+G1573)^P1575)</f>
        <v>2666.2561801862007</v>
      </c>
      <c r="Q1584" s="33">
        <f>D1574*D1591*(1-D1593)*(1-D1594)^(Q1575-1)*D1597/((1+G1573)^Q1575)</f>
        <v>2480.6149788554794</v>
      </c>
      <c r="R1584" s="33">
        <f>D1574*D1591*(1-D1593)*(1-D1594)^(R1575-1)*D1597/((1+G1573)^R1575)</f>
        <v>2307.8992630379717</v>
      </c>
      <c r="S1584" s="33">
        <f>D1574*D1591*(1-D1593)*(1-D1594)^(S1575-1)*D1597/((1+G1573)^S1575)</f>
        <v>2147.209080704954</v>
      </c>
      <c r="T1584" s="33">
        <f>D1574*D1591*(1-D1593)*(1-D1594)^(T1575-1)*D1597/((1+G1573)^T1575)</f>
        <v>1997.7071400390489</v>
      </c>
      <c r="U1584" s="33">
        <f>D1574*D1591*(1-D1593)*(1-D1594)^(U1575-1)*D1597/((1+G1573)^U1575)</f>
        <v>1858.6144466438068</v>
      </c>
      <c r="V1584" s="33">
        <f>D1574*D1591*(1-D1593)*(1-D1594)^(V1575-1)*D1597/((1+G1573)^V1575)</f>
        <v>1729.2062445176723</v>
      </c>
      <c r="W1584" s="33">
        <f>D1574*D1591*(1-D1593)*(1-D1594)^(W1575-1)*D1597/((1+G1573)^W1575)</f>
        <v>1608.808239642377</v>
      </c>
      <c r="X1584" s="33">
        <f>D1574*D1591*(1-D1593)*(1-D1594)^(X1575-1)*D1597/((1+G1573)^X1575)</f>
        <v>1496.7930865083983</v>
      </c>
      <c r="Y1584" s="33">
        <f>D1574*D1591*(1-D1593)*(1-D1594)^(Y1575-1)*D1597/((1+G1573)^Y1575)</f>
        <v>1392.5771192701966</v>
      </c>
      <c r="Z1584" s="33">
        <f>D1574*D1591*(1-D1593)*(1-D1594)^(Z1575-1)*D1597/((1+G1573)^Z1575)</f>
        <v>1295.6173104985805</v>
      </c>
      <c r="AA1584" s="33">
        <f>D1574*D1591*(1-D1593)*(1-D1594)^(AA1575-1)*D1597/((1+G1573)^AA1575)</f>
        <v>1205.4084416834926</v>
      </c>
    </row>
    <row r="1585" spans="3:27" hidden="1" outlineLevel="1" x14ac:dyDescent="0.3">
      <c r="C1585" s="21" t="s">
        <v>37</v>
      </c>
      <c r="D1585" s="19">
        <f>分布式光伏电站IRR汇总!$B$13</f>
        <v>0.15</v>
      </c>
      <c r="F1585" s="4" t="s">
        <v>66</v>
      </c>
      <c r="G1585" s="33">
        <f>SUM(H1586:AA1586)</f>
        <v>46.891409526641226</v>
      </c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/>
    </row>
    <row r="1586" spans="3:27" hidden="1" outlineLevel="1" x14ac:dyDescent="0.3">
      <c r="C1586" s="21" t="s">
        <v>38</v>
      </c>
      <c r="D1586" s="19">
        <f>分布式光伏电站IRR汇总!$B$14</f>
        <v>3.7000000000000005E-2</v>
      </c>
      <c r="F1586" s="7" t="s">
        <v>67</v>
      </c>
      <c r="G1586" s="33"/>
      <c r="H1586" s="33">
        <f>H1584*D1602/1000</f>
        <v>4.2741118732082235</v>
      </c>
      <c r="I1586" s="33">
        <f>I1584*D1602/1000</f>
        <v>3.9765218409147538</v>
      </c>
      <c r="J1586" s="33">
        <f>J1584*D1602/1000</f>
        <v>3.6996518622716241</v>
      </c>
      <c r="K1586" s="33">
        <f>K1584*D1602/1000</f>
        <v>3.4420592793377591</v>
      </c>
      <c r="L1586" s="33">
        <f>L1584*D1602/1000</f>
        <v>3.2024018809165784</v>
      </c>
      <c r="M1586" s="33">
        <f>M1584*D1602/1000</f>
        <v>2.9794309088340696</v>
      </c>
      <c r="N1586" s="33">
        <f>N1584*D1602/1000</f>
        <v>2.7719845511629124</v>
      </c>
      <c r="O1586" s="33">
        <f>O1584*D1602/1000</f>
        <v>2.5789818884884852</v>
      </c>
      <c r="P1586" s="33">
        <f>P1584*D1602/1000</f>
        <v>2.3994172616731659</v>
      </c>
      <c r="Q1586" s="33">
        <f>Q1584*D1602/1000</f>
        <v>2.2323550317716232</v>
      </c>
      <c r="R1586" s="33">
        <f>R1584*D1602/1000</f>
        <v>2.0769247047931314</v>
      </c>
      <c r="S1586" s="33">
        <f>S1584*D1602/1000</f>
        <v>1.9323163959080021</v>
      </c>
      <c r="T1586" s="33">
        <f>T1584*D1602/1000</f>
        <v>1.7977766094639407</v>
      </c>
      <c r="U1586" s="33">
        <f>U1584*D1602/1000</f>
        <v>1.6726043128236945</v>
      </c>
      <c r="V1586" s="33">
        <f>V1584*D1602/1000</f>
        <v>1.5561472835663435</v>
      </c>
      <c r="W1586" s="33">
        <f>W1584*D1602/1000</f>
        <v>1.4477987110189678</v>
      </c>
      <c r="X1586" s="33">
        <f>X1584*D1602/1000</f>
        <v>1.3469940344106379</v>
      </c>
      <c r="Y1586" s="33">
        <f>Y1584*D1602/1000</f>
        <v>1.2532080011736353</v>
      </c>
      <c r="Z1586" s="33">
        <f>Z1584*D1602/1000</f>
        <v>1.1659519300638825</v>
      </c>
      <c r="AA1586" s="33">
        <f>AA1584*D1602/1000</f>
        <v>1.0847711648398086</v>
      </c>
    </row>
    <row r="1587" spans="3:27" hidden="1" outlineLevel="1" x14ac:dyDescent="0.3">
      <c r="C1587" s="21" t="s">
        <v>39</v>
      </c>
      <c r="D1587" s="19">
        <f>分布式光伏电站IRR汇总!$B$15</f>
        <v>0.25900000000000006</v>
      </c>
      <c r="F1587" s="4" t="s">
        <v>20</v>
      </c>
      <c r="G1587" s="33">
        <f>SUM(H1588:V1588)</f>
        <v>6.9397493244887922</v>
      </c>
      <c r="H1587" s="33"/>
      <c r="I1587" s="33"/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  <c r="AA1587" s="33"/>
    </row>
    <row r="1588" spans="3:27" hidden="1" outlineLevel="1" x14ac:dyDescent="0.3">
      <c r="C1588" s="21" t="s">
        <v>40</v>
      </c>
      <c r="D1588" s="19">
        <f>分布式光伏电站IRR汇总!$B$16</f>
        <v>7.400000000000001E-2</v>
      </c>
      <c r="F1588" s="7" t="s">
        <v>21</v>
      </c>
      <c r="G1588" s="33"/>
      <c r="H1588" s="33">
        <f>(H1586-H1579-H1581)*G1574</f>
        <v>0.73930600568523352</v>
      </c>
      <c r="I1588" s="33">
        <f>(I1586-I1579-I1581)*G1574</f>
        <v>0.68644638301670491</v>
      </c>
      <c r="J1588" s="33">
        <f>(J1586-J1579-J1581)*G1574</f>
        <v>0.63735775322025789</v>
      </c>
      <c r="K1588" s="33">
        <f>(K1586-K1579-K1581)*G1574</f>
        <v>0.59177163072448835</v>
      </c>
      <c r="L1588" s="33">
        <f>(L1586-L1579-L1581)*G1574</f>
        <v>0.54943861124788151</v>
      </c>
      <c r="M1588" s="33">
        <f>(M1586-M1579-M1581)*G1574</f>
        <v>0.51012701788023407</v>
      </c>
      <c r="N1588" s="33">
        <f>(N1586-N1579-N1581)*G1574</f>
        <v>0.47362164309139798</v>
      </c>
      <c r="O1588" s="33">
        <f>(O1586-O1579-O1581)*G1574</f>
        <v>0.43972257987975671</v>
      </c>
      <c r="P1588" s="33">
        <f>(P1586-P1579-P1581)*G1574</f>
        <v>0.40824413575253016</v>
      </c>
      <c r="Q1588" s="33">
        <f>(Q1586-Q1579-Q1581)*G1574</f>
        <v>0.37901382367583913</v>
      </c>
      <c r="R1588" s="33">
        <f>(R1586-R1579-R1581)*G1574</f>
        <v>0.35187142454681875</v>
      </c>
      <c r="S1588" s="33">
        <f>(S1586-S1579-S1581)*G1574</f>
        <v>0.32666811612516483</v>
      </c>
      <c r="T1588" s="33">
        <f>(T1586-T1579-T1581)*G1574</f>
        <v>0.30326566371940983</v>
      </c>
      <c r="U1588" s="33">
        <f>(U1586-U1579-U1581)*G1574</f>
        <v>0.28153566825585313</v>
      </c>
      <c r="V1588" s="33">
        <f>(V1586-V1579-V1581)*G1574</f>
        <v>0.26135886766722094</v>
      </c>
      <c r="W1588" s="33">
        <f>(W1586-W1579-W1581)*G1574</f>
        <v>0.24262448782542897</v>
      </c>
      <c r="X1588" s="33">
        <f>(X1586-X1579-X1581)*G1574</f>
        <v>0.22522963950984359</v>
      </c>
      <c r="Y1588" s="33">
        <f>(Y1586-Y1579-Y1581)*G1574</f>
        <v>0.20907875815059024</v>
      </c>
      <c r="Z1588" s="33">
        <f>(Z1586-Z1579-Z1581)*G1574</f>
        <v>0.19408308331707474</v>
      </c>
      <c r="AA1588" s="33">
        <f>(AA1586-AA1579-AA1581)*G1574</f>
        <v>0.18016017513621771</v>
      </c>
    </row>
    <row r="1589" spans="3:27" hidden="1" outlineLevel="1" x14ac:dyDescent="0.3">
      <c r="C1589" s="21" t="s">
        <v>41</v>
      </c>
      <c r="D1589" s="19">
        <f>分布式光伏电站IRR汇总!$B$17</f>
        <v>0.222</v>
      </c>
      <c r="F1589" s="10" t="s">
        <v>22</v>
      </c>
      <c r="G1589" s="33">
        <f>-G1577</f>
        <v>-24.611999999999995</v>
      </c>
      <c r="H1589" s="33">
        <f t="shared" ref="H1589:AA1589" si="590">H1586-H1588-H1581</f>
        <v>3.3105068021024291</v>
      </c>
      <c r="I1589" s="33">
        <f t="shared" si="590"/>
        <v>3.0804501631124781</v>
      </c>
      <c r="J1589" s="33">
        <f t="shared" si="590"/>
        <v>2.8663826185975618</v>
      </c>
      <c r="K1589" s="33">
        <f t="shared" si="590"/>
        <v>2.667192797721865</v>
      </c>
      <c r="L1589" s="33">
        <f t="shared" si="590"/>
        <v>2.4818465865926163</v>
      </c>
      <c r="M1589" s="33">
        <f t="shared" si="590"/>
        <v>2.3093817572378725</v>
      </c>
      <c r="N1589" s="33">
        <f t="shared" si="590"/>
        <v>2.1489029700192126</v>
      </c>
      <c r="O1589" s="33">
        <f t="shared" si="590"/>
        <v>1.9995771235131192</v>
      </c>
      <c r="P1589" s="33">
        <f t="shared" si="590"/>
        <v>1.8606290277004403</v>
      </c>
      <c r="Q1589" s="33">
        <f t="shared" si="590"/>
        <v>1.7313373779834518</v>
      </c>
      <c r="R1589" s="33">
        <f t="shared" si="590"/>
        <v>1.611031009113292</v>
      </c>
      <c r="S1589" s="33">
        <f t="shared" si="590"/>
        <v>1.4990854095650608</v>
      </c>
      <c r="T1589" s="33">
        <f t="shared" si="590"/>
        <v>1.3949194782512819</v>
      </c>
      <c r="U1589" s="33">
        <f t="shared" si="590"/>
        <v>1.2979925067236833</v>
      </c>
      <c r="V1589" s="33">
        <f t="shared" si="590"/>
        <v>1.2078013711849562</v>
      </c>
      <c r="W1589" s="33">
        <f t="shared" si="590"/>
        <v>1.1238779197223554</v>
      </c>
      <c r="X1589" s="33">
        <f t="shared" si="590"/>
        <v>1.0457865411894078</v>
      </c>
      <c r="Y1589" s="33">
        <f t="shared" si="590"/>
        <v>0.97312190310586155</v>
      </c>
      <c r="Z1589" s="33">
        <f t="shared" si="590"/>
        <v>0.90550684682420624</v>
      </c>
      <c r="AA1589" s="33">
        <f t="shared" si="590"/>
        <v>0.84259042902826242</v>
      </c>
    </row>
    <row r="1590" spans="3:27" ht="13.5" hidden="1" outlineLevel="1" thickBot="1" x14ac:dyDescent="0.35">
      <c r="C1590" s="21" t="s">
        <v>74</v>
      </c>
      <c r="D1590" s="19">
        <f>分布式光伏电站IRR汇总!$B$18</f>
        <v>0.4</v>
      </c>
      <c r="F1590" s="3" t="s">
        <v>61</v>
      </c>
      <c r="G1590" s="35">
        <f>SUM(G1589:AA1589)/G1577</f>
        <v>0.47724364697259158</v>
      </c>
      <c r="H1590" s="34"/>
      <c r="I1590" s="34"/>
      <c r="J1590" s="3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</row>
    <row r="1591" spans="3:27" ht="13.5" hidden="1" outlineLevel="1" thickTop="1" x14ac:dyDescent="0.3">
      <c r="C1591" s="18" t="s">
        <v>58</v>
      </c>
      <c r="D1591" s="19">
        <f>分布式光伏电站IRR汇总!$B$19</f>
        <v>0.86599999999999999</v>
      </c>
    </row>
    <row r="1592" spans="3:27" hidden="1" outlineLevel="1" x14ac:dyDescent="0.3">
      <c r="C1592" s="18" t="s">
        <v>62</v>
      </c>
      <c r="D1592" s="19">
        <f>分布式光伏电站IRR汇总!$B$20</f>
        <v>20</v>
      </c>
      <c r="F1592" s="13" t="s">
        <v>25</v>
      </c>
      <c r="G1592" s="14">
        <v>0</v>
      </c>
    </row>
    <row r="1593" spans="3:27" hidden="1" outlineLevel="1" x14ac:dyDescent="0.3">
      <c r="C1593" s="18" t="s">
        <v>59</v>
      </c>
      <c r="D1593" s="52">
        <f>分布式光伏电站IRR汇总!$B$21</f>
        <v>0.02</v>
      </c>
      <c r="F1593" s="13" t="s">
        <v>26</v>
      </c>
      <c r="G1593" s="14">
        <v>0.25</v>
      </c>
      <c r="Q1593" s="15"/>
    </row>
    <row r="1594" spans="3:27" hidden="1" outlineLevel="1" x14ac:dyDescent="0.3">
      <c r="C1594" s="18" t="s">
        <v>60</v>
      </c>
      <c r="D1594" s="52">
        <f>分布式光伏电站IRR汇总!$B$22</f>
        <v>4.4999999999999997E-3</v>
      </c>
      <c r="F1594" s="1" t="s">
        <v>44</v>
      </c>
      <c r="G1594" s="4"/>
      <c r="H1594" s="5">
        <v>1</v>
      </c>
      <c r="I1594" s="5">
        <v>2</v>
      </c>
      <c r="J1594" s="5">
        <v>3</v>
      </c>
      <c r="K1594" s="5">
        <v>4</v>
      </c>
      <c r="L1594" s="5">
        <v>5</v>
      </c>
      <c r="M1594" s="5">
        <v>6</v>
      </c>
      <c r="N1594" s="5">
        <v>7</v>
      </c>
      <c r="O1594" s="5">
        <v>8</v>
      </c>
      <c r="P1594" s="5">
        <v>9</v>
      </c>
      <c r="Q1594" s="5">
        <v>10</v>
      </c>
      <c r="R1594" s="5">
        <v>11</v>
      </c>
      <c r="S1594" s="5">
        <v>12</v>
      </c>
      <c r="T1594" s="5">
        <v>13</v>
      </c>
      <c r="U1594" s="5">
        <v>14</v>
      </c>
      <c r="V1594" s="5">
        <v>15</v>
      </c>
      <c r="W1594" s="5">
        <v>16</v>
      </c>
      <c r="X1594" s="5">
        <v>17</v>
      </c>
      <c r="Y1594" s="5">
        <v>18</v>
      </c>
      <c r="Z1594" s="5">
        <v>19</v>
      </c>
      <c r="AA1594" s="5">
        <v>20</v>
      </c>
    </row>
    <row r="1595" spans="3:27" hidden="1" outlineLevel="1" x14ac:dyDescent="0.3">
      <c r="C1595" s="18" t="s">
        <v>28</v>
      </c>
      <c r="D1595" s="29">
        <f>分布式光伏电站IRR汇总!$B$23</f>
        <v>0.04</v>
      </c>
      <c r="F1595" s="16"/>
      <c r="G1595" s="2" t="s">
        <v>0</v>
      </c>
      <c r="H1595" s="2" t="s">
        <v>1</v>
      </c>
      <c r="I1595" s="2" t="s">
        <v>2</v>
      </c>
      <c r="J1595" s="2" t="s">
        <v>3</v>
      </c>
      <c r="K1595" s="2" t="s">
        <v>4</v>
      </c>
      <c r="L1595" s="2" t="s">
        <v>5</v>
      </c>
      <c r="M1595" s="2" t="s">
        <v>6</v>
      </c>
      <c r="N1595" s="2" t="s">
        <v>7</v>
      </c>
      <c r="O1595" s="2" t="s">
        <v>8</v>
      </c>
      <c r="P1595" s="2" t="s">
        <v>9</v>
      </c>
      <c r="Q1595" s="2" t="s">
        <v>10</v>
      </c>
      <c r="R1595" s="2" t="s">
        <v>11</v>
      </c>
      <c r="S1595" s="2" t="s">
        <v>12</v>
      </c>
      <c r="T1595" s="2" t="s">
        <v>13</v>
      </c>
      <c r="U1595" s="2" t="s">
        <v>45</v>
      </c>
      <c r="V1595" s="2" t="s">
        <v>46</v>
      </c>
      <c r="W1595" s="2" t="s">
        <v>47</v>
      </c>
      <c r="X1595" s="2" t="s">
        <v>48</v>
      </c>
      <c r="Y1595" s="2" t="s">
        <v>49</v>
      </c>
      <c r="Z1595" s="2" t="s">
        <v>50</v>
      </c>
      <c r="AA1595" s="2" t="s">
        <v>51</v>
      </c>
    </row>
    <row r="1596" spans="3:27" hidden="1" outlineLevel="1" x14ac:dyDescent="0.3">
      <c r="C1596" s="18" t="s">
        <v>43</v>
      </c>
      <c r="D1596" s="19">
        <f>分布式光伏电站IRR汇总!$B$24</f>
        <v>0.05</v>
      </c>
      <c r="F1596" s="6" t="s">
        <v>14</v>
      </c>
      <c r="G1596" s="33">
        <f>D1598</f>
        <v>24.611999999999995</v>
      </c>
      <c r="H1596" s="33"/>
      <c r="I1596" s="33"/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  <c r="T1596" s="33"/>
      <c r="U1596" s="33"/>
      <c r="V1596" s="33"/>
      <c r="W1596" s="33"/>
      <c r="X1596" s="33"/>
      <c r="Y1596" s="33"/>
      <c r="Z1596" s="33"/>
      <c r="AA1596" s="33"/>
    </row>
    <row r="1597" spans="3:27" hidden="1" outlineLevel="1" x14ac:dyDescent="0.3">
      <c r="C1597" s="18" t="s">
        <v>126</v>
      </c>
      <c r="D1597" s="28">
        <f>Backup分地区光伏小时数及电价!E35</f>
        <v>998</v>
      </c>
      <c r="F1597" s="6" t="s">
        <v>15</v>
      </c>
      <c r="G1597" s="33">
        <f>SUM(H1598:AA1598)</f>
        <v>23.381399999999985</v>
      </c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  <c r="Z1597" s="33"/>
      <c r="AA1597" s="33"/>
    </row>
    <row r="1598" spans="3:27" hidden="1" outlineLevel="1" x14ac:dyDescent="0.3">
      <c r="C1598" s="24" t="s">
        <v>14</v>
      </c>
      <c r="D1598" s="30">
        <f>D1574*D1579</f>
        <v>24.611999999999995</v>
      </c>
      <c r="F1598" s="7" t="s">
        <v>16</v>
      </c>
      <c r="G1598" s="33"/>
      <c r="H1598" s="33">
        <f>D1598*(1-D1596)/D1592/((1+G1592)^H1594)</f>
        <v>1.1690699999999996</v>
      </c>
      <c r="I1598" s="33">
        <f>D1598*(1-D1596)/D1592/((1+G1592)^I1594)</f>
        <v>1.1690699999999996</v>
      </c>
      <c r="J1598" s="33">
        <f>D1598*(1-D1596)/D1592/((1+G1592)^J1594)</f>
        <v>1.1690699999999996</v>
      </c>
      <c r="K1598" s="33">
        <f>D1598*(1-D1596)/D1592/((1+G1592)^K1594)</f>
        <v>1.1690699999999996</v>
      </c>
      <c r="L1598" s="33">
        <f>D1598*(1-D1596)/D1592/((1+G1592)^L1594)</f>
        <v>1.1690699999999996</v>
      </c>
      <c r="M1598" s="33">
        <f>D1598*(1-D1596)/D1592/((1+G1592)^M1594)</f>
        <v>1.1690699999999996</v>
      </c>
      <c r="N1598" s="33">
        <f>D1598*(1-D1596)/D1592/((1+G1592)^N1594)</f>
        <v>1.1690699999999996</v>
      </c>
      <c r="O1598" s="33">
        <f>D1598*(1-D1596)/D1592/((1+G1592)^O1594)</f>
        <v>1.1690699999999996</v>
      </c>
      <c r="P1598" s="33">
        <f>D1598*(1-D1596)/D1592/((1+G1592)^P1594)</f>
        <v>1.1690699999999996</v>
      </c>
      <c r="Q1598" s="33">
        <f>D1598*(1-D1596)/D1592/((1+G1592)^Q1594)</f>
        <v>1.1690699999999996</v>
      </c>
      <c r="R1598" s="33">
        <f>D1598*(1-D1596)/D1592/((1+G1592)^R1594)</f>
        <v>1.1690699999999996</v>
      </c>
      <c r="S1598" s="33">
        <f>D1598*(1-D1596)/D1592/((1+G1592)^S1594)</f>
        <v>1.1690699999999996</v>
      </c>
      <c r="T1598" s="33">
        <f>D1598*(1-D1596)/D1592/((1+G1592)^T1594)</f>
        <v>1.1690699999999996</v>
      </c>
      <c r="U1598" s="33">
        <f>D1598*(1-D1596)/D1592/((1+G1592)^U1594)</f>
        <v>1.1690699999999996</v>
      </c>
      <c r="V1598" s="33">
        <f>D1598*(1-D1596)/D1592/((1+G1592)^V1594)</f>
        <v>1.1690699999999996</v>
      </c>
      <c r="W1598" s="33">
        <f>D1598*(1-D1596)/D1592/((1+G1592)^W1594)</f>
        <v>1.1690699999999996</v>
      </c>
      <c r="X1598" s="33">
        <f>D1598*(1-D1596)/D1592/((1+G1592)^X1594)</f>
        <v>1.1690699999999996</v>
      </c>
      <c r="Y1598" s="33">
        <f>D1598*(1-D1596)/D1592/((1+G1592)^Y1594)</f>
        <v>1.1690699999999996</v>
      </c>
      <c r="Z1598" s="33">
        <f>D1598*(1-D1596)/D1592/((1+G1592)^Z1594)</f>
        <v>1.1690699999999996</v>
      </c>
      <c r="AA1598" s="33">
        <f>D1598*(1-D1596)/D1592/((1+G1592)^AA1594)</f>
        <v>1.1690699999999996</v>
      </c>
    </row>
    <row r="1599" spans="3:27" hidden="1" outlineLevel="1" x14ac:dyDescent="0.3">
      <c r="C1599" s="18" t="s">
        <v>29</v>
      </c>
      <c r="D1599" s="29">
        <v>0.35980000000000001</v>
      </c>
      <c r="F1599" s="6" t="s">
        <v>17</v>
      </c>
      <c r="G1599" s="33">
        <f>SUM(H1600:AA1600)</f>
        <v>4.8000000000000025</v>
      </c>
      <c r="H1599" s="33"/>
      <c r="I1599" s="33"/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  <c r="T1599" s="33"/>
      <c r="U1599" s="33"/>
      <c r="V1599" s="33"/>
      <c r="W1599" s="33"/>
      <c r="X1599" s="33"/>
      <c r="Y1599" s="33"/>
      <c r="Z1599" s="33"/>
      <c r="AA1599" s="33"/>
    </row>
    <row r="1600" spans="3:27" hidden="1" outlineLevel="1" x14ac:dyDescent="0.3">
      <c r="C1600" s="18" t="s">
        <v>30</v>
      </c>
      <c r="D1600" s="31">
        <f>Backup分地区光伏小时数及电价!I35</f>
        <v>0.89991999999999994</v>
      </c>
      <c r="F1600" s="7" t="s">
        <v>18</v>
      </c>
      <c r="G1600" s="33"/>
      <c r="H1600" s="33">
        <f>D1595*D1574/((1+G1592)^H1594)</f>
        <v>0.24</v>
      </c>
      <c r="I1600" s="33">
        <f>D1595*D1574/((1+G1592)^I1594)</f>
        <v>0.24</v>
      </c>
      <c r="J1600" s="33">
        <f>D1595*D1574/((1+G1592)^J1594)</f>
        <v>0.24</v>
      </c>
      <c r="K1600" s="33">
        <f>D1595*D1574/((1+G1592)^K1594)</f>
        <v>0.24</v>
      </c>
      <c r="L1600" s="33">
        <f>D1595*D1574/((1+G1592)^L1594)</f>
        <v>0.24</v>
      </c>
      <c r="M1600" s="33">
        <f>D1595*D1574/((1+G1592)^M1594)</f>
        <v>0.24</v>
      </c>
      <c r="N1600" s="33">
        <f>D1595*D1574/((1+G1592)^N1594)</f>
        <v>0.24</v>
      </c>
      <c r="O1600" s="33">
        <f>D1595*D1574/((1+G1592)^O1594)</f>
        <v>0.24</v>
      </c>
      <c r="P1600" s="33">
        <f>D1595*D1574/((1+G1592)^P1594)</f>
        <v>0.24</v>
      </c>
      <c r="Q1600" s="33">
        <f>D1595*D1574/((1+G1592)^Q1594)</f>
        <v>0.24</v>
      </c>
      <c r="R1600" s="33">
        <f>D1595*D1574/((1+G1592)^R1594)</f>
        <v>0.24</v>
      </c>
      <c r="S1600" s="33">
        <f>D1595*D1574/((1+G1592)^S1594)</f>
        <v>0.24</v>
      </c>
      <c r="T1600" s="33">
        <f>D1595*D1574/((1+G1592)^T1594)</f>
        <v>0.24</v>
      </c>
      <c r="U1600" s="33">
        <f>D1595*D1574/((1+G1592)^U1594)</f>
        <v>0.24</v>
      </c>
      <c r="V1600" s="33">
        <f>D1595*D1574/((1+G1592)^V1594)</f>
        <v>0.24</v>
      </c>
      <c r="W1600" s="33">
        <f>D1595*D1574/((1+G1592)^W1594)</f>
        <v>0.24</v>
      </c>
      <c r="X1600" s="33">
        <f>D1595*D1574/((1+G1592)^X1594)</f>
        <v>0.24</v>
      </c>
      <c r="Y1600" s="33">
        <f>D1595*D1574/((1+G1592)^Y1594)</f>
        <v>0.24</v>
      </c>
      <c r="Z1600" s="33">
        <f>D1595*D1574/((1+G1592)^Z1594)</f>
        <v>0.24</v>
      </c>
      <c r="AA1600" s="33">
        <f>D1595*D1574/((1+G1592)^AA1594)</f>
        <v>0.24</v>
      </c>
    </row>
    <row r="1601" spans="2:27" hidden="1" outlineLevel="1" x14ac:dyDescent="0.3">
      <c r="C1601" s="18" t="s">
        <v>70</v>
      </c>
      <c r="D1601" s="32">
        <f>分布式光伏电站IRR汇总!$B$27</f>
        <v>1</v>
      </c>
      <c r="F1601" s="6" t="s">
        <v>19</v>
      </c>
      <c r="G1601" s="33"/>
      <c r="H1601" s="33"/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  <c r="V1601" s="33"/>
      <c r="W1601" s="33"/>
      <c r="X1601" s="33"/>
      <c r="Y1601" s="33"/>
      <c r="Z1601" s="33"/>
      <c r="AA1601" s="33">
        <f>D1595*D1598/((1+G1592)^AA1594)</f>
        <v>0.9844799999999998</v>
      </c>
    </row>
    <row r="1602" spans="2:27" hidden="1" outlineLevel="1" x14ac:dyDescent="0.3">
      <c r="C1602" s="18" t="s">
        <v>69</v>
      </c>
      <c r="D1602" s="31">
        <f>D1601*D1600</f>
        <v>0.89991999999999994</v>
      </c>
      <c r="F1602" s="8" t="s">
        <v>64</v>
      </c>
      <c r="G1602" s="33">
        <f>SUM(H1603:AA1603)</f>
        <v>97407.999710558157</v>
      </c>
      <c r="H1602" s="33"/>
      <c r="I1602" s="33"/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  <c r="T1602" s="33"/>
      <c r="U1602" s="33"/>
      <c r="V1602" s="33"/>
      <c r="W1602" s="33"/>
      <c r="X1602" s="33"/>
      <c r="Y1602" s="33"/>
      <c r="Z1602" s="33"/>
      <c r="AA1602" s="33"/>
    </row>
    <row r="1603" spans="2:27" hidden="1" outlineLevel="1" x14ac:dyDescent="0.3">
      <c r="C1603" s="18" t="s">
        <v>31</v>
      </c>
      <c r="D1603" s="27">
        <v>0</v>
      </c>
      <c r="F1603" s="9" t="s">
        <v>65</v>
      </c>
      <c r="G1603" s="33"/>
      <c r="H1603" s="33">
        <f>D1574*D1591*(1-D1593)*D1597/((1+G1592)^H1594)</f>
        <v>5081.8958399999992</v>
      </c>
      <c r="I1603" s="33">
        <f>D1574*D1591*(1-D1593)*(1-D1594)^(I1594-1)*D1597/((1+G1592)^I1594)</f>
        <v>5059.0273087199994</v>
      </c>
      <c r="J1603" s="33">
        <f>D1574*D1591*(1-D1593)*(1-D1594)^(J1594-1)*D1597/((1+G1592)^J1594)</f>
        <v>5036.2616858307601</v>
      </c>
      <c r="K1603" s="33">
        <f>D1574*D1591*(1-D1593)*(1-D1594)^(K1594-1)*D1597/((1+G1592)^K1594)</f>
        <v>5013.5985082445222</v>
      </c>
      <c r="L1603" s="33">
        <f>D1574*D1591*(1-D1593)*(1-D1594)^(L1594-1)*D1597/((1+G1592)^L1594)</f>
        <v>4991.0373149574216</v>
      </c>
      <c r="M1603" s="33">
        <f>D1574*D1591*(1-D1593)*(1-D1594)^(M1594-1)*D1597/((1+G1592)^M1594)</f>
        <v>4968.5776470401142</v>
      </c>
      <c r="N1603" s="33">
        <f>D1574*D1591*(1-D1593)*(1-D1594)^(N1594-1)*D1597/((1+G1592)^N1594)</f>
        <v>4946.2190476284341</v>
      </c>
      <c r="O1603" s="33">
        <f>D1574*D1591*(1-D1593)*(1-D1594)^(O1594-1)*D1597/((1+G1592)^O1594)</f>
        <v>4923.9610619141058</v>
      </c>
      <c r="P1603" s="33">
        <f>D1574*D1591*(1-D1593)*(1-D1594)^(P1594-1)*D1597/((1+G1592)^P1594)</f>
        <v>4901.803237135493</v>
      </c>
      <c r="Q1603" s="33">
        <f>D1574*D1591*(1-D1593)*(1-D1594)^(Q1594-1)*D1597/((1+G1592)^Q1594)</f>
        <v>4879.7451225683835</v>
      </c>
      <c r="R1603" s="33">
        <f>D1574*D1591*(1-D1593)*(1-D1594)^(R1594-1)*D1597/((1+G1592)^R1594)</f>
        <v>4857.786269516826</v>
      </c>
      <c r="S1603" s="33">
        <f>D1574*D1591*(1-D1593)*(1-D1594)^(S1594-1)*D1597/((1+G1592)^S1594)</f>
        <v>4835.9262313039999</v>
      </c>
      <c r="T1603" s="33">
        <f>D1574*D1591*(1-D1593)*(1-D1594)^(T1594-1)*D1597/((1+G1592)^T1594)</f>
        <v>4814.1645632631335</v>
      </c>
      <c r="U1603" s="33">
        <f>D1574*D1591*(1-D1593)*(1-D1594)^(U1594-1)*D1597/((1+G1592)^U1594)</f>
        <v>4792.5008227284488</v>
      </c>
      <c r="V1603" s="33">
        <f>D1574*D1591*(1-D1593)*(1-D1594)^(V1594-1)*D1597/((1+G1592)^V1594)</f>
        <v>4770.9345690261707</v>
      </c>
      <c r="W1603" s="33">
        <f>D1574*D1591*(1-D1593)*(1-D1594)^(W1594-1)*D1597/((1+G1592)^W1594)</f>
        <v>4749.4653634655542</v>
      </c>
      <c r="X1603" s="33">
        <f>D1574*D1591*(1-D1593)*(1-D1594)^(X1594-1)*D1597/((1+G1592)^X1594)</f>
        <v>4728.0927693299591</v>
      </c>
      <c r="Y1603" s="33">
        <f>D1574*D1591*(1-D1593)*(1-D1594)^(Y1594-1)*D1597/((1+G1592)^Y1594)</f>
        <v>4706.8163518679739</v>
      </c>
      <c r="Z1603" s="33">
        <f>D1574*D1591*(1-D1593)*(1-D1594)^(Z1594-1)*D1597/((1+G1592)^Z1594)</f>
        <v>4685.6356782845696</v>
      </c>
      <c r="AA1603" s="33">
        <f>D1574*D1591*(1-D1593)*(1-D1594)^(AA1594-1)*D1597/((1+G1592)^AA1594)</f>
        <v>4664.5503177322889</v>
      </c>
    </row>
    <row r="1604" spans="2:27" hidden="1" outlineLevel="1" x14ac:dyDescent="0.3">
      <c r="F1604" s="4" t="s">
        <v>66</v>
      </c>
      <c r="G1604" s="33">
        <f>SUM(H1605:AA1605)</f>
        <v>87.659407099525481</v>
      </c>
      <c r="H1604" s="33"/>
      <c r="I1604" s="33"/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  <c r="Z1604" s="33"/>
      <c r="AA1604" s="33"/>
    </row>
    <row r="1605" spans="2:27" hidden="1" outlineLevel="1" x14ac:dyDescent="0.3">
      <c r="F1605" s="7" t="s">
        <v>67</v>
      </c>
      <c r="G1605" s="33"/>
      <c r="H1605" s="33">
        <f>H1603*D1602/1000</f>
        <v>4.5732997043327988</v>
      </c>
      <c r="I1605" s="33">
        <f>I1603*D1602/1000</f>
        <v>4.5527198556633008</v>
      </c>
      <c r="J1605" s="33">
        <f>J1603*D1602/1000</f>
        <v>4.5322326163128173</v>
      </c>
      <c r="K1605" s="33">
        <f>K1603*D1602/1000</f>
        <v>4.5118375695394102</v>
      </c>
      <c r="L1605" s="33">
        <f>L1603*D1602/1000</f>
        <v>4.4915343004764825</v>
      </c>
      <c r="M1605" s="33">
        <f>M1603*D1602/1000</f>
        <v>4.4713223961243393</v>
      </c>
      <c r="N1605" s="33">
        <f>N1603*D1602/1000</f>
        <v>4.4512014453417805</v>
      </c>
      <c r="O1605" s="33">
        <f>O1603*D1602/1000</f>
        <v>4.431171038837741</v>
      </c>
      <c r="P1605" s="33">
        <f>P1603*D1602/1000</f>
        <v>4.4112307691629722</v>
      </c>
      <c r="Q1605" s="33">
        <f>Q1603*D1602/1000</f>
        <v>4.3913802307017393</v>
      </c>
      <c r="R1605" s="33">
        <f>R1603*D1602/1000</f>
        <v>4.3716190196635818</v>
      </c>
      <c r="S1605" s="33">
        <f>S1603*D1602/1000</f>
        <v>4.3519467340750957</v>
      </c>
      <c r="T1605" s="33">
        <f>T1603*D1602/1000</f>
        <v>4.3323629737717582</v>
      </c>
      <c r="U1605" s="33">
        <f>U1603*D1602/1000</f>
        <v>4.3128673403897855</v>
      </c>
      <c r="V1605" s="33">
        <f>V1603*D1602/1000</f>
        <v>4.293459437358031</v>
      </c>
      <c r="W1605" s="33">
        <f>W1603*D1602/1000</f>
        <v>4.2741388698899208</v>
      </c>
      <c r="X1605" s="33">
        <f>X1603*D1602/1000</f>
        <v>4.2549052449754159</v>
      </c>
      <c r="Y1605" s="33">
        <f>Y1603*D1602/1000</f>
        <v>4.2357581713730266</v>
      </c>
      <c r="Z1605" s="33">
        <f>Z1603*D1602/1000</f>
        <v>4.2166972596018493</v>
      </c>
      <c r="AA1605" s="33">
        <f>AA1603*D1602/1000</f>
        <v>4.1977221219336416</v>
      </c>
    </row>
    <row r="1606" spans="2:27" hidden="1" outlineLevel="1" x14ac:dyDescent="0.3">
      <c r="F1606" s="4" t="s">
        <v>20</v>
      </c>
      <c r="G1606" s="33">
        <f>SUM(H1607:AA1607)</f>
        <v>14.869501774881376</v>
      </c>
      <c r="H1606" s="33"/>
      <c r="I1606" s="33"/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  <c r="T1606" s="33"/>
      <c r="U1606" s="33"/>
      <c r="V1606" s="33"/>
      <c r="W1606" s="33"/>
      <c r="X1606" s="33"/>
      <c r="Y1606" s="33"/>
      <c r="Z1606" s="33"/>
      <c r="AA1606" s="33"/>
    </row>
    <row r="1607" spans="2:27" hidden="1" outlineLevel="1" x14ac:dyDescent="0.3">
      <c r="F1607" s="7" t="s">
        <v>21</v>
      </c>
      <c r="G1607" s="33"/>
      <c r="H1607" s="33">
        <f>(H1605-H1598-H1600)*G1593</f>
        <v>0.79105742608319973</v>
      </c>
      <c r="I1607" s="33">
        <f>(I1605-I1598-I1600)*G1593</f>
        <v>0.78591246391582525</v>
      </c>
      <c r="J1607" s="33">
        <f>(J1605-J1598-J1600)*G1593</f>
        <v>0.78079065407820436</v>
      </c>
      <c r="K1607" s="33">
        <f>(K1605-K1598-K1600)*G1593</f>
        <v>0.77569189238485259</v>
      </c>
      <c r="L1607" s="33">
        <f>(L1605-L1598-L1600)*G1593</f>
        <v>0.77061607511912067</v>
      </c>
      <c r="M1607" s="33">
        <f>(M1605-M1598-M1600)*G1593</f>
        <v>0.76556309903108488</v>
      </c>
      <c r="N1607" s="33">
        <f>(N1605-N1598-N1600)*G1593</f>
        <v>0.76053286133544518</v>
      </c>
      <c r="O1607" s="33">
        <f>(O1605-O1598-O1600)*G1593</f>
        <v>0.75552525970943529</v>
      </c>
      <c r="P1607" s="33">
        <f>(P1605-P1598-P1600)*G1593</f>
        <v>0.75054019229074309</v>
      </c>
      <c r="Q1607" s="33">
        <f>(Q1605-Q1598-Q1600)*G1593</f>
        <v>0.74557755767543488</v>
      </c>
      <c r="R1607" s="33">
        <f>(R1605-R1598-R1600)*G1593</f>
        <v>0.74063725491589549</v>
      </c>
      <c r="S1607" s="33">
        <f>(S1605-S1598-S1600)*G1593</f>
        <v>0.73571918351877397</v>
      </c>
      <c r="T1607" s="33">
        <f>(T1605-T1598-T1600)*G1593</f>
        <v>0.73082324344293959</v>
      </c>
      <c r="U1607" s="33">
        <f>(U1605-U1598-U1600)*G1593</f>
        <v>0.72594933509744641</v>
      </c>
      <c r="V1607" s="33">
        <f>(V1605-V1598-V1600)*G1593</f>
        <v>0.7210973593395078</v>
      </c>
      <c r="W1607" s="33">
        <f>(W1605-W1598-W1600)*G1593</f>
        <v>0.71626721747248023</v>
      </c>
      <c r="X1607" s="33">
        <f>(X1605-X1598-X1600)*G1593</f>
        <v>0.71145881124385402</v>
      </c>
      <c r="Y1607" s="33">
        <f>(Y1605-Y1598-Y1600)*G1593</f>
        <v>0.70667204284325669</v>
      </c>
      <c r="Z1607" s="33">
        <f>(Z1605-Z1598-Z1600)*G1593</f>
        <v>0.70190681490046236</v>
      </c>
      <c r="AA1607" s="33">
        <f>(AA1605-AA1598-AA1600)*G1593</f>
        <v>0.69716303048341044</v>
      </c>
    </row>
    <row r="1608" spans="2:27" hidden="1" outlineLevel="1" x14ac:dyDescent="0.3">
      <c r="F1608" s="10" t="s">
        <v>22</v>
      </c>
      <c r="G1608" s="33">
        <f>-G1596</f>
        <v>-24.611999999999995</v>
      </c>
      <c r="H1608" s="33">
        <f>H1605-H1607-H1600</f>
        <v>3.5422422782495993</v>
      </c>
      <c r="I1608" s="33">
        <f t="shared" ref="I1608" si="591">I1605-I1607-I1600</f>
        <v>3.5268073917474752</v>
      </c>
      <c r="J1608" s="33">
        <f t="shared" ref="J1608" si="592">J1605-J1607-J1600</f>
        <v>3.5114419622346125</v>
      </c>
      <c r="K1608" s="33">
        <f t="shared" ref="K1608" si="593">K1605-K1607-K1600</f>
        <v>3.4961456771545576</v>
      </c>
      <c r="L1608" s="33">
        <f t="shared" ref="L1608" si="594">L1605-L1607-L1600</f>
        <v>3.4809182253573621</v>
      </c>
      <c r="M1608" s="33">
        <f t="shared" ref="M1608" si="595">M1605-M1607-M1600</f>
        <v>3.4657592970932543</v>
      </c>
      <c r="N1608" s="33">
        <f t="shared" ref="N1608" si="596">N1605-N1607-N1600</f>
        <v>3.4506685840063351</v>
      </c>
      <c r="O1608" s="33">
        <f t="shared" ref="O1608" si="597">O1605-O1607-O1600</f>
        <v>3.4356457791283059</v>
      </c>
      <c r="P1608" s="33">
        <f t="shared" ref="P1608" si="598">P1605-P1607-P1600</f>
        <v>3.4206905768722287</v>
      </c>
      <c r="Q1608" s="33">
        <f t="shared" ref="Q1608" si="599">Q1605-Q1607-Q1600</f>
        <v>3.4058026730263045</v>
      </c>
      <c r="R1608" s="33">
        <f t="shared" ref="R1608" si="600">R1605-R1607-R1600</f>
        <v>3.3909817647476865</v>
      </c>
      <c r="S1608" s="33">
        <f t="shared" ref="S1608" si="601">S1605-S1607-S1600</f>
        <v>3.3762275505563215</v>
      </c>
      <c r="T1608" s="33">
        <f t="shared" ref="T1608" si="602">T1605-T1607-T1600</f>
        <v>3.3615397303288184</v>
      </c>
      <c r="U1608" s="33">
        <f t="shared" ref="U1608" si="603">U1605-U1607-U1600</f>
        <v>3.3469180052923386</v>
      </c>
      <c r="V1608" s="33">
        <f t="shared" ref="V1608" si="604">V1605-V1607-V1600</f>
        <v>3.332362078018523</v>
      </c>
      <c r="W1608" s="33">
        <f t="shared" ref="W1608" si="605">W1605-W1607-W1600</f>
        <v>3.3178716524174403</v>
      </c>
      <c r="X1608" s="33">
        <f t="shared" ref="X1608" si="606">X1605-X1607-X1600</f>
        <v>3.3034464337315619</v>
      </c>
      <c r="Y1608" s="33">
        <f t="shared" ref="Y1608" si="607">Y1605-Y1607-Y1600</f>
        <v>3.2890861285297701</v>
      </c>
      <c r="Z1608" s="33">
        <f t="shared" ref="Z1608" si="608">Z1605-Z1607-Z1600</f>
        <v>3.2747904447013871</v>
      </c>
      <c r="AA1608" s="33">
        <f t="shared" ref="AA1608" si="609">AA1605-AA1607-AA1600</f>
        <v>3.2605590914502312</v>
      </c>
    </row>
    <row r="1609" spans="2:27" ht="13.5" hidden="1" outlineLevel="1" thickBot="1" x14ac:dyDescent="0.35">
      <c r="F1609" s="3" t="s">
        <v>68</v>
      </c>
      <c r="G1609" s="40">
        <f>IRR(G1608:AA1608)</f>
        <v>0.12763244637243032</v>
      </c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</row>
    <row r="1610" spans="2:27" ht="13.5" collapsed="1" thickTop="1" x14ac:dyDescent="0.3"/>
    <row r="1611" spans="2:27" x14ac:dyDescent="0.3">
      <c r="B1611" s="11" t="s">
        <v>177</v>
      </c>
      <c r="C1611" s="11" t="s">
        <v>52</v>
      </c>
    </row>
    <row r="1612" spans="2:27" x14ac:dyDescent="0.3">
      <c r="C1612" s="11" t="s">
        <v>141</v>
      </c>
      <c r="D1612" s="54">
        <f>D1643</f>
        <v>993</v>
      </c>
    </row>
    <row r="1613" spans="2:27" x14ac:dyDescent="0.3">
      <c r="C1613" s="16" t="s">
        <v>78</v>
      </c>
      <c r="D1613" s="37">
        <f>(G1642+G1645+G1652)/G1648*1000</f>
        <v>0.42042824633874243</v>
      </c>
    </row>
    <row r="1614" spans="2:27" x14ac:dyDescent="0.3">
      <c r="C1614" s="13" t="s">
        <v>77</v>
      </c>
      <c r="D1614" s="39">
        <f>(G1623+G1626+G1633)/G1629*1000</f>
        <v>0.62605664517656834</v>
      </c>
    </row>
    <row r="1615" spans="2:27" x14ac:dyDescent="0.3">
      <c r="C1615" s="13" t="s">
        <v>61</v>
      </c>
      <c r="D1615" s="36">
        <f>G1636</f>
        <v>0.24684131942133217</v>
      </c>
    </row>
    <row r="1616" spans="2:27" x14ac:dyDescent="0.3">
      <c r="C1616" s="13" t="s">
        <v>73</v>
      </c>
      <c r="D1616" s="25">
        <f>SUM(G1635:AA1635)</f>
        <v>6.0752585535978261</v>
      </c>
    </row>
    <row r="1617" spans="3:27" ht="13.5" thickBot="1" x14ac:dyDescent="0.35">
      <c r="C1617" s="23" t="s">
        <v>68</v>
      </c>
      <c r="D1617" s="26">
        <f>G1655</f>
        <v>0.10081513666927067</v>
      </c>
    </row>
    <row r="1618" spans="3:27" ht="13.5" hidden="1" outlineLevel="1" thickTop="1" x14ac:dyDescent="0.3">
      <c r="E1618" s="20"/>
      <c r="F1618" s="38" t="s">
        <v>75</v>
      </c>
    </row>
    <row r="1619" spans="3:27" hidden="1" outlineLevel="1" x14ac:dyDescent="0.3">
      <c r="C1619" s="11" t="s">
        <v>71</v>
      </c>
      <c r="F1619" s="13" t="s">
        <v>25</v>
      </c>
      <c r="G1619" s="14">
        <v>7.0000000000000007E-2</v>
      </c>
    </row>
    <row r="1620" spans="3:27" hidden="1" outlineLevel="1" x14ac:dyDescent="0.3">
      <c r="C1620" s="18" t="s">
        <v>53</v>
      </c>
      <c r="D1620" s="19">
        <f>分布式光伏电站IRR汇总!$B$2</f>
        <v>6</v>
      </c>
      <c r="F1620" s="13" t="s">
        <v>26</v>
      </c>
      <c r="G1620" s="14">
        <v>0.25</v>
      </c>
    </row>
    <row r="1621" spans="3:27" hidden="1" outlineLevel="1" x14ac:dyDescent="0.3">
      <c r="C1621" s="18" t="s">
        <v>56</v>
      </c>
      <c r="D1621" s="19">
        <f>分布式光伏电站IRR汇总!$B$3</f>
        <v>120</v>
      </c>
      <c r="F1621" s="1" t="s">
        <v>44</v>
      </c>
      <c r="G1621" s="4"/>
      <c r="H1621" s="5">
        <v>1</v>
      </c>
      <c r="I1621" s="5">
        <v>2</v>
      </c>
      <c r="J1621" s="5">
        <v>3</v>
      </c>
      <c r="K1621" s="5">
        <v>4</v>
      </c>
      <c r="L1621" s="5">
        <v>5</v>
      </c>
      <c r="M1621" s="5">
        <v>6</v>
      </c>
      <c r="N1621" s="5">
        <v>7</v>
      </c>
      <c r="O1621" s="5">
        <v>8</v>
      </c>
      <c r="P1621" s="5">
        <v>9</v>
      </c>
      <c r="Q1621" s="5">
        <v>10</v>
      </c>
      <c r="R1621" s="5">
        <v>11</v>
      </c>
      <c r="S1621" s="5">
        <v>12</v>
      </c>
      <c r="T1621" s="5">
        <v>13</v>
      </c>
      <c r="U1621" s="5">
        <v>14</v>
      </c>
      <c r="V1621" s="5">
        <v>15</v>
      </c>
      <c r="W1621" s="5">
        <v>16</v>
      </c>
      <c r="X1621" s="5">
        <v>17</v>
      </c>
      <c r="Y1621" s="5">
        <v>18</v>
      </c>
      <c r="Z1621" s="5">
        <v>19</v>
      </c>
      <c r="AA1621" s="5">
        <v>20</v>
      </c>
    </row>
    <row r="1622" spans="3:27" hidden="1" outlineLevel="1" x14ac:dyDescent="0.3">
      <c r="C1622" s="18" t="s">
        <v>57</v>
      </c>
      <c r="D1622" s="19">
        <f>分布式光伏电站IRR汇总!$B$4</f>
        <v>3</v>
      </c>
      <c r="F1622" s="16"/>
      <c r="G1622" s="2" t="s">
        <v>0</v>
      </c>
      <c r="H1622" s="2" t="s">
        <v>1</v>
      </c>
      <c r="I1622" s="2" t="s">
        <v>2</v>
      </c>
      <c r="J1622" s="2" t="s">
        <v>3</v>
      </c>
      <c r="K1622" s="2" t="s">
        <v>4</v>
      </c>
      <c r="L1622" s="2" t="s">
        <v>5</v>
      </c>
      <c r="M1622" s="2" t="s">
        <v>6</v>
      </c>
      <c r="N1622" s="2" t="s">
        <v>7</v>
      </c>
      <c r="O1622" s="2" t="s">
        <v>8</v>
      </c>
      <c r="P1622" s="2" t="s">
        <v>9</v>
      </c>
      <c r="Q1622" s="2" t="s">
        <v>10</v>
      </c>
      <c r="R1622" s="2" t="s">
        <v>11</v>
      </c>
      <c r="S1622" s="2" t="s">
        <v>12</v>
      </c>
      <c r="T1622" s="2" t="s">
        <v>13</v>
      </c>
      <c r="U1622" s="2" t="s">
        <v>45</v>
      </c>
      <c r="V1622" s="2" t="s">
        <v>46</v>
      </c>
      <c r="W1622" s="2" t="s">
        <v>47</v>
      </c>
      <c r="X1622" s="2" t="s">
        <v>48</v>
      </c>
      <c r="Y1622" s="2" t="s">
        <v>49</v>
      </c>
      <c r="Z1622" s="2" t="s">
        <v>50</v>
      </c>
      <c r="AA1622" s="2" t="s">
        <v>127</v>
      </c>
    </row>
    <row r="1623" spans="3:27" hidden="1" outlineLevel="1" x14ac:dyDescent="0.3">
      <c r="C1623" s="18" t="s">
        <v>54</v>
      </c>
      <c r="D1623" s="19">
        <f>分布式光伏电站IRR汇总!$B$5</f>
        <v>5</v>
      </c>
      <c r="F1623" s="6" t="s">
        <v>14</v>
      </c>
      <c r="G1623" s="33">
        <f>D1644</f>
        <v>24.611999999999995</v>
      </c>
      <c r="H1623" s="33"/>
      <c r="I1623" s="33"/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/>
    </row>
    <row r="1624" spans="3:27" hidden="1" outlineLevel="1" x14ac:dyDescent="0.3">
      <c r="C1624" s="18" t="s">
        <v>55</v>
      </c>
      <c r="D1624" s="19">
        <f>分布式光伏电站IRR汇总!$B$6</f>
        <v>15</v>
      </c>
      <c r="F1624" s="6" t="s">
        <v>15</v>
      </c>
      <c r="G1624" s="33">
        <f>SUM(H1625:AA1625)</f>
        <v>12.385144234005573</v>
      </c>
      <c r="H1624" s="33"/>
      <c r="I1624" s="33"/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/>
    </row>
    <row r="1625" spans="3:27" hidden="1" outlineLevel="1" x14ac:dyDescent="0.3">
      <c r="C1625" s="18" t="s">
        <v>42</v>
      </c>
      <c r="D1625" s="19">
        <f>分布式光伏电站IRR汇总!$B$7</f>
        <v>4.1019999999999994</v>
      </c>
      <c r="F1625" s="7" t="s">
        <v>16</v>
      </c>
      <c r="G1625" s="33"/>
      <c r="H1625" s="33">
        <f>D1644*(1-D1642)/D1638/((1+G1619)^H1621)</f>
        <v>1.0925887850467286</v>
      </c>
      <c r="I1625" s="33">
        <f>D1644*(1-D1642)/D1638/((1+G1619)^I1621)</f>
        <v>1.0211110140623632</v>
      </c>
      <c r="J1625" s="33">
        <f>D1644*(1-D1642)/D1638/((1+G1619)^J1621)</f>
        <v>0.95430935893678792</v>
      </c>
      <c r="K1625" s="33">
        <f>D1644*(1-D1642)/D1638/((1+G1619)^K1621)</f>
        <v>0.89187790554839996</v>
      </c>
      <c r="L1625" s="33">
        <f>D1644*(1-D1642)/D1638/((1+G1619)^L1621)</f>
        <v>0.83353075284897193</v>
      </c>
      <c r="M1625" s="33">
        <f>D1644*(1-D1642)/D1638/((1+G1619)^M1621)</f>
        <v>0.77900070359717</v>
      </c>
      <c r="N1625" s="33">
        <f>D1644*(1-D1642)/D1638/((1+G1619)^N1621)</f>
        <v>0.72803804074501866</v>
      </c>
      <c r="O1625" s="33">
        <f>D1644*(1-D1642)/D1638/((1+G1619)^O1621)</f>
        <v>0.6804093838738493</v>
      </c>
      <c r="P1625" s="33">
        <f>D1644*(1-D1642)/D1638/((1+G1619)^P1621)</f>
        <v>0.63589662044284967</v>
      </c>
      <c r="Q1625" s="33">
        <f>D1644*(1-D1642)/D1638/((1+G1619)^Q1621)</f>
        <v>0.59429590695593437</v>
      </c>
      <c r="R1625" s="33">
        <f>D1644*(1-D1642)/D1638/((1+G1619)^R1621)</f>
        <v>0.55541673547283577</v>
      </c>
      <c r="S1625" s="33">
        <f>D1644*(1-D1642)/D1638/((1+G1619)^S1621)</f>
        <v>0.51908106118956621</v>
      </c>
      <c r="T1625" s="33">
        <f>D1644*(1-D1642)/D1638/((1+G1619)^T1621)</f>
        <v>0.4851224870930525</v>
      </c>
      <c r="U1625" s="33">
        <f>D1644*(1-D1642)/D1638/((1+G1619)^U1621)</f>
        <v>0.45338550195612387</v>
      </c>
      <c r="V1625" s="33">
        <f>D1644*(1-D1642)/D1638/((1+G1619)^V1621)</f>
        <v>0.4237247681832933</v>
      </c>
      <c r="W1625" s="33">
        <f>D1644*(1-D1642)/D1638/((1+G1619)^W1621)</f>
        <v>0.39600445624606856</v>
      </c>
      <c r="X1625" s="33">
        <f>D1644*(1-D1642)/D1638/((1+G1619)^X1621)</f>
        <v>0.37009762265987711</v>
      </c>
      <c r="Y1625" s="33">
        <f>D1644*(1-D1642)/D1638/((1+G1619)^Y1621)</f>
        <v>0.34588562865409078</v>
      </c>
      <c r="Z1625" s="33">
        <f>D1644*(1-D1642)/D1638/((1+G1619)^Z1621)</f>
        <v>0.323257596872982</v>
      </c>
      <c r="AA1625" s="33">
        <f>D1644*(1-D1642)/D1638/((1+G1619)^AA1621)</f>
        <v>0.30210990361960938</v>
      </c>
    </row>
    <row r="1626" spans="3:27" hidden="1" outlineLevel="1" x14ac:dyDescent="0.3">
      <c r="C1626" s="21" t="s">
        <v>32</v>
      </c>
      <c r="D1626" s="19">
        <f>分布式光伏电站IRR汇总!$B$8</f>
        <v>1.8870000000000002</v>
      </c>
      <c r="F1626" s="6" t="s">
        <v>17</v>
      </c>
      <c r="G1626" s="33">
        <f>SUM(H1627:AA1627)</f>
        <v>2.5425634189238777</v>
      </c>
      <c r="H1626" s="33"/>
      <c r="I1626" s="33"/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  <c r="Z1626" s="33"/>
      <c r="AA1626" s="33"/>
    </row>
    <row r="1627" spans="3:27" hidden="1" outlineLevel="1" x14ac:dyDescent="0.3">
      <c r="C1627" s="21" t="s">
        <v>33</v>
      </c>
      <c r="D1627" s="19">
        <f>分布式光伏电站IRR汇总!$B$9</f>
        <v>0.18500000000000003</v>
      </c>
      <c r="F1627" s="7" t="s">
        <v>18</v>
      </c>
      <c r="G1627" s="33"/>
      <c r="H1627" s="33">
        <f>D1641*D1620/((1+G1619)^H1621)</f>
        <v>0.22429906542056072</v>
      </c>
      <c r="I1627" s="33">
        <f>D1641*D1620/((1+G1619)^I1621)</f>
        <v>0.20962529478557079</v>
      </c>
      <c r="J1627" s="33">
        <f>D1641*D1620/((1+G1619)^J1621)</f>
        <v>0.19591149045380446</v>
      </c>
      <c r="K1627" s="33">
        <f>D1641*D1620/((1+G1619)^K1621)</f>
        <v>0.18309485089140604</v>
      </c>
      <c r="L1627" s="33">
        <f>D1641*D1620/((1+G1619)^L1621)</f>
        <v>0.17111668307608041</v>
      </c>
      <c r="M1627" s="33">
        <f>D1641*D1620/((1+G1619)^M1621)</f>
        <v>0.15992213371596301</v>
      </c>
      <c r="N1627" s="33">
        <f>D1641*D1620/((1+G1619)^N1621)</f>
        <v>0.14945993805230187</v>
      </c>
      <c r="O1627" s="33">
        <f>D1641*D1620/((1+G1619)^O1621)</f>
        <v>0.13968218509560923</v>
      </c>
      <c r="P1627" s="33">
        <f>D1641*D1620/((1+G1619)^P1621)</f>
        <v>0.13054409822019553</v>
      </c>
      <c r="Q1627" s="33">
        <f>D1641*D1620/((1+G1619)^Q1621)</f>
        <v>0.12200383011233226</v>
      </c>
      <c r="R1627" s="33">
        <f>D1641*D1620/((1+G1619)^R1621)</f>
        <v>0.1140222711330208</v>
      </c>
      <c r="S1627" s="33">
        <f>D1641*D1620/((1+G1619)^S1621)</f>
        <v>0.10656287021777647</v>
      </c>
      <c r="T1627" s="33">
        <f>D1641*D1620/((1+G1619)^T1621)</f>
        <v>9.9591467493249028E-2</v>
      </c>
      <c r="U1627" s="33">
        <f>D1641*D1620/((1+G1619)^U1621)</f>
        <v>9.3076137844157969E-2</v>
      </c>
      <c r="V1627" s="33">
        <f>D1641*D1620/((1+G1619)^V1621)</f>
        <v>8.6987044714166323E-2</v>
      </c>
      <c r="W1627" s="33">
        <f>D1641*D1620/((1+G1619)^W1621)</f>
        <v>8.1296303471183481E-2</v>
      </c>
      <c r="X1627" s="33">
        <f>D1641*D1620/((1+G1619)^X1621)</f>
        <v>7.5977853711386434E-2</v>
      </c>
      <c r="Y1627" s="33">
        <f>D1641*D1620/((1+G1619)^Y1621)</f>
        <v>7.1007339917183582E-2</v>
      </c>
      <c r="Z1627" s="33">
        <f>D1641*D1620/((1+G1619)^Z1621)</f>
        <v>6.6361999922601472E-2</v>
      </c>
      <c r="AA1627" s="33">
        <f>D1641*D1620/((1+G1619)^AA1621)</f>
        <v>6.2020560675328483E-2</v>
      </c>
    </row>
    <row r="1628" spans="3:27" hidden="1" outlineLevel="1" x14ac:dyDescent="0.3">
      <c r="C1628" s="21" t="s">
        <v>34</v>
      </c>
      <c r="D1628" s="19">
        <f>分布式光伏电站IRR汇总!$B$10</f>
        <v>0.222</v>
      </c>
      <c r="F1628" s="6" t="s">
        <v>19</v>
      </c>
      <c r="G1628" s="33"/>
      <c r="H1628" s="33"/>
      <c r="I1628" s="33"/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  <c r="T1628" s="33"/>
      <c r="U1628" s="33"/>
      <c r="V1628" s="33"/>
      <c r="W1628" s="33"/>
      <c r="X1628" s="33"/>
      <c r="Y1628" s="33"/>
      <c r="Z1628" s="33"/>
      <c r="AA1628" s="33">
        <f>D1641*D1644/((1+G1619)^AA1621)</f>
        <v>0.2544083398901974</v>
      </c>
    </row>
    <row r="1629" spans="3:27" hidden="1" outlineLevel="1" x14ac:dyDescent="0.3">
      <c r="C1629" s="21" t="s">
        <v>35</v>
      </c>
      <c r="D1629" s="19">
        <f>分布式光伏电站IRR汇总!$B$11</f>
        <v>0.44400000000000001</v>
      </c>
      <c r="F1629" s="8" t="s">
        <v>64</v>
      </c>
      <c r="G1629" s="33">
        <f>SUM(H1630:AA1630)</f>
        <v>51845.144707535292</v>
      </c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  <c r="AA1629" s="33"/>
    </row>
    <row r="1630" spans="3:27" hidden="1" outlineLevel="1" x14ac:dyDescent="0.3">
      <c r="C1630" s="21" t="s">
        <v>36</v>
      </c>
      <c r="D1630" s="19">
        <f>分布式光伏电站IRR汇总!$B$12</f>
        <v>0.222</v>
      </c>
      <c r="F1630" s="9" t="s">
        <v>65</v>
      </c>
      <c r="G1630" s="33"/>
      <c r="H1630" s="33">
        <f>D1620*D1637*(1-D1639)*D1643/((1+G1619)^H1621)</f>
        <v>4725.6405981308399</v>
      </c>
      <c r="I1630" s="33">
        <f>D1620*D1637*(1-D1639)*(1-D1640)^(I1621-1)*D1643/((1+G1619)^I1621)</f>
        <v>4396.6123508778055</v>
      </c>
      <c r="J1630" s="33">
        <f>D1620*D1637*(1-D1639)*(1-D1640)^(J1621-1)*D1643/((1+G1619)^J1621)</f>
        <v>4090.4930797185566</v>
      </c>
      <c r="K1630" s="33">
        <f>D1620*D1637*(1-D1639)*(1-D1640)^(K1621-1)*D1643/((1+G1619)^K1621)</f>
        <v>3805.6877204297416</v>
      </c>
      <c r="L1630" s="33">
        <f>D1620*D1637*(1-D1639)*(1-D1640)^(L1621-1)*D1643/((1+G1619)^L1621)</f>
        <v>3540.7122669979512</v>
      </c>
      <c r="M1630" s="33">
        <f>D1620*D1637*(1-D1639)*(1-D1640)^(M1621-1)*D1643/((1+G1619)^M1621)</f>
        <v>3294.1860390621132</v>
      </c>
      <c r="N1630" s="33">
        <f>D1620*D1637*(1-D1639)*(1-D1640)^(N1621-1)*D1643/((1+G1619)^N1621)</f>
        <v>3064.8244877442371</v>
      </c>
      <c r="O1630" s="33">
        <f>D1620*D1637*(1-D1639)*(1-D1640)^(O1621-1)*D1643/((1+G1619)^O1621)</f>
        <v>2851.4325023826054</v>
      </c>
      <c r="P1630" s="33">
        <f>D1620*D1637*(1-D1639)*(1-D1640)^(P1621-1)*D1643/((1+G1619)^P1621)</f>
        <v>2652.8981832914797</v>
      </c>
      <c r="Q1630" s="33">
        <f>D1620*D1637*(1-D1639)*(1-D1640)^(Q1621-1)*D1643/((1+G1619)^Q1621)</f>
        <v>2468.1870480996904</v>
      </c>
      <c r="R1630" s="33">
        <f>D1620*D1637*(1-D1639)*(1-D1640)^(R1621-1)*D1643/((1+G1619)^R1621)</f>
        <v>2296.3366414796651</v>
      </c>
      <c r="S1630" s="33">
        <f>D1620*D1637*(1-D1639)*(1-D1640)^(S1621-1)*D1643/((1+G1619)^S1621)</f>
        <v>2136.4515201803806</v>
      </c>
      <c r="T1630" s="33">
        <f>D1620*D1637*(1-D1639)*(1-D1640)^(T1621-1)*D1643/((1+G1619)^T1621)</f>
        <v>1987.6985872332421</v>
      </c>
      <c r="U1630" s="33">
        <f>D1620*D1637*(1-D1639)*(1-D1640)^(U1621-1)*D1643/((1+G1619)^U1621)</f>
        <v>1849.302751019339</v>
      </c>
      <c r="V1630" s="33">
        <f>D1620*D1637*(1-D1639)*(1-D1640)^(V1621-1)*D1643/((1+G1619)^V1621)</f>
        <v>1720.5428865792069</v>
      </c>
      <c r="W1630" s="33">
        <f>D1620*D1637*(1-D1639)*(1-D1640)^(W1621-1)*D1643/((1+G1619)^W1621)</f>
        <v>1600.7480781211225</v>
      </c>
      <c r="X1630" s="33">
        <f>D1620*D1637*(1-D1639)*(1-D1640)^(X1621-1)*D1643/((1+G1619)^X1621)</f>
        <v>1489.2941231491379</v>
      </c>
      <c r="Y1630" s="33">
        <f>D1620*D1637*(1-D1639)*(1-D1640)^(Y1621-1)*D1643/((1+G1619)^Y1621)</f>
        <v>1385.600279995296</v>
      </c>
      <c r="Z1630" s="33">
        <f>D1620*D1637*(1-D1639)*(1-D1640)^(Z1621-1)*D1643/((1+G1619)^Z1621)</f>
        <v>1289.1262418087078</v>
      </c>
      <c r="AA1630" s="33">
        <f>D1620*D1637*(1-D1639)*(1-D1640)^(AA1621-1)*D1643/((1+G1619)^AA1621)</f>
        <v>1199.3693212341764</v>
      </c>
    </row>
    <row r="1631" spans="3:27" hidden="1" outlineLevel="1" x14ac:dyDescent="0.3">
      <c r="C1631" s="21" t="s">
        <v>37</v>
      </c>
      <c r="D1631" s="19">
        <f>分布式光伏电站IRR汇总!$B$13</f>
        <v>0.15</v>
      </c>
      <c r="F1631" s="4" t="s">
        <v>66</v>
      </c>
      <c r="G1631" s="33">
        <f>SUM(H1632:AA1632)</f>
        <v>39.330526745719119</v>
      </c>
      <c r="H1631" s="33"/>
      <c r="I1631" s="33"/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  <c r="Z1631" s="33"/>
      <c r="AA1631" s="33"/>
    </row>
    <row r="1632" spans="3:27" hidden="1" outlineLevel="1" x14ac:dyDescent="0.3">
      <c r="C1632" s="21" t="s">
        <v>38</v>
      </c>
      <c r="D1632" s="19">
        <f>分布式光伏电站IRR汇总!$B$14</f>
        <v>3.7000000000000005E-2</v>
      </c>
      <c r="F1632" s="7" t="s">
        <v>67</v>
      </c>
      <c r="G1632" s="33"/>
      <c r="H1632" s="33">
        <f>H1630*D1648/1000</f>
        <v>3.5849438743764841</v>
      </c>
      <c r="I1632" s="33">
        <f>I1630*D1648/1000</f>
        <v>3.3353379691044771</v>
      </c>
      <c r="J1632" s="33">
        <f>J1630*D1648/1000</f>
        <v>3.1031111665827171</v>
      </c>
      <c r="K1632" s="33">
        <f>K1630*D1648/1000</f>
        <v>2.8870534264795285</v>
      </c>
      <c r="L1632" s="33">
        <f>L1630*D1648/1000</f>
        <v>2.6860389589349256</v>
      </c>
      <c r="M1632" s="33">
        <f>M1630*D1648/1000</f>
        <v>2.4990203585231017</v>
      </c>
      <c r="N1632" s="33">
        <f>N1630*D1648/1000</f>
        <v>2.3250231466446238</v>
      </c>
      <c r="O1632" s="33">
        <f>O1630*D1648/1000</f>
        <v>2.1631406939109561</v>
      </c>
      <c r="P1632" s="33">
        <f>P1630*D1648/1000</f>
        <v>2.0125294960638844</v>
      </c>
      <c r="Q1632" s="33">
        <f>Q1630*D1648/1000</f>
        <v>1.8724047788145772</v>
      </c>
      <c r="R1632" s="33">
        <f>R1630*D1648/1000</f>
        <v>1.742036408700852</v>
      </c>
      <c r="S1632" s="33">
        <f>S1630*D1648/1000</f>
        <v>1.620745088655793</v>
      </c>
      <c r="T1632" s="33">
        <f>T1630*D1648/1000</f>
        <v>1.5078988184643383</v>
      </c>
      <c r="U1632" s="33">
        <f>U1630*D1648/1000</f>
        <v>1.4029096016647189</v>
      </c>
      <c r="V1632" s="33">
        <f>V1630*D1648/1000</f>
        <v>1.3052303817357263</v>
      </c>
      <c r="W1632" s="33">
        <f>W1630*D1648/1000</f>
        <v>1.2143521916055289</v>
      </c>
      <c r="X1632" s="33">
        <f>X1630*D1648/1000</f>
        <v>1.1298015016292562</v>
      </c>
      <c r="Y1632" s="33">
        <f>Y1630*D1648/1000</f>
        <v>1.0511377522167518</v>
      </c>
      <c r="Z1632" s="33">
        <f>Z1630*D1648/1000</f>
        <v>0.97795105825399686</v>
      </c>
      <c r="AA1632" s="33">
        <f>AA1630*D1648/1000</f>
        <v>0.9098600733568728</v>
      </c>
    </row>
    <row r="1633" spans="3:27" hidden="1" outlineLevel="1" x14ac:dyDescent="0.3">
      <c r="C1633" s="21" t="s">
        <v>39</v>
      </c>
      <c r="D1633" s="19">
        <f>分布式光伏电站IRR汇总!$B$15</f>
        <v>0.25900000000000006</v>
      </c>
      <c r="F1633" s="4" t="s">
        <v>20</v>
      </c>
      <c r="G1633" s="33">
        <f>SUM(H1634:V1634)</f>
        <v>5.3034339453693908</v>
      </c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  <c r="Z1633" s="33"/>
      <c r="AA1633" s="33"/>
    </row>
    <row r="1634" spans="3:27" hidden="1" outlineLevel="1" x14ac:dyDescent="0.3">
      <c r="C1634" s="21" t="s">
        <v>40</v>
      </c>
      <c r="D1634" s="19">
        <f>分布式光伏电站IRR汇总!$B$16</f>
        <v>7.400000000000001E-2</v>
      </c>
      <c r="F1634" s="7" t="s">
        <v>21</v>
      </c>
      <c r="G1634" s="33"/>
      <c r="H1634" s="33">
        <f>(H1632-H1625-H1627)*G1620</f>
        <v>0.56701400597729867</v>
      </c>
      <c r="I1634" s="33">
        <f>(I1632-I1625-I1627)*G1620</f>
        <v>0.52615041506413585</v>
      </c>
      <c r="J1634" s="33">
        <f>(J1632-J1625-J1627)*G1620</f>
        <v>0.48822257929803126</v>
      </c>
      <c r="K1634" s="33">
        <f>(K1632-K1625-K1627)*G1620</f>
        <v>0.45302016750993063</v>
      </c>
      <c r="L1634" s="33">
        <f>(L1632-L1625-L1627)*G1620</f>
        <v>0.42034788075246832</v>
      </c>
      <c r="M1634" s="33">
        <f>(M1632-M1625-M1627)*G1620</f>
        <v>0.39002438030249215</v>
      </c>
      <c r="N1634" s="33">
        <f>(N1632-N1625-N1627)*G1620</f>
        <v>0.36188129196182584</v>
      </c>
      <c r="O1634" s="33">
        <f>(O1632-O1625-O1627)*G1620</f>
        <v>0.33576228123537444</v>
      </c>
      <c r="P1634" s="33">
        <f>(P1632-P1625-P1627)*G1620</f>
        <v>0.31152219435020978</v>
      </c>
      <c r="Q1634" s="33">
        <f>(Q1632-Q1625-Q1627)*G1620</f>
        <v>0.28902626043657764</v>
      </c>
      <c r="R1634" s="33">
        <f>(R1632-R1625-R1627)*G1620</f>
        <v>0.26814935052374889</v>
      </c>
      <c r="S1634" s="33">
        <f>(S1632-S1625-S1627)*G1620</f>
        <v>0.2487752893121126</v>
      </c>
      <c r="T1634" s="33">
        <f>(T1632-T1625-T1627)*G1620</f>
        <v>0.23079621596950922</v>
      </c>
      <c r="U1634" s="33">
        <f>(U1632-U1625-U1627)*G1620</f>
        <v>0.21411199046610924</v>
      </c>
      <c r="V1634" s="33">
        <f>(V1632-V1625-V1627)*G1620</f>
        <v>0.19862964220956666</v>
      </c>
      <c r="W1634" s="33">
        <f>(W1632-W1625-W1627)*G1620</f>
        <v>0.18426285797206923</v>
      </c>
      <c r="X1634" s="33">
        <f>(X1632-X1625-X1627)*G1620</f>
        <v>0.17093150631449816</v>
      </c>
      <c r="Y1634" s="33">
        <f>(Y1632-Y1625-Y1627)*G1620</f>
        <v>0.15856119591136936</v>
      </c>
      <c r="Z1634" s="33">
        <f>(Z1632-Z1625-Z1627)*G1620</f>
        <v>0.14708286536460335</v>
      </c>
      <c r="AA1634" s="33">
        <f>(AA1632-AA1625-AA1627)*G1620</f>
        <v>0.13643240226548373</v>
      </c>
    </row>
    <row r="1635" spans="3:27" hidden="1" outlineLevel="1" x14ac:dyDescent="0.3">
      <c r="C1635" s="21" t="s">
        <v>41</v>
      </c>
      <c r="D1635" s="19">
        <f>分布式光伏电站IRR汇总!$B$17</f>
        <v>0.222</v>
      </c>
      <c r="F1635" s="10" t="s">
        <v>22</v>
      </c>
      <c r="G1635" s="33">
        <f>-G1623</f>
        <v>-24.611999999999995</v>
      </c>
      <c r="H1635" s="33">
        <f t="shared" ref="H1635:AA1635" si="610">H1632-H1634-H1627</f>
        <v>2.7936308029786248</v>
      </c>
      <c r="I1635" s="33">
        <f t="shared" si="610"/>
        <v>2.5995622592547702</v>
      </c>
      <c r="J1635" s="33">
        <f t="shared" si="610"/>
        <v>2.4189770968308815</v>
      </c>
      <c r="K1635" s="33">
        <f t="shared" si="610"/>
        <v>2.2509384080781918</v>
      </c>
      <c r="L1635" s="33">
        <f t="shared" si="610"/>
        <v>2.0945743951063767</v>
      </c>
      <c r="M1635" s="33">
        <f t="shared" si="610"/>
        <v>1.9490738445046465</v>
      </c>
      <c r="N1635" s="33">
        <f t="shared" si="610"/>
        <v>1.8136819166304963</v>
      </c>
      <c r="O1635" s="33">
        <f t="shared" si="610"/>
        <v>1.6876962275799725</v>
      </c>
      <c r="P1635" s="33">
        <f t="shared" si="610"/>
        <v>1.5704632034934791</v>
      </c>
      <c r="Q1635" s="33">
        <f t="shared" si="610"/>
        <v>1.4613746882656673</v>
      </c>
      <c r="R1635" s="33">
        <f t="shared" si="610"/>
        <v>1.3598647870440823</v>
      </c>
      <c r="S1635" s="33">
        <f t="shared" si="610"/>
        <v>1.2654069291259038</v>
      </c>
      <c r="T1635" s="33">
        <f t="shared" si="610"/>
        <v>1.1775111350015801</v>
      </c>
      <c r="U1635" s="33">
        <f t="shared" si="610"/>
        <v>1.0957214733544516</v>
      </c>
      <c r="V1635" s="33">
        <f t="shared" si="610"/>
        <v>1.0196136948119934</v>
      </c>
      <c r="W1635" s="33">
        <f t="shared" si="610"/>
        <v>0.94879303016227612</v>
      </c>
      <c r="X1635" s="33">
        <f t="shared" si="610"/>
        <v>0.88289214160337159</v>
      </c>
      <c r="Y1635" s="33">
        <f t="shared" si="610"/>
        <v>0.82156921638819891</v>
      </c>
      <c r="Z1635" s="33">
        <f t="shared" si="610"/>
        <v>0.76450619296679201</v>
      </c>
      <c r="AA1635" s="33">
        <f t="shared" si="610"/>
        <v>0.71140711041606064</v>
      </c>
    </row>
    <row r="1636" spans="3:27" ht="13.5" hidden="1" outlineLevel="1" thickBot="1" x14ac:dyDescent="0.35">
      <c r="C1636" s="21" t="s">
        <v>74</v>
      </c>
      <c r="D1636" s="19">
        <f>分布式光伏电站IRR汇总!$B$18</f>
        <v>0.4</v>
      </c>
      <c r="F1636" s="3" t="s">
        <v>61</v>
      </c>
      <c r="G1636" s="35">
        <f>SUM(G1635:AA1635)/G1623</f>
        <v>0.24684131942133217</v>
      </c>
      <c r="H1636" s="34"/>
      <c r="I1636" s="34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</row>
    <row r="1637" spans="3:27" ht="13.5" hidden="1" outlineLevel="1" thickTop="1" x14ac:dyDescent="0.3">
      <c r="C1637" s="18" t="s">
        <v>58</v>
      </c>
      <c r="D1637" s="19">
        <f>分布式光伏电站IRR汇总!$B$19</f>
        <v>0.86599999999999999</v>
      </c>
    </row>
    <row r="1638" spans="3:27" hidden="1" outlineLevel="1" x14ac:dyDescent="0.3">
      <c r="C1638" s="18" t="s">
        <v>62</v>
      </c>
      <c r="D1638" s="19">
        <f>分布式光伏电站IRR汇总!$B$20</f>
        <v>20</v>
      </c>
      <c r="F1638" s="13" t="s">
        <v>25</v>
      </c>
      <c r="G1638" s="14">
        <v>0</v>
      </c>
    </row>
    <row r="1639" spans="3:27" hidden="1" outlineLevel="1" x14ac:dyDescent="0.3">
      <c r="C1639" s="18" t="s">
        <v>59</v>
      </c>
      <c r="D1639" s="52">
        <f>分布式光伏电站IRR汇总!$B$21</f>
        <v>0.02</v>
      </c>
      <c r="F1639" s="13" t="s">
        <v>26</v>
      </c>
      <c r="G1639" s="14">
        <v>0.25</v>
      </c>
      <c r="Q1639" s="15"/>
    </row>
    <row r="1640" spans="3:27" hidden="1" outlineLevel="1" x14ac:dyDescent="0.3">
      <c r="C1640" s="18" t="s">
        <v>60</v>
      </c>
      <c r="D1640" s="52">
        <f>分布式光伏电站IRR汇总!$B$22</f>
        <v>4.4999999999999997E-3</v>
      </c>
      <c r="F1640" s="1" t="s">
        <v>44</v>
      </c>
      <c r="G1640" s="4"/>
      <c r="H1640" s="5">
        <v>1</v>
      </c>
      <c r="I1640" s="5">
        <v>2</v>
      </c>
      <c r="J1640" s="5">
        <v>3</v>
      </c>
      <c r="K1640" s="5">
        <v>4</v>
      </c>
      <c r="L1640" s="5">
        <v>5</v>
      </c>
      <c r="M1640" s="5">
        <v>6</v>
      </c>
      <c r="N1640" s="5">
        <v>7</v>
      </c>
      <c r="O1640" s="5">
        <v>8</v>
      </c>
      <c r="P1640" s="5">
        <v>9</v>
      </c>
      <c r="Q1640" s="5">
        <v>10</v>
      </c>
      <c r="R1640" s="5">
        <v>11</v>
      </c>
      <c r="S1640" s="5">
        <v>12</v>
      </c>
      <c r="T1640" s="5">
        <v>13</v>
      </c>
      <c r="U1640" s="5">
        <v>14</v>
      </c>
      <c r="V1640" s="5">
        <v>15</v>
      </c>
      <c r="W1640" s="5">
        <v>16</v>
      </c>
      <c r="X1640" s="5">
        <v>17</v>
      </c>
      <c r="Y1640" s="5">
        <v>18</v>
      </c>
      <c r="Z1640" s="5">
        <v>19</v>
      </c>
      <c r="AA1640" s="5">
        <v>20</v>
      </c>
    </row>
    <row r="1641" spans="3:27" hidden="1" outlineLevel="1" x14ac:dyDescent="0.3">
      <c r="C1641" s="18" t="s">
        <v>28</v>
      </c>
      <c r="D1641" s="29">
        <f>分布式光伏电站IRR汇总!$B$23</f>
        <v>0.04</v>
      </c>
      <c r="F1641" s="16"/>
      <c r="G1641" s="2" t="s">
        <v>0</v>
      </c>
      <c r="H1641" s="2" t="s">
        <v>1</v>
      </c>
      <c r="I1641" s="2" t="s">
        <v>2</v>
      </c>
      <c r="J1641" s="2" t="s">
        <v>3</v>
      </c>
      <c r="K1641" s="2" t="s">
        <v>4</v>
      </c>
      <c r="L1641" s="2" t="s">
        <v>5</v>
      </c>
      <c r="M1641" s="2" t="s">
        <v>6</v>
      </c>
      <c r="N1641" s="2" t="s">
        <v>7</v>
      </c>
      <c r="O1641" s="2" t="s">
        <v>8</v>
      </c>
      <c r="P1641" s="2" t="s">
        <v>9</v>
      </c>
      <c r="Q1641" s="2" t="s">
        <v>10</v>
      </c>
      <c r="R1641" s="2" t="s">
        <v>11</v>
      </c>
      <c r="S1641" s="2" t="s">
        <v>12</v>
      </c>
      <c r="T1641" s="2" t="s">
        <v>13</v>
      </c>
      <c r="U1641" s="2" t="s">
        <v>45</v>
      </c>
      <c r="V1641" s="2" t="s">
        <v>46</v>
      </c>
      <c r="W1641" s="2" t="s">
        <v>47</v>
      </c>
      <c r="X1641" s="2" t="s">
        <v>48</v>
      </c>
      <c r="Y1641" s="2" t="s">
        <v>49</v>
      </c>
      <c r="Z1641" s="2" t="s">
        <v>50</v>
      </c>
      <c r="AA1641" s="2" t="s">
        <v>51</v>
      </c>
    </row>
    <row r="1642" spans="3:27" hidden="1" outlineLevel="1" x14ac:dyDescent="0.3">
      <c r="C1642" s="18" t="s">
        <v>43</v>
      </c>
      <c r="D1642" s="19">
        <f>分布式光伏电站IRR汇总!$B$24</f>
        <v>0.05</v>
      </c>
      <c r="F1642" s="6" t="s">
        <v>14</v>
      </c>
      <c r="G1642" s="33">
        <f>D1644</f>
        <v>24.611999999999995</v>
      </c>
      <c r="H1642" s="33"/>
      <c r="I1642" s="33"/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  <c r="T1642" s="33"/>
      <c r="U1642" s="33"/>
      <c r="V1642" s="33"/>
      <c r="W1642" s="33"/>
      <c r="X1642" s="33"/>
      <c r="Y1642" s="33"/>
      <c r="Z1642" s="33"/>
      <c r="AA1642" s="33"/>
    </row>
    <row r="1643" spans="3:27" hidden="1" outlineLevel="1" x14ac:dyDescent="0.3">
      <c r="C1643" s="18" t="s">
        <v>126</v>
      </c>
      <c r="D1643" s="28">
        <f>Backup分地区光伏小时数及电价!E36</f>
        <v>993</v>
      </c>
      <c r="F1643" s="6" t="s">
        <v>15</v>
      </c>
      <c r="G1643" s="33">
        <f>SUM(H1644:AA1644)</f>
        <v>23.381399999999985</v>
      </c>
      <c r="H1643" s="33"/>
      <c r="I1643" s="33"/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  <c r="T1643" s="33"/>
      <c r="U1643" s="33"/>
      <c r="V1643" s="33"/>
      <c r="W1643" s="33"/>
      <c r="X1643" s="33"/>
      <c r="Y1643" s="33"/>
      <c r="Z1643" s="33"/>
      <c r="AA1643" s="33"/>
    </row>
    <row r="1644" spans="3:27" hidden="1" outlineLevel="1" x14ac:dyDescent="0.3">
      <c r="C1644" s="24" t="s">
        <v>14</v>
      </c>
      <c r="D1644" s="30">
        <f>D1620*D1625</f>
        <v>24.611999999999995</v>
      </c>
      <c r="F1644" s="7" t="s">
        <v>16</v>
      </c>
      <c r="G1644" s="33"/>
      <c r="H1644" s="33">
        <f>D1644*(1-D1642)/D1638/((1+G1638)^H1640)</f>
        <v>1.1690699999999996</v>
      </c>
      <c r="I1644" s="33">
        <f>D1644*(1-D1642)/D1638/((1+G1638)^I1640)</f>
        <v>1.1690699999999996</v>
      </c>
      <c r="J1644" s="33">
        <f>D1644*(1-D1642)/D1638/((1+G1638)^J1640)</f>
        <v>1.1690699999999996</v>
      </c>
      <c r="K1644" s="33">
        <f>D1644*(1-D1642)/D1638/((1+G1638)^K1640)</f>
        <v>1.1690699999999996</v>
      </c>
      <c r="L1644" s="33">
        <f>D1644*(1-D1642)/D1638/((1+G1638)^L1640)</f>
        <v>1.1690699999999996</v>
      </c>
      <c r="M1644" s="33">
        <f>D1644*(1-D1642)/D1638/((1+G1638)^M1640)</f>
        <v>1.1690699999999996</v>
      </c>
      <c r="N1644" s="33">
        <f>D1644*(1-D1642)/D1638/((1+G1638)^N1640)</f>
        <v>1.1690699999999996</v>
      </c>
      <c r="O1644" s="33">
        <f>D1644*(1-D1642)/D1638/((1+G1638)^O1640)</f>
        <v>1.1690699999999996</v>
      </c>
      <c r="P1644" s="33">
        <f>D1644*(1-D1642)/D1638/((1+G1638)^P1640)</f>
        <v>1.1690699999999996</v>
      </c>
      <c r="Q1644" s="33">
        <f>D1644*(1-D1642)/D1638/((1+G1638)^Q1640)</f>
        <v>1.1690699999999996</v>
      </c>
      <c r="R1644" s="33">
        <f>D1644*(1-D1642)/D1638/((1+G1638)^R1640)</f>
        <v>1.1690699999999996</v>
      </c>
      <c r="S1644" s="33">
        <f>D1644*(1-D1642)/D1638/((1+G1638)^S1640)</f>
        <v>1.1690699999999996</v>
      </c>
      <c r="T1644" s="33">
        <f>D1644*(1-D1642)/D1638/((1+G1638)^T1640)</f>
        <v>1.1690699999999996</v>
      </c>
      <c r="U1644" s="33">
        <f>D1644*(1-D1642)/D1638/((1+G1638)^U1640)</f>
        <v>1.1690699999999996</v>
      </c>
      <c r="V1644" s="33">
        <f>D1644*(1-D1642)/D1638/((1+G1638)^V1640)</f>
        <v>1.1690699999999996</v>
      </c>
      <c r="W1644" s="33">
        <f>D1644*(1-D1642)/D1638/((1+G1638)^W1640)</f>
        <v>1.1690699999999996</v>
      </c>
      <c r="X1644" s="33">
        <f>D1644*(1-D1642)/D1638/((1+G1638)^X1640)</f>
        <v>1.1690699999999996</v>
      </c>
      <c r="Y1644" s="33">
        <f>D1644*(1-D1642)/D1638/((1+G1638)^Y1640)</f>
        <v>1.1690699999999996</v>
      </c>
      <c r="Z1644" s="33">
        <f>D1644*(1-D1642)/D1638/((1+G1638)^Z1640)</f>
        <v>1.1690699999999996</v>
      </c>
      <c r="AA1644" s="33">
        <f>D1644*(1-D1642)/D1638/((1+G1638)^AA1640)</f>
        <v>1.1690699999999996</v>
      </c>
    </row>
    <row r="1645" spans="3:27" hidden="1" outlineLevel="1" x14ac:dyDescent="0.3">
      <c r="C1645" s="18" t="s">
        <v>29</v>
      </c>
      <c r="D1645" s="29">
        <v>0.35980000000000001</v>
      </c>
      <c r="F1645" s="6" t="s">
        <v>17</v>
      </c>
      <c r="G1645" s="33">
        <f>SUM(H1646:AA1646)</f>
        <v>4.8000000000000025</v>
      </c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  <c r="AA1645" s="33"/>
    </row>
    <row r="1646" spans="3:27" hidden="1" outlineLevel="1" x14ac:dyDescent="0.3">
      <c r="C1646" s="18" t="s">
        <v>30</v>
      </c>
      <c r="D1646" s="31">
        <f>Backup分地区光伏小时数及电价!I36</f>
        <v>0.75861542999999998</v>
      </c>
      <c r="F1646" s="7" t="s">
        <v>18</v>
      </c>
      <c r="G1646" s="33"/>
      <c r="H1646" s="33">
        <f>D1641*D1620/((1+G1638)^H1640)</f>
        <v>0.24</v>
      </c>
      <c r="I1646" s="33">
        <f>D1641*D1620/((1+G1638)^I1640)</f>
        <v>0.24</v>
      </c>
      <c r="J1646" s="33">
        <f>D1641*D1620/((1+G1638)^J1640)</f>
        <v>0.24</v>
      </c>
      <c r="K1646" s="33">
        <f>D1641*D1620/((1+G1638)^K1640)</f>
        <v>0.24</v>
      </c>
      <c r="L1646" s="33">
        <f>D1641*D1620/((1+G1638)^L1640)</f>
        <v>0.24</v>
      </c>
      <c r="M1646" s="33">
        <f>D1641*D1620/((1+G1638)^M1640)</f>
        <v>0.24</v>
      </c>
      <c r="N1646" s="33">
        <f>D1641*D1620/((1+G1638)^N1640)</f>
        <v>0.24</v>
      </c>
      <c r="O1646" s="33">
        <f>D1641*D1620/((1+G1638)^O1640)</f>
        <v>0.24</v>
      </c>
      <c r="P1646" s="33">
        <f>D1641*D1620/((1+G1638)^P1640)</f>
        <v>0.24</v>
      </c>
      <c r="Q1646" s="33">
        <f>D1641*D1620/((1+G1638)^Q1640)</f>
        <v>0.24</v>
      </c>
      <c r="R1646" s="33">
        <f>D1641*D1620/((1+G1638)^R1640)</f>
        <v>0.24</v>
      </c>
      <c r="S1646" s="33">
        <f>D1641*D1620/((1+G1638)^S1640)</f>
        <v>0.24</v>
      </c>
      <c r="T1646" s="33">
        <f>D1641*D1620/((1+G1638)^T1640)</f>
        <v>0.24</v>
      </c>
      <c r="U1646" s="33">
        <f>D1641*D1620/((1+G1638)^U1640)</f>
        <v>0.24</v>
      </c>
      <c r="V1646" s="33">
        <f>D1641*D1620/((1+G1638)^V1640)</f>
        <v>0.24</v>
      </c>
      <c r="W1646" s="33">
        <f>D1641*D1620/((1+G1638)^W1640)</f>
        <v>0.24</v>
      </c>
      <c r="X1646" s="33">
        <f>D1641*D1620/((1+G1638)^X1640)</f>
        <v>0.24</v>
      </c>
      <c r="Y1646" s="33">
        <f>D1641*D1620/((1+G1638)^Y1640)</f>
        <v>0.24</v>
      </c>
      <c r="Z1646" s="33">
        <f>D1641*D1620/((1+G1638)^Z1640)</f>
        <v>0.24</v>
      </c>
      <c r="AA1646" s="33">
        <f>D1641*D1620/((1+G1638)^AA1640)</f>
        <v>0.24</v>
      </c>
    </row>
    <row r="1647" spans="3:27" hidden="1" outlineLevel="1" x14ac:dyDescent="0.3">
      <c r="C1647" s="18" t="s">
        <v>70</v>
      </c>
      <c r="D1647" s="32">
        <f>分布式光伏电站IRR汇总!$B$27</f>
        <v>1</v>
      </c>
      <c r="F1647" s="6" t="s">
        <v>19</v>
      </c>
      <c r="G1647" s="33"/>
      <c r="H1647" s="33"/>
      <c r="I1647" s="33"/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  <c r="T1647" s="33"/>
      <c r="U1647" s="33"/>
      <c r="V1647" s="33"/>
      <c r="W1647" s="33"/>
      <c r="X1647" s="33"/>
      <c r="Y1647" s="33"/>
      <c r="Z1647" s="33"/>
      <c r="AA1647" s="33">
        <f>D1641*D1644/((1+G1638)^AA1640)</f>
        <v>0.9844799999999998</v>
      </c>
    </row>
    <row r="1648" spans="3:27" hidden="1" outlineLevel="1" x14ac:dyDescent="0.3">
      <c r="C1648" s="18" t="s">
        <v>69</v>
      </c>
      <c r="D1648" s="31">
        <f>D1647*D1646</f>
        <v>0.75861542999999998</v>
      </c>
      <c r="F1648" s="8" t="s">
        <v>64</v>
      </c>
      <c r="G1648" s="33">
        <f>SUM(H1649:AA1649)</f>
        <v>96919.983679944155</v>
      </c>
      <c r="H1648" s="33"/>
      <c r="I1648" s="33"/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  <c r="T1648" s="33"/>
      <c r="U1648" s="33"/>
      <c r="V1648" s="33"/>
      <c r="W1648" s="33"/>
      <c r="X1648" s="33"/>
      <c r="Y1648" s="33"/>
      <c r="Z1648" s="33"/>
      <c r="AA1648" s="33"/>
    </row>
    <row r="1649" spans="2:27" hidden="1" outlineLevel="1" x14ac:dyDescent="0.3">
      <c r="C1649" s="18" t="s">
        <v>31</v>
      </c>
      <c r="D1649" s="27">
        <v>0</v>
      </c>
      <c r="F1649" s="9" t="s">
        <v>65</v>
      </c>
      <c r="G1649" s="33"/>
      <c r="H1649" s="33">
        <f>D1620*D1637*(1-D1639)*D1643/((1+G1638)^H1640)</f>
        <v>5056.4354399999993</v>
      </c>
      <c r="I1649" s="33">
        <f>D1620*D1637*(1-D1639)*(1-D1640)^(I1640-1)*D1643/((1+G1638)^I1640)</f>
        <v>5033.6814805199992</v>
      </c>
      <c r="J1649" s="33">
        <f>D1620*D1637*(1-D1639)*(1-D1640)^(J1640-1)*D1643/((1+G1638)^J1640)</f>
        <v>5011.0299138576602</v>
      </c>
      <c r="K1649" s="33">
        <f>D1620*D1637*(1-D1639)*(1-D1640)^(K1640-1)*D1643/((1+G1638)^K1640)</f>
        <v>4988.4802792453011</v>
      </c>
      <c r="L1649" s="33">
        <f>D1620*D1637*(1-D1639)*(1-D1640)^(L1640-1)*D1643/((1+G1638)^L1640)</f>
        <v>4966.0321179886978</v>
      </c>
      <c r="M1649" s="33">
        <f>D1620*D1637*(1-D1639)*(1-D1640)^(M1640-1)*D1643/((1+G1638)^M1640)</f>
        <v>4943.684973457749</v>
      </c>
      <c r="N1649" s="33">
        <f>D1620*D1637*(1-D1639)*(1-D1640)^(N1640-1)*D1643/((1+G1638)^N1640)</f>
        <v>4921.4383910771894</v>
      </c>
      <c r="O1649" s="33">
        <f>D1620*D1637*(1-D1639)*(1-D1640)^(O1640-1)*D1643/((1+G1638)^O1640)</f>
        <v>4899.2919183173417</v>
      </c>
      <c r="P1649" s="33">
        <f>D1620*D1637*(1-D1639)*(1-D1640)^(P1640-1)*D1643/((1+G1638)^P1640)</f>
        <v>4877.2451046849137</v>
      </c>
      <c r="Q1649" s="33">
        <f>D1620*D1637*(1-D1639)*(1-D1640)^(Q1640-1)*D1643/((1+G1638)^Q1640)</f>
        <v>4855.2975017138324</v>
      </c>
      <c r="R1649" s="33">
        <f>D1620*D1637*(1-D1639)*(1-D1640)^(R1640-1)*D1643/((1+G1638)^R1640)</f>
        <v>4833.4486629561206</v>
      </c>
      <c r="S1649" s="33">
        <f>D1620*D1637*(1-D1639)*(1-D1640)^(S1640-1)*D1643/((1+G1638)^S1640)</f>
        <v>4811.6981439728179</v>
      </c>
      <c r="T1649" s="33">
        <f>D1620*D1637*(1-D1639)*(1-D1640)^(T1640-1)*D1643/((1+G1638)^T1640)</f>
        <v>4790.0455023249415</v>
      </c>
      <c r="U1649" s="33">
        <f>D1620*D1637*(1-D1639)*(1-D1640)^(U1640-1)*D1643/((1+G1638)^U1640)</f>
        <v>4768.4902975644791</v>
      </c>
      <c r="V1649" s="33">
        <f>D1620*D1637*(1-D1639)*(1-D1640)^(V1640-1)*D1643/((1+G1638)^V1640)</f>
        <v>4747.0320912254383</v>
      </c>
      <c r="W1649" s="33">
        <f>D1620*D1637*(1-D1639)*(1-D1640)^(W1640-1)*D1643/((1+G1638)^W1640)</f>
        <v>4725.6704468149246</v>
      </c>
      <c r="X1649" s="33">
        <f>D1620*D1637*(1-D1639)*(1-D1640)^(X1640-1)*D1643/((1+G1638)^X1640)</f>
        <v>4704.4049298042582</v>
      </c>
      <c r="Y1649" s="33">
        <f>D1620*D1637*(1-D1639)*(1-D1640)^(Y1640-1)*D1643/((1+G1638)^Y1640)</f>
        <v>4683.2351076201385</v>
      </c>
      <c r="Z1649" s="33">
        <f>D1620*D1637*(1-D1639)*(1-D1640)^(Z1640-1)*D1643/((1+G1638)^Z1640)</f>
        <v>4662.1605496358488</v>
      </c>
      <c r="AA1649" s="33">
        <f>D1620*D1637*(1-D1639)*(1-D1640)^(AA1640-1)*D1643/((1+G1638)^AA1640)</f>
        <v>4641.1808271624877</v>
      </c>
    </row>
    <row r="1650" spans="2:27" hidden="1" outlineLevel="1" x14ac:dyDescent="0.3">
      <c r="F1650" s="4" t="s">
        <v>66</v>
      </c>
      <c r="G1650" s="33">
        <f>SUM(H1651:AA1651)</f>
        <v>73.524995094953809</v>
      </c>
      <c r="H1650" s="33"/>
      <c r="I1650" s="33"/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  <c r="T1650" s="33"/>
      <c r="U1650" s="33"/>
      <c r="V1650" s="33"/>
      <c r="W1650" s="33"/>
      <c r="X1650" s="33"/>
      <c r="Y1650" s="33"/>
      <c r="Z1650" s="33"/>
      <c r="AA1650" s="33"/>
    </row>
    <row r="1651" spans="2:27" hidden="1" outlineLevel="1" x14ac:dyDescent="0.3">
      <c r="F1651" s="7" t="s">
        <v>67</v>
      </c>
      <c r="G1651" s="33"/>
      <c r="H1651" s="33">
        <f>H1649*D1648/1000</f>
        <v>3.8358899455828386</v>
      </c>
      <c r="I1651" s="33">
        <f>I1649*D1648/1000</f>
        <v>3.8186284408277156</v>
      </c>
      <c r="J1651" s="33">
        <f>J1649*D1648/1000</f>
        <v>3.8014446128439916</v>
      </c>
      <c r="K1651" s="33">
        <f>K1649*D1648/1000</f>
        <v>3.7843381120861941</v>
      </c>
      <c r="L1651" s="33">
        <f>L1649*D1648/1000</f>
        <v>3.7673085905818064</v>
      </c>
      <c r="M1651" s="33">
        <f>M1649*D1648/1000</f>
        <v>3.7503557019241889</v>
      </c>
      <c r="N1651" s="33">
        <f>N1649*D1648/1000</f>
        <v>3.7334791012655302</v>
      </c>
      <c r="O1651" s="33">
        <f>O1649*D1648/1000</f>
        <v>3.7166784453098347</v>
      </c>
      <c r="P1651" s="33">
        <f>P1649*D1648/1000</f>
        <v>3.6999533923059409</v>
      </c>
      <c r="Q1651" s="33">
        <f>Q1649*D1648/1000</f>
        <v>3.683303602040565</v>
      </c>
      <c r="R1651" s="33">
        <f>R1649*D1648/1000</f>
        <v>3.6667287358313825</v>
      </c>
      <c r="S1651" s="33">
        <f>S1649*D1648/1000</f>
        <v>3.6502284565201411</v>
      </c>
      <c r="T1651" s="33">
        <f>T1649*D1648/1000</f>
        <v>3.6338024284658013</v>
      </c>
      <c r="U1651" s="33">
        <f>U1649*D1648/1000</f>
        <v>3.6174503175377053</v>
      </c>
      <c r="V1651" s="33">
        <f>V1649*D1648/1000</f>
        <v>3.601171791108785</v>
      </c>
      <c r="W1651" s="33">
        <f>W1649*D1648/1000</f>
        <v>3.584966518048796</v>
      </c>
      <c r="X1651" s="33">
        <f>X1649*D1648/1000</f>
        <v>3.5688341687175771</v>
      </c>
      <c r="Y1651" s="33">
        <f>Y1649*D1648/1000</f>
        <v>3.5527744149583476</v>
      </c>
      <c r="Z1651" s="33">
        <f>Z1649*D1648/1000</f>
        <v>3.5367869300910355</v>
      </c>
      <c r="AA1651" s="33">
        <f>AA1649*D1648/1000</f>
        <v>3.520871388905626</v>
      </c>
    </row>
    <row r="1652" spans="2:27" hidden="1" outlineLevel="1" x14ac:dyDescent="0.3">
      <c r="F1652" s="4" t="s">
        <v>20</v>
      </c>
      <c r="G1652" s="33">
        <f>SUM(H1653:AA1653)</f>
        <v>11.335898773738453</v>
      </c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  <c r="Z1652" s="33"/>
      <c r="AA1652" s="33"/>
    </row>
    <row r="1653" spans="2:27" hidden="1" outlineLevel="1" x14ac:dyDescent="0.3">
      <c r="F1653" s="7" t="s">
        <v>21</v>
      </c>
      <c r="G1653" s="33"/>
      <c r="H1653" s="33">
        <f>(H1651-H1644-H1646)*G1639</f>
        <v>0.60670498639570969</v>
      </c>
      <c r="I1653" s="33">
        <f>(I1651-I1644-I1646)*G1639</f>
        <v>0.60238961020692905</v>
      </c>
      <c r="J1653" s="33">
        <f>(J1651-J1644-J1646)*G1639</f>
        <v>0.59809365321099794</v>
      </c>
      <c r="K1653" s="33">
        <f>(K1651-K1644-K1646)*G1639</f>
        <v>0.59381702802154868</v>
      </c>
      <c r="L1653" s="33">
        <f>(L1651-L1644-L1646)*G1639</f>
        <v>0.58955964764545166</v>
      </c>
      <c r="M1653" s="33">
        <f>(M1651-M1644-M1646)*G1639</f>
        <v>0.58532142548104726</v>
      </c>
      <c r="N1653" s="33">
        <f>(N1651-N1644-N1646)*G1639</f>
        <v>0.58110227531638259</v>
      </c>
      <c r="O1653" s="33">
        <f>(O1651-O1644-O1646)*G1639</f>
        <v>0.57690211132745883</v>
      </c>
      <c r="P1653" s="33">
        <f>(P1651-P1644-P1646)*G1639</f>
        <v>0.57272084807648538</v>
      </c>
      <c r="Q1653" s="33">
        <f>(Q1651-Q1644-Q1646)*G1639</f>
        <v>0.56855840051014139</v>
      </c>
      <c r="R1653" s="33">
        <f>(R1651-R1644-R1646)*G1639</f>
        <v>0.56441468395784566</v>
      </c>
      <c r="S1653" s="33">
        <f>(S1651-S1644-S1646)*G1639</f>
        <v>0.56028961413003531</v>
      </c>
      <c r="T1653" s="33">
        <f>(T1651-T1644-T1646)*G1639</f>
        <v>0.55618310711645047</v>
      </c>
      <c r="U1653" s="33">
        <f>(U1651-U1644-U1646)*G1639</f>
        <v>0.55209507938442637</v>
      </c>
      <c r="V1653" s="33">
        <f>(V1651-V1644-V1646)*G1639</f>
        <v>0.54802544777719642</v>
      </c>
      <c r="W1653" s="33">
        <f>(W1651-W1644-W1646)*G1639</f>
        <v>0.54397412951219914</v>
      </c>
      <c r="X1653" s="33">
        <f>(X1651-X1644-X1646)*G1639</f>
        <v>0.53994104217939443</v>
      </c>
      <c r="Y1653" s="33">
        <f>(Y1651-Y1644-Y1646)*G1639</f>
        <v>0.53592610373958705</v>
      </c>
      <c r="Z1653" s="33">
        <f>(Z1651-Z1644-Z1646)*G1639</f>
        <v>0.53192923252275892</v>
      </c>
      <c r="AA1653" s="33">
        <f>(AA1651-AA1644-AA1646)*G1639</f>
        <v>0.52795034722640666</v>
      </c>
    </row>
    <row r="1654" spans="2:27" hidden="1" outlineLevel="1" x14ac:dyDescent="0.3">
      <c r="F1654" s="10" t="s">
        <v>22</v>
      </c>
      <c r="G1654" s="33">
        <f>-G1642</f>
        <v>-24.611999999999995</v>
      </c>
      <c r="H1654" s="33">
        <f>H1651-H1653-H1646</f>
        <v>2.9891849591871287</v>
      </c>
      <c r="I1654" s="33">
        <f t="shared" ref="I1654" si="611">I1651-I1653-I1646</f>
        <v>2.9762388306207868</v>
      </c>
      <c r="J1654" s="33">
        <f t="shared" ref="J1654" si="612">J1651-J1653-J1646</f>
        <v>2.9633509596329937</v>
      </c>
      <c r="K1654" s="33">
        <f t="shared" ref="K1654" si="613">K1651-K1653-K1646</f>
        <v>2.9505210840646452</v>
      </c>
      <c r="L1654" s="33">
        <f t="shared" ref="L1654" si="614">L1651-L1653-L1646</f>
        <v>2.9377489429363548</v>
      </c>
      <c r="M1654" s="33">
        <f t="shared" ref="M1654" si="615">M1651-M1653-M1646</f>
        <v>2.9250342764431414</v>
      </c>
      <c r="N1654" s="33">
        <f t="shared" ref="N1654" si="616">N1651-N1653-N1646</f>
        <v>2.9123768259491474</v>
      </c>
      <c r="O1654" s="33">
        <f t="shared" ref="O1654" si="617">O1651-O1653-O1646</f>
        <v>2.8997763339823761</v>
      </c>
      <c r="P1654" s="33">
        <f t="shared" ref="P1654" si="618">P1651-P1653-P1646</f>
        <v>2.8872325442294553</v>
      </c>
      <c r="Q1654" s="33">
        <f t="shared" ref="Q1654" si="619">Q1651-Q1653-Q1646</f>
        <v>2.8747452015304233</v>
      </c>
      <c r="R1654" s="33">
        <f t="shared" ref="R1654" si="620">R1651-R1653-R1646</f>
        <v>2.862314051873537</v>
      </c>
      <c r="S1654" s="33">
        <f t="shared" ref="S1654" si="621">S1651-S1653-S1646</f>
        <v>2.849938842390106</v>
      </c>
      <c r="T1654" s="33">
        <f t="shared" ref="T1654" si="622">T1651-T1653-T1646</f>
        <v>2.8376193213493508</v>
      </c>
      <c r="U1654" s="33">
        <f t="shared" ref="U1654" si="623">U1651-U1653-U1646</f>
        <v>2.8253552381532785</v>
      </c>
      <c r="V1654" s="33">
        <f t="shared" ref="V1654" si="624">V1651-V1653-V1646</f>
        <v>2.8131463433315886</v>
      </c>
      <c r="W1654" s="33">
        <f t="shared" ref="W1654" si="625">W1651-W1653-W1646</f>
        <v>2.8009923885365966</v>
      </c>
      <c r="X1654" s="33">
        <f t="shared" ref="X1654" si="626">X1651-X1653-X1646</f>
        <v>2.7888931265381824</v>
      </c>
      <c r="Y1654" s="33">
        <f t="shared" ref="Y1654" si="627">Y1651-Y1653-Y1646</f>
        <v>2.7768483112187603</v>
      </c>
      <c r="Z1654" s="33">
        <f t="shared" ref="Z1654" si="628">Z1651-Z1653-Z1646</f>
        <v>2.7648576975682762</v>
      </c>
      <c r="AA1654" s="33">
        <f t="shared" ref="AA1654" si="629">AA1651-AA1653-AA1646</f>
        <v>2.7529210416792189</v>
      </c>
    </row>
    <row r="1655" spans="2:27" ht="13.5" hidden="1" outlineLevel="1" thickBot="1" x14ac:dyDescent="0.35">
      <c r="F1655" s="3" t="s">
        <v>68</v>
      </c>
      <c r="G1655" s="40">
        <f>IRR(G1654:AA1654)</f>
        <v>0.10081513666927067</v>
      </c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</row>
    <row r="1656" spans="2:27" ht="13.5" collapsed="1" thickTop="1" x14ac:dyDescent="0.3"/>
    <row r="1657" spans="2:27" x14ac:dyDescent="0.3">
      <c r="B1657" s="11" t="s">
        <v>178</v>
      </c>
      <c r="C1657" s="11" t="s">
        <v>52</v>
      </c>
    </row>
    <row r="1658" spans="2:27" x14ac:dyDescent="0.3">
      <c r="C1658" s="11" t="s">
        <v>141</v>
      </c>
      <c r="D1658" s="54">
        <f>D1689</f>
        <v>917</v>
      </c>
    </row>
    <row r="1659" spans="2:27" x14ac:dyDescent="0.3">
      <c r="C1659" s="16" t="s">
        <v>78</v>
      </c>
      <c r="D1659" s="37">
        <f>(G1688+G1691+G1698)/G1694*1000</f>
        <v>0.41853085358982689</v>
      </c>
    </row>
    <row r="1660" spans="2:27" x14ac:dyDescent="0.3">
      <c r="C1660" s="13" t="s">
        <v>77</v>
      </c>
      <c r="D1660" s="39">
        <f>(G1669+G1672+G1679)/G1675*1000</f>
        <v>0.64613692176192083</v>
      </c>
    </row>
    <row r="1661" spans="2:27" x14ac:dyDescent="0.3">
      <c r="C1661" s="13" t="s">
        <v>61</v>
      </c>
      <c r="D1661" s="36">
        <f>G1682</f>
        <v>3.2421039300809022E-2</v>
      </c>
    </row>
    <row r="1662" spans="2:27" x14ac:dyDescent="0.3">
      <c r="C1662" s="13" t="s">
        <v>73</v>
      </c>
      <c r="D1662" s="25">
        <f>SUM(G1681:AA1681)</f>
        <v>0.79794661927151145</v>
      </c>
    </row>
    <row r="1663" spans="2:27" ht="13.5" thickBot="1" x14ac:dyDescent="0.35">
      <c r="C1663" s="23" t="s">
        <v>68</v>
      </c>
      <c r="D1663" s="26">
        <f>G1701</f>
        <v>7.4208781480988861E-2</v>
      </c>
    </row>
    <row r="1664" spans="2:27" ht="13.5" hidden="1" outlineLevel="1" thickTop="1" x14ac:dyDescent="0.3">
      <c r="E1664" s="20"/>
      <c r="F1664" s="38" t="s">
        <v>75</v>
      </c>
    </row>
    <row r="1665" spans="3:27" hidden="1" outlineLevel="1" x14ac:dyDescent="0.3">
      <c r="C1665" s="11" t="s">
        <v>71</v>
      </c>
      <c r="F1665" s="13" t="s">
        <v>25</v>
      </c>
      <c r="G1665" s="14">
        <v>7.0000000000000007E-2</v>
      </c>
    </row>
    <row r="1666" spans="3:27" hidden="1" outlineLevel="1" x14ac:dyDescent="0.3">
      <c r="C1666" s="18" t="s">
        <v>53</v>
      </c>
      <c r="D1666" s="19">
        <f>分布式光伏电站IRR汇总!$B$2</f>
        <v>6</v>
      </c>
      <c r="F1666" s="13" t="s">
        <v>26</v>
      </c>
      <c r="G1666" s="14">
        <v>0.25</v>
      </c>
    </row>
    <row r="1667" spans="3:27" hidden="1" outlineLevel="1" x14ac:dyDescent="0.3">
      <c r="C1667" s="18" t="s">
        <v>56</v>
      </c>
      <c r="D1667" s="19">
        <f>分布式光伏电站IRR汇总!$B$3</f>
        <v>120</v>
      </c>
      <c r="F1667" s="1" t="s">
        <v>44</v>
      </c>
      <c r="G1667" s="4"/>
      <c r="H1667" s="5">
        <v>1</v>
      </c>
      <c r="I1667" s="5">
        <v>2</v>
      </c>
      <c r="J1667" s="5">
        <v>3</v>
      </c>
      <c r="K1667" s="5">
        <v>4</v>
      </c>
      <c r="L1667" s="5">
        <v>5</v>
      </c>
      <c r="M1667" s="5">
        <v>6</v>
      </c>
      <c r="N1667" s="5">
        <v>7</v>
      </c>
      <c r="O1667" s="5">
        <v>8</v>
      </c>
      <c r="P1667" s="5">
        <v>9</v>
      </c>
      <c r="Q1667" s="5">
        <v>10</v>
      </c>
      <c r="R1667" s="5">
        <v>11</v>
      </c>
      <c r="S1667" s="5">
        <v>12</v>
      </c>
      <c r="T1667" s="5">
        <v>13</v>
      </c>
      <c r="U1667" s="5">
        <v>14</v>
      </c>
      <c r="V1667" s="5">
        <v>15</v>
      </c>
      <c r="W1667" s="5">
        <v>16</v>
      </c>
      <c r="X1667" s="5">
        <v>17</v>
      </c>
      <c r="Y1667" s="5">
        <v>18</v>
      </c>
      <c r="Z1667" s="5">
        <v>19</v>
      </c>
      <c r="AA1667" s="5">
        <v>20</v>
      </c>
    </row>
    <row r="1668" spans="3:27" hidden="1" outlineLevel="1" x14ac:dyDescent="0.3">
      <c r="C1668" s="18" t="s">
        <v>57</v>
      </c>
      <c r="D1668" s="19">
        <f>分布式光伏电站IRR汇总!$B$4</f>
        <v>3</v>
      </c>
      <c r="F1668" s="16"/>
      <c r="G1668" s="2" t="s">
        <v>0</v>
      </c>
      <c r="H1668" s="2" t="s">
        <v>1</v>
      </c>
      <c r="I1668" s="2" t="s">
        <v>2</v>
      </c>
      <c r="J1668" s="2" t="s">
        <v>3</v>
      </c>
      <c r="K1668" s="2" t="s">
        <v>4</v>
      </c>
      <c r="L1668" s="2" t="s">
        <v>5</v>
      </c>
      <c r="M1668" s="2" t="s">
        <v>6</v>
      </c>
      <c r="N1668" s="2" t="s">
        <v>7</v>
      </c>
      <c r="O1668" s="2" t="s">
        <v>8</v>
      </c>
      <c r="P1668" s="2" t="s">
        <v>9</v>
      </c>
      <c r="Q1668" s="2" t="s">
        <v>10</v>
      </c>
      <c r="R1668" s="2" t="s">
        <v>11</v>
      </c>
      <c r="S1668" s="2" t="s">
        <v>12</v>
      </c>
      <c r="T1668" s="2" t="s">
        <v>13</v>
      </c>
      <c r="U1668" s="2" t="s">
        <v>45</v>
      </c>
      <c r="V1668" s="2" t="s">
        <v>46</v>
      </c>
      <c r="W1668" s="2" t="s">
        <v>47</v>
      </c>
      <c r="X1668" s="2" t="s">
        <v>48</v>
      </c>
      <c r="Y1668" s="2" t="s">
        <v>49</v>
      </c>
      <c r="Z1668" s="2" t="s">
        <v>50</v>
      </c>
      <c r="AA1668" s="2" t="s">
        <v>127</v>
      </c>
    </row>
    <row r="1669" spans="3:27" hidden="1" outlineLevel="1" x14ac:dyDescent="0.3">
      <c r="C1669" s="18" t="s">
        <v>54</v>
      </c>
      <c r="D1669" s="19">
        <f>分布式光伏电站IRR汇总!$B$5</f>
        <v>5</v>
      </c>
      <c r="F1669" s="6" t="s">
        <v>14</v>
      </c>
      <c r="G1669" s="33">
        <f>D1690</f>
        <v>24.611999999999995</v>
      </c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</row>
    <row r="1670" spans="3:27" hidden="1" outlineLevel="1" x14ac:dyDescent="0.3">
      <c r="C1670" s="18" t="s">
        <v>55</v>
      </c>
      <c r="D1670" s="19">
        <f>分布式光伏电站IRR汇总!$B$6</f>
        <v>15</v>
      </c>
      <c r="F1670" s="6" t="s">
        <v>15</v>
      </c>
      <c r="G1670" s="33">
        <f>SUM(H1671:AA1671)</f>
        <v>12.385144234005573</v>
      </c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3"/>
      <c r="W1670" s="33"/>
      <c r="X1670" s="33"/>
      <c r="Y1670" s="33"/>
      <c r="Z1670" s="33"/>
      <c r="AA1670" s="33"/>
    </row>
    <row r="1671" spans="3:27" hidden="1" outlineLevel="1" x14ac:dyDescent="0.3">
      <c r="C1671" s="18" t="s">
        <v>42</v>
      </c>
      <c r="D1671" s="19">
        <f>分布式光伏电站IRR汇总!$B$7</f>
        <v>4.1019999999999994</v>
      </c>
      <c r="F1671" s="7" t="s">
        <v>16</v>
      </c>
      <c r="G1671" s="33"/>
      <c r="H1671" s="33">
        <f>D1690*(1-D1688)/D1684/((1+G1665)^H1667)</f>
        <v>1.0925887850467286</v>
      </c>
      <c r="I1671" s="33">
        <f>D1690*(1-D1688)/D1684/((1+G1665)^I1667)</f>
        <v>1.0211110140623632</v>
      </c>
      <c r="J1671" s="33">
        <f>D1690*(1-D1688)/D1684/((1+G1665)^J1667)</f>
        <v>0.95430935893678792</v>
      </c>
      <c r="K1671" s="33">
        <f>D1690*(1-D1688)/D1684/((1+G1665)^K1667)</f>
        <v>0.89187790554839996</v>
      </c>
      <c r="L1671" s="33">
        <f>D1690*(1-D1688)/D1684/((1+G1665)^L1667)</f>
        <v>0.83353075284897193</v>
      </c>
      <c r="M1671" s="33">
        <f>D1690*(1-D1688)/D1684/((1+G1665)^M1667)</f>
        <v>0.77900070359717</v>
      </c>
      <c r="N1671" s="33">
        <f>D1690*(1-D1688)/D1684/((1+G1665)^N1667)</f>
        <v>0.72803804074501866</v>
      </c>
      <c r="O1671" s="33">
        <f>D1690*(1-D1688)/D1684/((1+G1665)^O1667)</f>
        <v>0.6804093838738493</v>
      </c>
      <c r="P1671" s="33">
        <f>D1690*(1-D1688)/D1684/((1+G1665)^P1667)</f>
        <v>0.63589662044284967</v>
      </c>
      <c r="Q1671" s="33">
        <f>D1690*(1-D1688)/D1684/((1+G1665)^Q1667)</f>
        <v>0.59429590695593437</v>
      </c>
      <c r="R1671" s="33">
        <f>D1690*(1-D1688)/D1684/((1+G1665)^R1667)</f>
        <v>0.55541673547283577</v>
      </c>
      <c r="S1671" s="33">
        <f>D1690*(1-D1688)/D1684/((1+G1665)^S1667)</f>
        <v>0.51908106118956621</v>
      </c>
      <c r="T1671" s="33">
        <f>D1690*(1-D1688)/D1684/((1+G1665)^T1667)</f>
        <v>0.4851224870930525</v>
      </c>
      <c r="U1671" s="33">
        <f>D1690*(1-D1688)/D1684/((1+G1665)^U1667)</f>
        <v>0.45338550195612387</v>
      </c>
      <c r="V1671" s="33">
        <f>D1690*(1-D1688)/D1684/((1+G1665)^V1667)</f>
        <v>0.4237247681832933</v>
      </c>
      <c r="W1671" s="33">
        <f>D1690*(1-D1688)/D1684/((1+G1665)^W1667)</f>
        <v>0.39600445624606856</v>
      </c>
      <c r="X1671" s="33">
        <f>D1690*(1-D1688)/D1684/((1+G1665)^X1667)</f>
        <v>0.37009762265987711</v>
      </c>
      <c r="Y1671" s="33">
        <f>D1690*(1-D1688)/D1684/((1+G1665)^Y1667)</f>
        <v>0.34588562865409078</v>
      </c>
      <c r="Z1671" s="33">
        <f>D1690*(1-D1688)/D1684/((1+G1665)^Z1667)</f>
        <v>0.323257596872982</v>
      </c>
      <c r="AA1671" s="33">
        <f>D1690*(1-D1688)/D1684/((1+G1665)^AA1667)</f>
        <v>0.30210990361960938</v>
      </c>
    </row>
    <row r="1672" spans="3:27" hidden="1" outlineLevel="1" x14ac:dyDescent="0.3">
      <c r="C1672" s="21" t="s">
        <v>32</v>
      </c>
      <c r="D1672" s="19">
        <f>分布式光伏电站IRR汇总!$B$8</f>
        <v>1.8870000000000002</v>
      </c>
      <c r="F1672" s="6" t="s">
        <v>17</v>
      </c>
      <c r="G1672" s="33">
        <f>SUM(H1673:AA1673)</f>
        <v>2.5425634189238777</v>
      </c>
      <c r="H1672" s="33"/>
      <c r="I1672" s="33"/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33"/>
      <c r="AA1672" s="33"/>
    </row>
    <row r="1673" spans="3:27" hidden="1" outlineLevel="1" x14ac:dyDescent="0.3">
      <c r="C1673" s="21" t="s">
        <v>33</v>
      </c>
      <c r="D1673" s="19">
        <f>分布式光伏电站IRR汇总!$B$9</f>
        <v>0.18500000000000003</v>
      </c>
      <c r="F1673" s="7" t="s">
        <v>18</v>
      </c>
      <c r="G1673" s="33"/>
      <c r="H1673" s="33">
        <f>D1687*D1666/((1+G1665)^H1667)</f>
        <v>0.22429906542056072</v>
      </c>
      <c r="I1673" s="33">
        <f>D1687*D1666/((1+G1665)^I1667)</f>
        <v>0.20962529478557079</v>
      </c>
      <c r="J1673" s="33">
        <f>D1687*D1666/((1+G1665)^J1667)</f>
        <v>0.19591149045380446</v>
      </c>
      <c r="K1673" s="33">
        <f>D1687*D1666/((1+G1665)^K1667)</f>
        <v>0.18309485089140604</v>
      </c>
      <c r="L1673" s="33">
        <f>D1687*D1666/((1+G1665)^L1667)</f>
        <v>0.17111668307608041</v>
      </c>
      <c r="M1673" s="33">
        <f>D1687*D1666/((1+G1665)^M1667)</f>
        <v>0.15992213371596301</v>
      </c>
      <c r="N1673" s="33">
        <f>D1687*D1666/((1+G1665)^N1667)</f>
        <v>0.14945993805230187</v>
      </c>
      <c r="O1673" s="33">
        <f>D1687*D1666/((1+G1665)^O1667)</f>
        <v>0.13968218509560923</v>
      </c>
      <c r="P1673" s="33">
        <f>D1687*D1666/((1+G1665)^P1667)</f>
        <v>0.13054409822019553</v>
      </c>
      <c r="Q1673" s="33">
        <f>D1687*D1666/((1+G1665)^Q1667)</f>
        <v>0.12200383011233226</v>
      </c>
      <c r="R1673" s="33">
        <f>D1687*D1666/((1+G1665)^R1667)</f>
        <v>0.1140222711330208</v>
      </c>
      <c r="S1673" s="33">
        <f>D1687*D1666/((1+G1665)^S1667)</f>
        <v>0.10656287021777647</v>
      </c>
      <c r="T1673" s="33">
        <f>D1687*D1666/((1+G1665)^T1667)</f>
        <v>9.9591467493249028E-2</v>
      </c>
      <c r="U1673" s="33">
        <f>D1687*D1666/((1+G1665)^U1667)</f>
        <v>9.3076137844157969E-2</v>
      </c>
      <c r="V1673" s="33">
        <f>D1687*D1666/((1+G1665)^V1667)</f>
        <v>8.6987044714166323E-2</v>
      </c>
      <c r="W1673" s="33">
        <f>D1687*D1666/((1+G1665)^W1667)</f>
        <v>8.1296303471183481E-2</v>
      </c>
      <c r="X1673" s="33">
        <f>D1687*D1666/((1+G1665)^X1667)</f>
        <v>7.5977853711386434E-2</v>
      </c>
      <c r="Y1673" s="33">
        <f>D1687*D1666/((1+G1665)^Y1667)</f>
        <v>7.1007339917183582E-2</v>
      </c>
      <c r="Z1673" s="33">
        <f>D1687*D1666/((1+G1665)^Z1667)</f>
        <v>6.6361999922601472E-2</v>
      </c>
      <c r="AA1673" s="33">
        <f>D1687*D1666/((1+G1665)^AA1667)</f>
        <v>6.2020560675328483E-2</v>
      </c>
    </row>
    <row r="1674" spans="3:27" hidden="1" outlineLevel="1" x14ac:dyDescent="0.3">
      <c r="C1674" s="21" t="s">
        <v>34</v>
      </c>
      <c r="D1674" s="19">
        <f>分布式光伏电站IRR汇总!$B$10</f>
        <v>0.222</v>
      </c>
      <c r="F1674" s="6" t="s">
        <v>19</v>
      </c>
      <c r="G1674" s="33"/>
      <c r="H1674" s="33"/>
      <c r="I1674" s="33"/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  <c r="Z1674" s="33"/>
      <c r="AA1674" s="33">
        <f>D1687*D1690/((1+G1665)^AA1667)</f>
        <v>0.2544083398901974</v>
      </c>
    </row>
    <row r="1675" spans="3:27" hidden="1" outlineLevel="1" x14ac:dyDescent="0.3">
      <c r="C1675" s="21" t="s">
        <v>35</v>
      </c>
      <c r="D1675" s="19">
        <f>分布式光伏电站IRR汇总!$B$11</f>
        <v>0.44400000000000001</v>
      </c>
      <c r="F1675" s="8" t="s">
        <v>64</v>
      </c>
      <c r="G1675" s="33">
        <f>SUM(H1676:AA1676)</f>
        <v>47877.137660432898</v>
      </c>
      <c r="H1675" s="33"/>
      <c r="I1675" s="33"/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  <c r="Z1675" s="33"/>
      <c r="AA1675" s="33"/>
    </row>
    <row r="1676" spans="3:27" hidden="1" outlineLevel="1" x14ac:dyDescent="0.3">
      <c r="C1676" s="21" t="s">
        <v>36</v>
      </c>
      <c r="D1676" s="19">
        <f>分布式光伏电站IRR汇总!$B$12</f>
        <v>0.222</v>
      </c>
      <c r="F1676" s="9" t="s">
        <v>65</v>
      </c>
      <c r="G1676" s="33"/>
      <c r="H1676" s="33">
        <f>D1666*D1683*(1-D1685)*D1689/((1+G1665)^H1667)</f>
        <v>4363.9601495327088</v>
      </c>
      <c r="I1676" s="33">
        <f>D1666*D1683*(1-D1685)*(1-D1686)^(I1667-1)*D1689/((1+G1665)^I1667)</f>
        <v>4060.1143260372078</v>
      </c>
      <c r="J1676" s="33">
        <f>D1666*D1683*(1-D1685)*(1-D1686)^(J1667-1)*D1689/((1+G1665)^J1667)</f>
        <v>3777.424122962655</v>
      </c>
      <c r="K1676" s="33">
        <f>D1666*D1683*(1-D1685)*(1-D1686)^(K1667-1)*D1689/((1+G1665)^K1667)</f>
        <v>3514.4165555227323</v>
      </c>
      <c r="L1676" s="33">
        <f>D1666*D1683*(1-D1685)*(1-D1686)^(L1667-1)*D1689/((1+G1665)^L1667)</f>
        <v>3269.7211972176451</v>
      </c>
      <c r="M1676" s="33">
        <f>D1666*D1683*(1-D1685)*(1-D1686)^(M1667-1)*D1689/((1+G1665)^M1667)</f>
        <v>3042.063039093613</v>
      </c>
      <c r="N1676" s="33">
        <f>D1666*D1683*(1-D1685)*(1-D1686)^(N1667-1)*D1689/((1+G1665)^N1667)</f>
        <v>2830.2558461847584</v>
      </c>
      <c r="O1676" s="33">
        <f>D1666*D1683*(1-D1685)*(1-D1686)^(O1667-1)*D1689/((1+G1665)^O1667)</f>
        <v>2633.1959765204924</v>
      </c>
      <c r="P1676" s="33">
        <f>D1666*D1683*(1-D1685)*(1-D1686)^(P1667-1)*D1689/((1+G1665)^P1667)</f>
        <v>2449.8566304917294</v>
      </c>
      <c r="Q1676" s="33">
        <f>D1666*D1683*(1-D1685)*(1-D1686)^(Q1667-1)*D1689/((1+G1665)^Q1667)</f>
        <v>2279.2825006116977</v>
      </c>
      <c r="R1676" s="33">
        <f>D1666*D1683*(1-D1685)*(1-D1686)^(R1667-1)*D1689/((1+G1665)^R1667)</f>
        <v>2120.5847937934068</v>
      </c>
      <c r="S1676" s="33">
        <f>D1666*D1683*(1-D1685)*(1-D1686)^(S1667-1)*D1689/((1+G1665)^S1667)</f>
        <v>1972.9366002068566</v>
      </c>
      <c r="T1676" s="33">
        <f>D1666*D1683*(1-D1685)*(1-D1686)^(T1667-1)*D1689/((1+G1665)^T1667)</f>
        <v>1835.5685845849775</v>
      </c>
      <c r="U1676" s="33">
        <f>D1666*D1683*(1-D1685)*(1-D1686)^(U1667-1)*D1689/((1+G1665)^U1667)</f>
        <v>1707.7649775274256</v>
      </c>
      <c r="V1676" s="33">
        <f>D1666*D1683*(1-D1685)*(1-D1686)^(V1667-1)*D1689/((1+G1665)^V1667)</f>
        <v>1588.8598459145344</v>
      </c>
      <c r="W1676" s="33">
        <f>D1666*D1683*(1-D1685)*(1-D1686)^(W1667-1)*D1689/((1+G1665)^W1667)</f>
        <v>1478.2336229980556</v>
      </c>
      <c r="X1676" s="33">
        <f>D1666*D1683*(1-D1685)*(1-D1686)^(X1667-1)*D1689/((1+G1665)^X1667)</f>
        <v>1375.3098800883781</v>
      </c>
      <c r="Y1676" s="33">
        <f>D1666*D1683*(1-D1685)*(1-D1686)^(Y1667-1)*D1689/((1+G1665)^Y1667)</f>
        <v>1279.5523230168042</v>
      </c>
      <c r="Z1676" s="33">
        <f>D1666*D1683*(1-D1685)*(1-D1686)^(Z1667-1)*D1689/((1+G1665)^Z1667)</f>
        <v>1190.4619977226434</v>
      </c>
      <c r="AA1676" s="33">
        <f>D1666*D1683*(1-D1685)*(1-D1686)^(AA1667-1)*D1689/((1+G1665)^AA1667)</f>
        <v>1107.5746904045718</v>
      </c>
    </row>
    <row r="1677" spans="3:27" hidden="1" outlineLevel="1" x14ac:dyDescent="0.3">
      <c r="C1677" s="21" t="s">
        <v>37</v>
      </c>
      <c r="D1677" s="19">
        <f>分布式光伏电站IRR汇总!$B$13</f>
        <v>0.15</v>
      </c>
      <c r="F1677" s="4" t="s">
        <v>66</v>
      </c>
      <c r="G1677" s="33">
        <f>SUM(H1678:AA1678)</f>
        <v>32.29411083328403</v>
      </c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</row>
    <row r="1678" spans="3:27" hidden="1" outlineLevel="1" x14ac:dyDescent="0.3">
      <c r="C1678" s="21" t="s">
        <v>38</v>
      </c>
      <c r="D1678" s="19">
        <f>分布式光伏电站IRR汇总!$B$14</f>
        <v>3.7000000000000005E-2</v>
      </c>
      <c r="F1678" s="7" t="s">
        <v>67</v>
      </c>
      <c r="G1678" s="33"/>
      <c r="H1678" s="33">
        <f>H1676*D1694/1000</f>
        <v>2.9435805820428773</v>
      </c>
      <c r="I1678" s="33">
        <f>I1676*D1694/1000</f>
        <v>2.7386303452557805</v>
      </c>
      <c r="J1678" s="33">
        <f>J1676*D1694/1000</f>
        <v>2.5479500081328315</v>
      </c>
      <c r="K1678" s="33">
        <f>K1676*D1694/1000</f>
        <v>2.3705460122394713</v>
      </c>
      <c r="L1678" s="33">
        <f>L1676*D1694/1000</f>
        <v>2.2054939768078445</v>
      </c>
      <c r="M1678" s="33">
        <f>M1676*D1694/1000</f>
        <v>2.0519338821609434</v>
      </c>
      <c r="N1678" s="33">
        <f>N1676*D1694/1000</f>
        <v>1.9090655884964662</v>
      </c>
      <c r="O1678" s="33">
        <f>O1676*D1694/1000</f>
        <v>1.7761446666805907</v>
      </c>
      <c r="P1678" s="33">
        <f>P1676*D1694/1000</f>
        <v>1.6524785193275966</v>
      </c>
      <c r="Q1678" s="33">
        <f>Q1676*D1694/1000</f>
        <v>1.5374227719538527</v>
      </c>
      <c r="R1678" s="33">
        <f>R1676*D1694/1000</f>
        <v>1.4303779154019256</v>
      </c>
      <c r="S1678" s="33">
        <f>S1676*D1694/1000</f>
        <v>1.3307861820398288</v>
      </c>
      <c r="T1678" s="33">
        <f>T1676*D1694/1000</f>
        <v>1.2381286394585513</v>
      </c>
      <c r="U1678" s="33">
        <f>U1676*D1694/1000</f>
        <v>1.1519224865242876</v>
      </c>
      <c r="V1678" s="33">
        <f>V1676*D1694/1000</f>
        <v>1.0717185376961949</v>
      </c>
      <c r="W1678" s="33">
        <f>W1676*D1694/1000</f>
        <v>0.99709888250145995</v>
      </c>
      <c r="X1678" s="33">
        <f>X1676*D1694/1000</f>
        <v>0.92767470797215279</v>
      </c>
      <c r="Y1678" s="33">
        <f>Y1676*D1694/1000</f>
        <v>0.86308427269745613</v>
      </c>
      <c r="Z1678" s="33">
        <f>Z1676*D1694/1000</f>
        <v>0.80299102193487626</v>
      </c>
      <c r="AA1678" s="33">
        <f>AA1676*D1694/1000</f>
        <v>0.74708183395903704</v>
      </c>
    </row>
    <row r="1679" spans="3:27" hidden="1" outlineLevel="1" x14ac:dyDescent="0.3">
      <c r="C1679" s="21" t="s">
        <v>39</v>
      </c>
      <c r="D1679" s="19">
        <f>分布式光伏电站IRR汇总!$B$15</f>
        <v>0.25900000000000006</v>
      </c>
      <c r="F1679" s="4" t="s">
        <v>20</v>
      </c>
      <c r="G1679" s="33">
        <f>SUM(H1680:V1680)</f>
        <v>3.7806229317599755</v>
      </c>
      <c r="H1679" s="33"/>
      <c r="I1679" s="33"/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  <c r="T1679" s="33"/>
      <c r="U1679" s="33"/>
      <c r="V1679" s="33"/>
      <c r="W1679" s="33"/>
      <c r="X1679" s="33"/>
      <c r="Y1679" s="33"/>
      <c r="Z1679" s="33"/>
      <c r="AA1679" s="33"/>
    </row>
    <row r="1680" spans="3:27" hidden="1" outlineLevel="1" x14ac:dyDescent="0.3">
      <c r="C1680" s="21" t="s">
        <v>40</v>
      </c>
      <c r="D1680" s="19">
        <f>分布式光伏电站IRR汇总!$B$16</f>
        <v>7.400000000000001E-2</v>
      </c>
      <c r="F1680" s="7" t="s">
        <v>21</v>
      </c>
      <c r="G1680" s="33"/>
      <c r="H1680" s="33">
        <f>(H1678-H1671-H1673)*G1666</f>
        <v>0.40667318289389698</v>
      </c>
      <c r="I1680" s="33">
        <f>(I1678-I1671-I1673)*G1666</f>
        <v>0.37697350910196165</v>
      </c>
      <c r="J1680" s="33">
        <f>(J1678-J1671-J1673)*G1666</f>
        <v>0.34943228968555978</v>
      </c>
      <c r="K1680" s="33">
        <f>(K1678-K1671-K1673)*G1666</f>
        <v>0.32389331394991633</v>
      </c>
      <c r="L1680" s="33">
        <f>(L1678-L1671-L1673)*G1666</f>
        <v>0.30021163522069805</v>
      </c>
      <c r="M1680" s="33">
        <f>(M1678-M1671-M1673)*G1666</f>
        <v>0.27825276121195258</v>
      </c>
      <c r="N1680" s="33">
        <f>(N1678-N1671-N1673)*G1666</f>
        <v>0.25789190242478643</v>
      </c>
      <c r="O1680" s="33">
        <f>(O1678-O1671-O1673)*G1666</f>
        <v>0.23901327442778306</v>
      </c>
      <c r="P1680" s="33">
        <f>(P1678-P1671-P1673)*G1666</f>
        <v>0.22150945016613788</v>
      </c>
      <c r="Q1680" s="33">
        <f>(Q1678-Q1671-Q1673)*G1666</f>
        <v>0.20528075872139651</v>
      </c>
      <c r="R1680" s="33">
        <f>(R1678-R1671-R1673)*G1666</f>
        <v>0.19023472719901727</v>
      </c>
      <c r="S1680" s="33">
        <f>(S1678-S1671-S1673)*G1666</f>
        <v>0.17628556265812154</v>
      </c>
      <c r="T1680" s="33">
        <f>(T1678-T1671-T1673)*G1666</f>
        <v>0.16335367121806246</v>
      </c>
      <c r="U1680" s="33">
        <f>(U1678-U1671-U1673)*G1666</f>
        <v>0.15136521168100142</v>
      </c>
      <c r="V1680" s="33">
        <f>(V1678-V1671-V1673)*G1666</f>
        <v>0.14025168119968381</v>
      </c>
      <c r="W1680" s="33">
        <f>(W1678-W1671-W1673)*G1666</f>
        <v>0.129949530696052</v>
      </c>
      <c r="X1680" s="33">
        <f>(X1678-X1671-X1673)*G1666</f>
        <v>0.12039980790022231</v>
      </c>
      <c r="Y1680" s="33">
        <f>(Y1678-Y1671-Y1673)*G1666</f>
        <v>0.11154782603154545</v>
      </c>
      <c r="Z1680" s="33">
        <f>(Z1678-Z1671-Z1673)*G1666</f>
        <v>0.1033428562848232</v>
      </c>
      <c r="AA1680" s="33">
        <f>(AA1678-AA1671-AA1673)*G1666</f>
        <v>9.5737842416024801E-2</v>
      </c>
    </row>
    <row r="1681" spans="3:27" hidden="1" outlineLevel="1" x14ac:dyDescent="0.3">
      <c r="C1681" s="21" t="s">
        <v>41</v>
      </c>
      <c r="D1681" s="19">
        <f>分布式光伏电站IRR汇总!$B$17</f>
        <v>0.222</v>
      </c>
      <c r="F1681" s="10" t="s">
        <v>22</v>
      </c>
      <c r="G1681" s="33">
        <f>-G1669</f>
        <v>-24.611999999999995</v>
      </c>
      <c r="H1681" s="33">
        <f t="shared" ref="H1681:AA1681" si="630">H1678-H1680-H1673</f>
        <v>2.3126083337284196</v>
      </c>
      <c r="I1681" s="33">
        <f t="shared" si="630"/>
        <v>2.152031541368248</v>
      </c>
      <c r="J1681" s="33">
        <f t="shared" si="630"/>
        <v>2.0026062279934673</v>
      </c>
      <c r="K1681" s="33">
        <f t="shared" si="630"/>
        <v>1.8635578473981489</v>
      </c>
      <c r="L1681" s="33">
        <f t="shared" si="630"/>
        <v>1.7341656585110661</v>
      </c>
      <c r="M1681" s="33">
        <f t="shared" si="630"/>
        <v>1.6137589872330278</v>
      </c>
      <c r="N1681" s="33">
        <f t="shared" si="630"/>
        <v>1.5017137480193781</v>
      </c>
      <c r="O1681" s="33">
        <f t="shared" si="630"/>
        <v>1.3974492071571984</v>
      </c>
      <c r="P1681" s="33">
        <f t="shared" si="630"/>
        <v>1.3004249709412632</v>
      </c>
      <c r="Q1681" s="33">
        <f t="shared" si="630"/>
        <v>1.2101381831201239</v>
      </c>
      <c r="R1681" s="33">
        <f t="shared" si="630"/>
        <v>1.1261209170698876</v>
      </c>
      <c r="S1681" s="33">
        <f t="shared" si="630"/>
        <v>1.0479377491639308</v>
      </c>
      <c r="T1681" s="33">
        <f t="shared" si="630"/>
        <v>0.97518350074723981</v>
      </c>
      <c r="U1681" s="33">
        <f t="shared" si="630"/>
        <v>0.90748113699912825</v>
      </c>
      <c r="V1681" s="33">
        <f t="shared" si="630"/>
        <v>0.84447981178234477</v>
      </c>
      <c r="W1681" s="33">
        <f t="shared" si="630"/>
        <v>0.78585304833422454</v>
      </c>
      <c r="X1681" s="33">
        <f t="shared" si="630"/>
        <v>0.73129704636054405</v>
      </c>
      <c r="Y1681" s="33">
        <f t="shared" si="630"/>
        <v>0.68052910674872713</v>
      </c>
      <c r="Z1681" s="33">
        <f t="shared" si="630"/>
        <v>0.63328616572745156</v>
      </c>
      <c r="AA1681" s="33">
        <f t="shared" si="630"/>
        <v>0.5893234308676838</v>
      </c>
    </row>
    <row r="1682" spans="3:27" ht="13.5" hidden="1" outlineLevel="1" thickBot="1" x14ac:dyDescent="0.35">
      <c r="C1682" s="21" t="s">
        <v>74</v>
      </c>
      <c r="D1682" s="19">
        <f>分布式光伏电站IRR汇总!$B$18</f>
        <v>0.4</v>
      </c>
      <c r="F1682" s="3" t="s">
        <v>61</v>
      </c>
      <c r="G1682" s="35">
        <f>SUM(G1681:AA1681)/G1669</f>
        <v>3.2421039300809022E-2</v>
      </c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</row>
    <row r="1683" spans="3:27" ht="13.5" hidden="1" outlineLevel="1" thickTop="1" x14ac:dyDescent="0.3">
      <c r="C1683" s="18" t="s">
        <v>58</v>
      </c>
      <c r="D1683" s="19">
        <f>分布式光伏电站IRR汇总!$B$19</f>
        <v>0.86599999999999999</v>
      </c>
    </row>
    <row r="1684" spans="3:27" hidden="1" outlineLevel="1" x14ac:dyDescent="0.3">
      <c r="C1684" s="18" t="s">
        <v>62</v>
      </c>
      <c r="D1684" s="19">
        <f>分布式光伏电站IRR汇总!$B$20</f>
        <v>20</v>
      </c>
      <c r="F1684" s="13" t="s">
        <v>25</v>
      </c>
      <c r="G1684" s="14">
        <v>0</v>
      </c>
    </row>
    <row r="1685" spans="3:27" hidden="1" outlineLevel="1" x14ac:dyDescent="0.3">
      <c r="C1685" s="18" t="s">
        <v>59</v>
      </c>
      <c r="D1685" s="52">
        <f>分布式光伏电站IRR汇总!$B$21</f>
        <v>0.02</v>
      </c>
      <c r="F1685" s="13" t="s">
        <v>26</v>
      </c>
      <c r="G1685" s="14">
        <v>0.25</v>
      </c>
      <c r="Q1685" s="15"/>
    </row>
    <row r="1686" spans="3:27" hidden="1" outlineLevel="1" x14ac:dyDescent="0.3">
      <c r="C1686" s="18" t="s">
        <v>60</v>
      </c>
      <c r="D1686" s="52">
        <f>分布式光伏电站IRR汇总!$B$22</f>
        <v>4.4999999999999997E-3</v>
      </c>
      <c r="F1686" s="1" t="s">
        <v>44</v>
      </c>
      <c r="G1686" s="4"/>
      <c r="H1686" s="5">
        <v>1</v>
      </c>
      <c r="I1686" s="5">
        <v>2</v>
      </c>
      <c r="J1686" s="5">
        <v>3</v>
      </c>
      <c r="K1686" s="5">
        <v>4</v>
      </c>
      <c r="L1686" s="5">
        <v>5</v>
      </c>
      <c r="M1686" s="5">
        <v>6</v>
      </c>
      <c r="N1686" s="5">
        <v>7</v>
      </c>
      <c r="O1686" s="5">
        <v>8</v>
      </c>
      <c r="P1686" s="5">
        <v>9</v>
      </c>
      <c r="Q1686" s="5">
        <v>10</v>
      </c>
      <c r="R1686" s="5">
        <v>11</v>
      </c>
      <c r="S1686" s="5">
        <v>12</v>
      </c>
      <c r="T1686" s="5">
        <v>13</v>
      </c>
      <c r="U1686" s="5">
        <v>14</v>
      </c>
      <c r="V1686" s="5">
        <v>15</v>
      </c>
      <c r="W1686" s="5">
        <v>16</v>
      </c>
      <c r="X1686" s="5">
        <v>17</v>
      </c>
      <c r="Y1686" s="5">
        <v>18</v>
      </c>
      <c r="Z1686" s="5">
        <v>19</v>
      </c>
      <c r="AA1686" s="5">
        <v>20</v>
      </c>
    </row>
    <row r="1687" spans="3:27" hidden="1" outlineLevel="1" x14ac:dyDescent="0.3">
      <c r="C1687" s="18" t="s">
        <v>28</v>
      </c>
      <c r="D1687" s="29">
        <f>分布式光伏电站IRR汇总!$B$23</f>
        <v>0.04</v>
      </c>
      <c r="F1687" s="16"/>
      <c r="G1687" s="2" t="s">
        <v>0</v>
      </c>
      <c r="H1687" s="2" t="s">
        <v>1</v>
      </c>
      <c r="I1687" s="2" t="s">
        <v>2</v>
      </c>
      <c r="J1687" s="2" t="s">
        <v>3</v>
      </c>
      <c r="K1687" s="2" t="s">
        <v>4</v>
      </c>
      <c r="L1687" s="2" t="s">
        <v>5</v>
      </c>
      <c r="M1687" s="2" t="s">
        <v>6</v>
      </c>
      <c r="N1687" s="2" t="s">
        <v>7</v>
      </c>
      <c r="O1687" s="2" t="s">
        <v>8</v>
      </c>
      <c r="P1687" s="2" t="s">
        <v>9</v>
      </c>
      <c r="Q1687" s="2" t="s">
        <v>10</v>
      </c>
      <c r="R1687" s="2" t="s">
        <v>11</v>
      </c>
      <c r="S1687" s="2" t="s">
        <v>12</v>
      </c>
      <c r="T1687" s="2" t="s">
        <v>13</v>
      </c>
      <c r="U1687" s="2" t="s">
        <v>45</v>
      </c>
      <c r="V1687" s="2" t="s">
        <v>46</v>
      </c>
      <c r="W1687" s="2" t="s">
        <v>47</v>
      </c>
      <c r="X1687" s="2" t="s">
        <v>48</v>
      </c>
      <c r="Y1687" s="2" t="s">
        <v>49</v>
      </c>
      <c r="Z1687" s="2" t="s">
        <v>50</v>
      </c>
      <c r="AA1687" s="2" t="s">
        <v>51</v>
      </c>
    </row>
    <row r="1688" spans="3:27" hidden="1" outlineLevel="1" x14ac:dyDescent="0.3">
      <c r="C1688" s="18" t="s">
        <v>43</v>
      </c>
      <c r="D1688" s="19">
        <f>分布式光伏电站IRR汇总!$B$24</f>
        <v>0.05</v>
      </c>
      <c r="F1688" s="6" t="s">
        <v>14</v>
      </c>
      <c r="G1688" s="33">
        <f>D1690</f>
        <v>24.611999999999995</v>
      </c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3"/>
      <c r="W1688" s="33"/>
      <c r="X1688" s="33"/>
      <c r="Y1688" s="33"/>
      <c r="Z1688" s="33"/>
      <c r="AA1688" s="33"/>
    </row>
    <row r="1689" spans="3:27" hidden="1" outlineLevel="1" x14ac:dyDescent="0.3">
      <c r="C1689" s="18" t="s">
        <v>126</v>
      </c>
      <c r="D1689" s="28">
        <f>Backup分地区光伏小时数及电价!E37</f>
        <v>917</v>
      </c>
      <c r="F1689" s="6" t="s">
        <v>15</v>
      </c>
      <c r="G1689" s="33">
        <f>SUM(H1690:AA1690)</f>
        <v>23.381399999999985</v>
      </c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  <c r="Z1689" s="33"/>
      <c r="AA1689" s="33"/>
    </row>
    <row r="1690" spans="3:27" hidden="1" outlineLevel="1" x14ac:dyDescent="0.3">
      <c r="C1690" s="24" t="s">
        <v>14</v>
      </c>
      <c r="D1690" s="30">
        <f>D1666*D1671</f>
        <v>24.611999999999995</v>
      </c>
      <c r="F1690" s="7" t="s">
        <v>16</v>
      </c>
      <c r="G1690" s="33"/>
      <c r="H1690" s="33">
        <f>D1690*(1-D1688)/D1684/((1+G1684)^H1686)</f>
        <v>1.1690699999999996</v>
      </c>
      <c r="I1690" s="33">
        <f>D1690*(1-D1688)/D1684/((1+G1684)^I1686)</f>
        <v>1.1690699999999996</v>
      </c>
      <c r="J1690" s="33">
        <f>D1690*(1-D1688)/D1684/((1+G1684)^J1686)</f>
        <v>1.1690699999999996</v>
      </c>
      <c r="K1690" s="33">
        <f>D1690*(1-D1688)/D1684/((1+G1684)^K1686)</f>
        <v>1.1690699999999996</v>
      </c>
      <c r="L1690" s="33">
        <f>D1690*(1-D1688)/D1684/((1+G1684)^L1686)</f>
        <v>1.1690699999999996</v>
      </c>
      <c r="M1690" s="33">
        <f>D1690*(1-D1688)/D1684/((1+G1684)^M1686)</f>
        <v>1.1690699999999996</v>
      </c>
      <c r="N1690" s="33">
        <f>D1690*(1-D1688)/D1684/((1+G1684)^N1686)</f>
        <v>1.1690699999999996</v>
      </c>
      <c r="O1690" s="33">
        <f>D1690*(1-D1688)/D1684/((1+G1684)^O1686)</f>
        <v>1.1690699999999996</v>
      </c>
      <c r="P1690" s="33">
        <f>D1690*(1-D1688)/D1684/((1+G1684)^P1686)</f>
        <v>1.1690699999999996</v>
      </c>
      <c r="Q1690" s="33">
        <f>D1690*(1-D1688)/D1684/((1+G1684)^Q1686)</f>
        <v>1.1690699999999996</v>
      </c>
      <c r="R1690" s="33">
        <f>D1690*(1-D1688)/D1684/((1+G1684)^R1686)</f>
        <v>1.1690699999999996</v>
      </c>
      <c r="S1690" s="33">
        <f>D1690*(1-D1688)/D1684/((1+G1684)^S1686)</f>
        <v>1.1690699999999996</v>
      </c>
      <c r="T1690" s="33">
        <f>D1690*(1-D1688)/D1684/((1+G1684)^T1686)</f>
        <v>1.1690699999999996</v>
      </c>
      <c r="U1690" s="33">
        <f>D1690*(1-D1688)/D1684/((1+G1684)^U1686)</f>
        <v>1.1690699999999996</v>
      </c>
      <c r="V1690" s="33">
        <f>D1690*(1-D1688)/D1684/((1+G1684)^V1686)</f>
        <v>1.1690699999999996</v>
      </c>
      <c r="W1690" s="33">
        <f>D1690*(1-D1688)/D1684/((1+G1684)^W1686)</f>
        <v>1.1690699999999996</v>
      </c>
      <c r="X1690" s="33">
        <f>D1690*(1-D1688)/D1684/((1+G1684)^X1686)</f>
        <v>1.1690699999999996</v>
      </c>
      <c r="Y1690" s="33">
        <f>D1690*(1-D1688)/D1684/((1+G1684)^Y1686)</f>
        <v>1.1690699999999996</v>
      </c>
      <c r="Z1690" s="33">
        <f>D1690*(1-D1688)/D1684/((1+G1684)^Z1686)</f>
        <v>1.1690699999999996</v>
      </c>
      <c r="AA1690" s="33">
        <f>D1690*(1-D1688)/D1684/((1+G1684)^AA1686)</f>
        <v>1.1690699999999996</v>
      </c>
    </row>
    <row r="1691" spans="3:27" hidden="1" outlineLevel="1" x14ac:dyDescent="0.3">
      <c r="C1691" s="18" t="s">
        <v>29</v>
      </c>
      <c r="D1691" s="29">
        <v>0.35980000000000001</v>
      </c>
      <c r="F1691" s="6" t="s">
        <v>17</v>
      </c>
      <c r="G1691" s="33">
        <f>SUM(H1692:AA1692)</f>
        <v>4.8000000000000025</v>
      </c>
      <c r="H1691" s="33"/>
      <c r="I1691" s="33"/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  <c r="T1691" s="33"/>
      <c r="U1691" s="33"/>
      <c r="V1691" s="33"/>
      <c r="W1691" s="33"/>
      <c r="X1691" s="33"/>
      <c r="Y1691" s="33"/>
      <c r="Z1691" s="33"/>
      <c r="AA1691" s="33"/>
    </row>
    <row r="1692" spans="3:27" hidden="1" outlineLevel="1" x14ac:dyDescent="0.3">
      <c r="C1692" s="18" t="s">
        <v>30</v>
      </c>
      <c r="D1692" s="31">
        <f>Backup分地区光伏小时数及电价!I37</f>
        <v>0.67452049999999997</v>
      </c>
      <c r="F1692" s="7" t="s">
        <v>18</v>
      </c>
      <c r="G1692" s="33"/>
      <c r="H1692" s="33">
        <f>D1687*D1666/((1+G1684)^H1686)</f>
        <v>0.24</v>
      </c>
      <c r="I1692" s="33">
        <f>D1687*D1666/((1+G1684)^I1686)</f>
        <v>0.24</v>
      </c>
      <c r="J1692" s="33">
        <f>D1687*D1666/((1+G1684)^J1686)</f>
        <v>0.24</v>
      </c>
      <c r="K1692" s="33">
        <f>D1687*D1666/((1+G1684)^K1686)</f>
        <v>0.24</v>
      </c>
      <c r="L1692" s="33">
        <f>D1687*D1666/((1+G1684)^L1686)</f>
        <v>0.24</v>
      </c>
      <c r="M1692" s="33">
        <f>D1687*D1666/((1+G1684)^M1686)</f>
        <v>0.24</v>
      </c>
      <c r="N1692" s="33">
        <f>D1687*D1666/((1+G1684)^N1686)</f>
        <v>0.24</v>
      </c>
      <c r="O1692" s="33">
        <f>D1687*D1666/((1+G1684)^O1686)</f>
        <v>0.24</v>
      </c>
      <c r="P1692" s="33">
        <f>D1687*D1666/((1+G1684)^P1686)</f>
        <v>0.24</v>
      </c>
      <c r="Q1692" s="33">
        <f>D1687*D1666/((1+G1684)^Q1686)</f>
        <v>0.24</v>
      </c>
      <c r="R1692" s="33">
        <f>D1687*D1666/((1+G1684)^R1686)</f>
        <v>0.24</v>
      </c>
      <c r="S1692" s="33">
        <f>D1687*D1666/((1+G1684)^S1686)</f>
        <v>0.24</v>
      </c>
      <c r="T1692" s="33">
        <f>D1687*D1666/((1+G1684)^T1686)</f>
        <v>0.24</v>
      </c>
      <c r="U1692" s="33">
        <f>D1687*D1666/((1+G1684)^U1686)</f>
        <v>0.24</v>
      </c>
      <c r="V1692" s="33">
        <f>D1687*D1666/((1+G1684)^V1686)</f>
        <v>0.24</v>
      </c>
      <c r="W1692" s="33">
        <f>D1687*D1666/((1+G1684)^W1686)</f>
        <v>0.24</v>
      </c>
      <c r="X1692" s="33">
        <f>D1687*D1666/((1+G1684)^X1686)</f>
        <v>0.24</v>
      </c>
      <c r="Y1692" s="33">
        <f>D1687*D1666/((1+G1684)^Y1686)</f>
        <v>0.24</v>
      </c>
      <c r="Z1692" s="33">
        <f>D1687*D1666/((1+G1684)^Z1686)</f>
        <v>0.24</v>
      </c>
      <c r="AA1692" s="33">
        <f>D1687*D1666/((1+G1684)^AA1686)</f>
        <v>0.24</v>
      </c>
    </row>
    <row r="1693" spans="3:27" hidden="1" outlineLevel="1" x14ac:dyDescent="0.3">
      <c r="C1693" s="18" t="s">
        <v>70</v>
      </c>
      <c r="D1693" s="32">
        <f>分布式光伏电站IRR汇总!$B$27</f>
        <v>1</v>
      </c>
      <c r="F1693" s="6" t="s">
        <v>19</v>
      </c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  <c r="Z1693" s="33"/>
      <c r="AA1693" s="33">
        <f>D1687*D1690/((1+G1684)^AA1686)</f>
        <v>0.9844799999999998</v>
      </c>
    </row>
    <row r="1694" spans="3:27" hidden="1" outlineLevel="1" x14ac:dyDescent="0.3">
      <c r="C1694" s="18" t="s">
        <v>69</v>
      </c>
      <c r="D1694" s="31">
        <f>D1693*D1692</f>
        <v>0.67452049999999997</v>
      </c>
      <c r="F1694" s="8" t="s">
        <v>64</v>
      </c>
      <c r="G1694" s="33">
        <f>SUM(H1695:AA1695)</f>
        <v>89502.140014611054</v>
      </c>
      <c r="H1694" s="33"/>
      <c r="I1694" s="33"/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  <c r="T1694" s="33"/>
      <c r="U1694" s="33"/>
      <c r="V1694" s="33"/>
      <c r="W1694" s="33"/>
      <c r="X1694" s="33"/>
      <c r="Y1694" s="33"/>
      <c r="Z1694" s="33"/>
      <c r="AA1694" s="33"/>
    </row>
    <row r="1695" spans="3:27" hidden="1" outlineLevel="1" x14ac:dyDescent="0.3">
      <c r="C1695" s="18" t="s">
        <v>31</v>
      </c>
      <c r="D1695" s="27">
        <v>0</v>
      </c>
      <c r="F1695" s="9" t="s">
        <v>65</v>
      </c>
      <c r="G1695" s="33"/>
      <c r="H1695" s="33">
        <f>D1666*D1683*(1-D1685)*D1689/((1+G1684)^H1686)</f>
        <v>4669.437359999999</v>
      </c>
      <c r="I1695" s="33">
        <f>D1666*D1683*(1-D1685)*(1-D1686)^(I1686-1)*D1689/((1+G1684)^I1686)</f>
        <v>4648.4248918799994</v>
      </c>
      <c r="J1695" s="33">
        <f>D1666*D1683*(1-D1685)*(1-D1686)^(J1686-1)*D1689/((1+G1684)^J1686)</f>
        <v>4627.50697986654</v>
      </c>
      <c r="K1695" s="33">
        <f>D1666*D1683*(1-D1685)*(1-D1686)^(K1686-1)*D1689/((1+G1684)^K1686)</f>
        <v>4606.6831984571409</v>
      </c>
      <c r="L1695" s="33">
        <f>D1666*D1683*(1-D1685)*(1-D1686)^(L1686-1)*D1689/((1+G1684)^L1686)</f>
        <v>4585.9531240640845</v>
      </c>
      <c r="M1695" s="33">
        <f>D1666*D1683*(1-D1685)*(1-D1686)^(M1686-1)*D1689/((1+G1684)^M1686)</f>
        <v>4565.3163350057966</v>
      </c>
      <c r="N1695" s="33">
        <f>D1666*D1683*(1-D1685)*(1-D1686)^(N1686-1)*D1689/((1+G1684)^N1686)</f>
        <v>4544.7724114982702</v>
      </c>
      <c r="O1695" s="33">
        <f>D1666*D1683*(1-D1685)*(1-D1686)^(O1686-1)*D1689/((1+G1684)^O1686)</f>
        <v>4524.3209356465277</v>
      </c>
      <c r="P1695" s="33">
        <f>D1666*D1683*(1-D1685)*(1-D1686)^(P1686-1)*D1689/((1+G1684)^P1686)</f>
        <v>4503.9614914361191</v>
      </c>
      <c r="Q1695" s="33">
        <f>D1666*D1683*(1-D1685)*(1-D1686)^(Q1686-1)*D1689/((1+G1684)^Q1686)</f>
        <v>4483.6936647246566</v>
      </c>
      <c r="R1695" s="33">
        <f>D1666*D1683*(1-D1685)*(1-D1686)^(R1686-1)*D1689/((1+G1684)^R1686)</f>
        <v>4463.5170432333962</v>
      </c>
      <c r="S1695" s="33">
        <f>D1666*D1683*(1-D1685)*(1-D1686)^(S1686-1)*D1689/((1+G1684)^S1686)</f>
        <v>4443.4312165388455</v>
      </c>
      <c r="T1695" s="33">
        <f>D1666*D1683*(1-D1685)*(1-D1686)^(T1686-1)*D1689/((1+G1684)^T1686)</f>
        <v>4423.4357760644216</v>
      </c>
      <c r="U1695" s="33">
        <f>D1666*D1683*(1-D1685)*(1-D1686)^(U1686-1)*D1689/((1+G1684)^U1686)</f>
        <v>4403.530315072132</v>
      </c>
      <c r="V1695" s="33">
        <f>D1666*D1683*(1-D1685)*(1-D1686)^(V1686-1)*D1689/((1+G1684)^V1686)</f>
        <v>4383.7144286543071</v>
      </c>
      <c r="W1695" s="33">
        <f>D1666*D1683*(1-D1685)*(1-D1686)^(W1686-1)*D1689/((1+G1684)^W1686)</f>
        <v>4363.9877137253634</v>
      </c>
      <c r="X1695" s="33">
        <f>D1666*D1683*(1-D1685)*(1-D1686)^(X1686-1)*D1689/((1+G1684)^X1686)</f>
        <v>4344.3497690136001</v>
      </c>
      <c r="Y1695" s="33">
        <f>D1666*D1683*(1-D1685)*(1-D1686)^(Y1686-1)*D1689/((1+G1684)^Y1686)</f>
        <v>4324.8001950530388</v>
      </c>
      <c r="Z1695" s="33">
        <f>D1666*D1683*(1-D1685)*(1-D1686)^(Z1686-1)*D1689/((1+G1684)^Z1686)</f>
        <v>4305.3385941753004</v>
      </c>
      <c r="AA1695" s="33">
        <f>D1666*D1683*(1-D1685)*(1-D1686)^(AA1686-1)*D1689/((1+G1684)^AA1686)</f>
        <v>4285.9645705015118</v>
      </c>
    </row>
    <row r="1696" spans="3:27" hidden="1" outlineLevel="1" x14ac:dyDescent="0.3">
      <c r="F1696" s="4" t="s">
        <v>66</v>
      </c>
      <c r="G1696" s="33">
        <f>SUM(H1697:AA1697)</f>
        <v>60.371028233725454</v>
      </c>
      <c r="H1696" s="33"/>
      <c r="I1696" s="33"/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  <c r="Z1696" s="33"/>
      <c r="AA1696" s="33"/>
    </row>
    <row r="1697" spans="2:27" hidden="1" outlineLevel="1" x14ac:dyDescent="0.3">
      <c r="F1697" s="7" t="s">
        <v>67</v>
      </c>
      <c r="G1697" s="33"/>
      <c r="H1697" s="33">
        <f>H1695*D1694/1000</f>
        <v>3.1496312227858794</v>
      </c>
      <c r="I1697" s="33">
        <f>I1695*D1694/1000</f>
        <v>3.1354578822833434</v>
      </c>
      <c r="J1697" s="33">
        <f>J1695*D1694/1000</f>
        <v>3.121348321813068</v>
      </c>
      <c r="K1697" s="33">
        <f>K1695*D1694/1000</f>
        <v>3.1073022543649098</v>
      </c>
      <c r="L1697" s="33">
        <f>L1695*D1694/1000</f>
        <v>3.0933193942202681</v>
      </c>
      <c r="M1697" s="33">
        <f>M1695*D1694/1000</f>
        <v>3.0793994569462777</v>
      </c>
      <c r="N1697" s="33">
        <f>N1695*D1694/1000</f>
        <v>3.0655421593900187</v>
      </c>
      <c r="O1697" s="33">
        <f>O1695*D1694/1000</f>
        <v>3.0517472196727637</v>
      </c>
      <c r="P1697" s="33">
        <f>P1695*D1694/1000</f>
        <v>3.0380143571842368</v>
      </c>
      <c r="Q1697" s="33">
        <f>Q1695*D1694/1000</f>
        <v>3.0243432925769076</v>
      </c>
      <c r="R1697" s="33">
        <f>R1695*D1694/1000</f>
        <v>3.010733747760312</v>
      </c>
      <c r="S1697" s="33">
        <f>S1695*D1694/1000</f>
        <v>2.9971854458953904</v>
      </c>
      <c r="T1697" s="33">
        <f>T1695*D1694/1000</f>
        <v>2.9836981113888617</v>
      </c>
      <c r="U1697" s="33">
        <f>U1695*D1694/1000</f>
        <v>2.9702714698876123</v>
      </c>
      <c r="V1697" s="33">
        <f>V1695*D1694/1000</f>
        <v>2.9569052482731171</v>
      </c>
      <c r="W1697" s="33">
        <f>W1695*D1694/1000</f>
        <v>2.9435991746558887</v>
      </c>
      <c r="X1697" s="33">
        <f>X1695*D1694/1000</f>
        <v>2.9303529783699376</v>
      </c>
      <c r="Y1697" s="33">
        <f>Y1695*D1694/1000</f>
        <v>2.9171663899672731</v>
      </c>
      <c r="Z1697" s="33">
        <f>Z1695*D1694/1000</f>
        <v>2.9040391412124205</v>
      </c>
      <c r="AA1697" s="33">
        <f>AA1695*D1694/1000</f>
        <v>2.8909709650769653</v>
      </c>
    </row>
    <row r="1698" spans="2:27" hidden="1" outlineLevel="1" x14ac:dyDescent="0.3">
      <c r="F1698" s="4" t="s">
        <v>20</v>
      </c>
      <c r="G1698" s="33">
        <f>SUM(H1699:AA1699)</f>
        <v>8.0474070584313662</v>
      </c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  <c r="Z1698" s="33"/>
      <c r="AA1698" s="33"/>
    </row>
    <row r="1699" spans="2:27" hidden="1" outlineLevel="1" x14ac:dyDescent="0.3">
      <c r="F1699" s="7" t="s">
        <v>21</v>
      </c>
      <c r="G1699" s="33"/>
      <c r="H1699" s="33">
        <f>(H1697-H1690-H1692)*G1685</f>
        <v>0.43514030569646994</v>
      </c>
      <c r="I1699" s="33">
        <f>(I1697-I1690-I1692)*G1685</f>
        <v>0.43159697057083596</v>
      </c>
      <c r="J1699" s="33">
        <f>(J1697-J1690-J1692)*G1685</f>
        <v>0.4280695804532671</v>
      </c>
      <c r="K1699" s="33">
        <f>(K1697-K1690-K1692)*G1685</f>
        <v>0.42455806359122755</v>
      </c>
      <c r="L1699" s="33">
        <f>(L1697-L1690-L1692)*G1685</f>
        <v>0.42106234855506713</v>
      </c>
      <c r="M1699" s="33">
        <f>(M1697-M1690-M1692)*G1685</f>
        <v>0.41758236423656953</v>
      </c>
      <c r="N1699" s="33">
        <f>(N1697-N1690-N1692)*G1685</f>
        <v>0.41411803984750478</v>
      </c>
      <c r="O1699" s="33">
        <f>(O1697-O1690-O1692)*G1685</f>
        <v>0.41066930491819104</v>
      </c>
      <c r="P1699" s="33">
        <f>(P1697-P1690-P1692)*G1685</f>
        <v>0.40723608929605931</v>
      </c>
      <c r="Q1699" s="33">
        <f>(Q1697-Q1690-Q1692)*G1685</f>
        <v>0.403818323144227</v>
      </c>
      <c r="R1699" s="33">
        <f>(R1697-R1690-R1692)*G1685</f>
        <v>0.4004159369400781</v>
      </c>
      <c r="S1699" s="33">
        <f>(S1697-S1690-S1692)*G1685</f>
        <v>0.39702886147384769</v>
      </c>
      <c r="T1699" s="33">
        <f>(T1697-T1690-T1692)*G1685</f>
        <v>0.39365702784721551</v>
      </c>
      <c r="U1699" s="33">
        <f>(U1697-U1690-U1692)*G1685</f>
        <v>0.39030036747190316</v>
      </c>
      <c r="V1699" s="33">
        <f>(V1697-V1690-V1692)*G1685</f>
        <v>0.38695881206827937</v>
      </c>
      <c r="W1699" s="33">
        <f>(W1697-W1690-W1692)*G1685</f>
        <v>0.38363229366397228</v>
      </c>
      <c r="X1699" s="33">
        <f>(X1697-X1690-X1692)*G1685</f>
        <v>0.38032074459248449</v>
      </c>
      <c r="Y1699" s="33">
        <f>(Y1697-Y1690-Y1692)*G1685</f>
        <v>0.37702409749181837</v>
      </c>
      <c r="Z1699" s="33">
        <f>(Z1697-Z1690-Z1692)*G1685</f>
        <v>0.37374228530310522</v>
      </c>
      <c r="AA1699" s="33">
        <f>(AA1697-AA1690-AA1692)*G1685</f>
        <v>0.37047524126924142</v>
      </c>
    </row>
    <row r="1700" spans="2:27" hidden="1" outlineLevel="1" x14ac:dyDescent="0.3">
      <c r="F1700" s="10" t="s">
        <v>22</v>
      </c>
      <c r="G1700" s="33">
        <f>-G1688</f>
        <v>-24.611999999999995</v>
      </c>
      <c r="H1700" s="33">
        <f>H1697-H1699-H1692</f>
        <v>2.4744909170894092</v>
      </c>
      <c r="I1700" s="33">
        <f t="shared" ref="I1700" si="631">I1697-I1699-I1692</f>
        <v>2.4638609117125077</v>
      </c>
      <c r="J1700" s="33">
        <f t="shared" ref="J1700" si="632">J1697-J1699-J1692</f>
        <v>2.4532787413598012</v>
      </c>
      <c r="K1700" s="33">
        <f t="shared" ref="K1700" si="633">K1697-K1699-K1692</f>
        <v>2.4427441907736824</v>
      </c>
      <c r="L1700" s="33">
        <f t="shared" ref="L1700" si="634">L1697-L1699-L1692</f>
        <v>2.4322570456652013</v>
      </c>
      <c r="M1700" s="33">
        <f t="shared" ref="M1700" si="635">M1697-M1699-M1692</f>
        <v>2.4218170927097082</v>
      </c>
      <c r="N1700" s="33">
        <f t="shared" ref="N1700" si="636">N1697-N1699-N1692</f>
        <v>2.4114241195425139</v>
      </c>
      <c r="O1700" s="33">
        <f t="shared" ref="O1700" si="637">O1697-O1699-O1692</f>
        <v>2.4010779147545724</v>
      </c>
      <c r="P1700" s="33">
        <f t="shared" ref="P1700" si="638">P1697-P1699-P1692</f>
        <v>2.3907782678881775</v>
      </c>
      <c r="Q1700" s="33">
        <f t="shared" ref="Q1700" si="639">Q1697-Q1699-Q1692</f>
        <v>2.3805249694326802</v>
      </c>
      <c r="R1700" s="33">
        <f t="shared" ref="R1700" si="640">R1697-R1699-R1692</f>
        <v>2.3703178108202341</v>
      </c>
      <c r="S1700" s="33">
        <f t="shared" ref="S1700" si="641">S1697-S1699-S1692</f>
        <v>2.3601565844215431</v>
      </c>
      <c r="T1700" s="33">
        <f t="shared" ref="T1700" si="642">T1697-T1699-T1692</f>
        <v>2.3500410835416465</v>
      </c>
      <c r="U1700" s="33">
        <f t="shared" ref="U1700" si="643">U1697-U1699-U1692</f>
        <v>2.339971102415709</v>
      </c>
      <c r="V1700" s="33">
        <f t="shared" ref="V1700" si="644">V1697-V1699-V1692</f>
        <v>2.3299464362048381</v>
      </c>
      <c r="W1700" s="33">
        <f t="shared" ref="W1700" si="645">W1697-W1699-W1692</f>
        <v>2.3199668809919167</v>
      </c>
      <c r="X1700" s="33">
        <f t="shared" ref="X1700" si="646">X1697-X1699-X1692</f>
        <v>2.310032233777453</v>
      </c>
      <c r="Y1700" s="33">
        <f t="shared" ref="Y1700" si="647">Y1697-Y1699-Y1692</f>
        <v>2.3001422924754547</v>
      </c>
      <c r="Z1700" s="33">
        <f t="shared" ref="Z1700" si="648">Z1697-Z1699-Z1692</f>
        <v>2.2902968559093155</v>
      </c>
      <c r="AA1700" s="33">
        <f t="shared" ref="AA1700" si="649">AA1697-AA1699-AA1692</f>
        <v>2.2804957238077241</v>
      </c>
    </row>
    <row r="1701" spans="2:27" ht="13.5" hidden="1" outlineLevel="1" thickBot="1" x14ac:dyDescent="0.35">
      <c r="F1701" s="3" t="s">
        <v>68</v>
      </c>
      <c r="G1701" s="40">
        <f>IRR(G1700:AA1700)</f>
        <v>7.4208781480988861E-2</v>
      </c>
      <c r="H1701" s="34"/>
      <c r="I1701" s="34"/>
      <c r="J1701" s="3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</row>
    <row r="1702" spans="2:27" ht="13.5" collapsed="1" thickTop="1" x14ac:dyDescent="0.3"/>
    <row r="1703" spans="2:27" x14ac:dyDescent="0.3">
      <c r="B1703" s="11" t="s">
        <v>179</v>
      </c>
      <c r="C1703" s="11" t="s">
        <v>52</v>
      </c>
    </row>
    <row r="1704" spans="2:27" x14ac:dyDescent="0.3">
      <c r="C1704" s="11" t="s">
        <v>141</v>
      </c>
      <c r="D1704" s="54">
        <f>D1735</f>
        <v>902</v>
      </c>
    </row>
    <row r="1705" spans="2:27" x14ac:dyDescent="0.3">
      <c r="C1705" s="16" t="s">
        <v>78</v>
      </c>
      <c r="D1705" s="37">
        <f>(G1734+G1737+G1744)/G1740*1000</f>
        <v>0.43660467233947292</v>
      </c>
    </row>
    <row r="1706" spans="2:27" x14ac:dyDescent="0.3">
      <c r="C1706" s="13" t="s">
        <v>77</v>
      </c>
      <c r="D1706" s="39">
        <f>(G1715+G1718+G1725)/G1721*1000</f>
        <v>0.66650289813270824</v>
      </c>
    </row>
    <row r="1707" spans="2:27" x14ac:dyDescent="0.3">
      <c r="C1707" s="13" t="s">
        <v>61</v>
      </c>
      <c r="D1707" s="36">
        <f>G1728</f>
        <v>9.62181754590406E-2</v>
      </c>
    </row>
    <row r="1708" spans="2:27" x14ac:dyDescent="0.3">
      <c r="C1708" s="13" t="s">
        <v>73</v>
      </c>
      <c r="D1708" s="25">
        <f>SUM(G1727:AA1727)</f>
        <v>2.3681217343979069</v>
      </c>
    </row>
    <row r="1709" spans="2:27" ht="13.5" thickBot="1" x14ac:dyDescent="0.35">
      <c r="C1709" s="23" t="s">
        <v>68</v>
      </c>
      <c r="D1709" s="26">
        <f>G1747</f>
        <v>8.2333809803224911E-2</v>
      </c>
    </row>
    <row r="1710" spans="2:27" ht="13.5" hidden="1" outlineLevel="1" thickTop="1" x14ac:dyDescent="0.3">
      <c r="E1710" s="20"/>
      <c r="F1710" s="38" t="s">
        <v>75</v>
      </c>
    </row>
    <row r="1711" spans="2:27" hidden="1" outlineLevel="1" x14ac:dyDescent="0.3">
      <c r="C1711" s="11" t="s">
        <v>71</v>
      </c>
      <c r="F1711" s="13" t="s">
        <v>25</v>
      </c>
      <c r="G1711" s="14">
        <v>7.0000000000000007E-2</v>
      </c>
    </row>
    <row r="1712" spans="2:27" hidden="1" outlineLevel="1" x14ac:dyDescent="0.3">
      <c r="C1712" s="18" t="s">
        <v>53</v>
      </c>
      <c r="D1712" s="19">
        <f>分布式光伏电站IRR汇总!$B$2</f>
        <v>6</v>
      </c>
      <c r="F1712" s="13" t="s">
        <v>26</v>
      </c>
      <c r="G1712" s="14">
        <v>0.25</v>
      </c>
    </row>
    <row r="1713" spans="3:27" hidden="1" outlineLevel="1" x14ac:dyDescent="0.3">
      <c r="C1713" s="18" t="s">
        <v>56</v>
      </c>
      <c r="D1713" s="19">
        <f>分布式光伏电站IRR汇总!$B$3</f>
        <v>120</v>
      </c>
      <c r="F1713" s="1" t="s">
        <v>44</v>
      </c>
      <c r="G1713" s="4"/>
      <c r="H1713" s="5">
        <v>1</v>
      </c>
      <c r="I1713" s="5">
        <v>2</v>
      </c>
      <c r="J1713" s="5">
        <v>3</v>
      </c>
      <c r="K1713" s="5">
        <v>4</v>
      </c>
      <c r="L1713" s="5">
        <v>5</v>
      </c>
      <c r="M1713" s="5">
        <v>6</v>
      </c>
      <c r="N1713" s="5">
        <v>7</v>
      </c>
      <c r="O1713" s="5">
        <v>8</v>
      </c>
      <c r="P1713" s="5">
        <v>9</v>
      </c>
      <c r="Q1713" s="5">
        <v>10</v>
      </c>
      <c r="R1713" s="5">
        <v>11</v>
      </c>
      <c r="S1713" s="5">
        <v>12</v>
      </c>
      <c r="T1713" s="5">
        <v>13</v>
      </c>
      <c r="U1713" s="5">
        <v>14</v>
      </c>
      <c r="V1713" s="5">
        <v>15</v>
      </c>
      <c r="W1713" s="5">
        <v>16</v>
      </c>
      <c r="X1713" s="5">
        <v>17</v>
      </c>
      <c r="Y1713" s="5">
        <v>18</v>
      </c>
      <c r="Z1713" s="5">
        <v>19</v>
      </c>
      <c r="AA1713" s="5">
        <v>20</v>
      </c>
    </row>
    <row r="1714" spans="3:27" hidden="1" outlineLevel="1" x14ac:dyDescent="0.3">
      <c r="C1714" s="18" t="s">
        <v>57</v>
      </c>
      <c r="D1714" s="19">
        <f>分布式光伏电站IRR汇总!$B$4</f>
        <v>3</v>
      </c>
      <c r="F1714" s="16"/>
      <c r="G1714" s="2" t="s">
        <v>0</v>
      </c>
      <c r="H1714" s="2" t="s">
        <v>1</v>
      </c>
      <c r="I1714" s="2" t="s">
        <v>2</v>
      </c>
      <c r="J1714" s="2" t="s">
        <v>3</v>
      </c>
      <c r="K1714" s="2" t="s">
        <v>4</v>
      </c>
      <c r="L1714" s="2" t="s">
        <v>5</v>
      </c>
      <c r="M1714" s="2" t="s">
        <v>6</v>
      </c>
      <c r="N1714" s="2" t="s">
        <v>7</v>
      </c>
      <c r="O1714" s="2" t="s">
        <v>8</v>
      </c>
      <c r="P1714" s="2" t="s">
        <v>9</v>
      </c>
      <c r="Q1714" s="2" t="s">
        <v>10</v>
      </c>
      <c r="R1714" s="2" t="s">
        <v>11</v>
      </c>
      <c r="S1714" s="2" t="s">
        <v>12</v>
      </c>
      <c r="T1714" s="2" t="s">
        <v>13</v>
      </c>
      <c r="U1714" s="2" t="s">
        <v>45</v>
      </c>
      <c r="V1714" s="2" t="s">
        <v>46</v>
      </c>
      <c r="W1714" s="2" t="s">
        <v>47</v>
      </c>
      <c r="X1714" s="2" t="s">
        <v>48</v>
      </c>
      <c r="Y1714" s="2" t="s">
        <v>49</v>
      </c>
      <c r="Z1714" s="2" t="s">
        <v>50</v>
      </c>
      <c r="AA1714" s="2" t="s">
        <v>127</v>
      </c>
    </row>
    <row r="1715" spans="3:27" hidden="1" outlineLevel="1" x14ac:dyDescent="0.3">
      <c r="C1715" s="18" t="s">
        <v>54</v>
      </c>
      <c r="D1715" s="19">
        <f>分布式光伏电站IRR汇总!$B$5</f>
        <v>5</v>
      </c>
      <c r="F1715" s="6" t="s">
        <v>14</v>
      </c>
      <c r="G1715" s="33">
        <f>D1736</f>
        <v>24.611999999999995</v>
      </c>
      <c r="H1715" s="33"/>
      <c r="I1715" s="33"/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  <c r="T1715" s="33"/>
      <c r="U1715" s="33"/>
      <c r="V1715" s="33"/>
      <c r="W1715" s="33"/>
      <c r="X1715" s="33"/>
      <c r="Y1715" s="33"/>
      <c r="Z1715" s="33"/>
      <c r="AA1715" s="33"/>
    </row>
    <row r="1716" spans="3:27" hidden="1" outlineLevel="1" x14ac:dyDescent="0.3">
      <c r="C1716" s="18" t="s">
        <v>55</v>
      </c>
      <c r="D1716" s="19">
        <f>分布式光伏电站IRR汇总!$B$6</f>
        <v>15</v>
      </c>
      <c r="F1716" s="6" t="s">
        <v>15</v>
      </c>
      <c r="G1716" s="33">
        <f>SUM(H1717:AA1717)</f>
        <v>12.385144234005573</v>
      </c>
      <c r="H1716" s="33"/>
      <c r="I1716" s="33"/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  <c r="T1716" s="33"/>
      <c r="U1716" s="33"/>
      <c r="V1716" s="33"/>
      <c r="W1716" s="33"/>
      <c r="X1716" s="33"/>
      <c r="Y1716" s="33"/>
      <c r="Z1716" s="33"/>
      <c r="AA1716" s="33"/>
    </row>
    <row r="1717" spans="3:27" hidden="1" outlineLevel="1" x14ac:dyDescent="0.3">
      <c r="C1717" s="18" t="s">
        <v>42</v>
      </c>
      <c r="D1717" s="19">
        <f>分布式光伏电站IRR汇总!$B$7</f>
        <v>4.1019999999999994</v>
      </c>
      <c r="F1717" s="7" t="s">
        <v>16</v>
      </c>
      <c r="G1717" s="33"/>
      <c r="H1717" s="33">
        <f>D1736*(1-D1734)/D1730/((1+G1711)^H1713)</f>
        <v>1.0925887850467286</v>
      </c>
      <c r="I1717" s="33">
        <f>D1736*(1-D1734)/D1730/((1+G1711)^I1713)</f>
        <v>1.0211110140623632</v>
      </c>
      <c r="J1717" s="33">
        <f>D1736*(1-D1734)/D1730/((1+G1711)^J1713)</f>
        <v>0.95430935893678792</v>
      </c>
      <c r="K1717" s="33">
        <f>D1736*(1-D1734)/D1730/((1+G1711)^K1713)</f>
        <v>0.89187790554839996</v>
      </c>
      <c r="L1717" s="33">
        <f>D1736*(1-D1734)/D1730/((1+G1711)^L1713)</f>
        <v>0.83353075284897193</v>
      </c>
      <c r="M1717" s="33">
        <f>D1736*(1-D1734)/D1730/((1+G1711)^M1713)</f>
        <v>0.77900070359717</v>
      </c>
      <c r="N1717" s="33">
        <f>D1736*(1-D1734)/D1730/((1+G1711)^N1713)</f>
        <v>0.72803804074501866</v>
      </c>
      <c r="O1717" s="33">
        <f>D1736*(1-D1734)/D1730/((1+G1711)^O1713)</f>
        <v>0.6804093838738493</v>
      </c>
      <c r="P1717" s="33">
        <f>D1736*(1-D1734)/D1730/((1+G1711)^P1713)</f>
        <v>0.63589662044284967</v>
      </c>
      <c r="Q1717" s="33">
        <f>D1736*(1-D1734)/D1730/((1+G1711)^Q1713)</f>
        <v>0.59429590695593437</v>
      </c>
      <c r="R1717" s="33">
        <f>D1736*(1-D1734)/D1730/((1+G1711)^R1713)</f>
        <v>0.55541673547283577</v>
      </c>
      <c r="S1717" s="33">
        <f>D1736*(1-D1734)/D1730/((1+G1711)^S1713)</f>
        <v>0.51908106118956621</v>
      </c>
      <c r="T1717" s="33">
        <f>D1736*(1-D1734)/D1730/((1+G1711)^T1713)</f>
        <v>0.4851224870930525</v>
      </c>
      <c r="U1717" s="33">
        <f>D1736*(1-D1734)/D1730/((1+G1711)^U1713)</f>
        <v>0.45338550195612387</v>
      </c>
      <c r="V1717" s="33">
        <f>D1736*(1-D1734)/D1730/((1+G1711)^V1713)</f>
        <v>0.4237247681832933</v>
      </c>
      <c r="W1717" s="33">
        <f>D1736*(1-D1734)/D1730/((1+G1711)^W1713)</f>
        <v>0.39600445624606856</v>
      </c>
      <c r="X1717" s="33">
        <f>D1736*(1-D1734)/D1730/((1+G1711)^X1713)</f>
        <v>0.37009762265987711</v>
      </c>
      <c r="Y1717" s="33">
        <f>D1736*(1-D1734)/D1730/((1+G1711)^Y1713)</f>
        <v>0.34588562865409078</v>
      </c>
      <c r="Z1717" s="33">
        <f>D1736*(1-D1734)/D1730/((1+G1711)^Z1713)</f>
        <v>0.323257596872982</v>
      </c>
      <c r="AA1717" s="33">
        <f>D1736*(1-D1734)/D1730/((1+G1711)^AA1713)</f>
        <v>0.30210990361960938</v>
      </c>
    </row>
    <row r="1718" spans="3:27" hidden="1" outlineLevel="1" x14ac:dyDescent="0.3">
      <c r="C1718" s="21" t="s">
        <v>32</v>
      </c>
      <c r="D1718" s="19">
        <f>分布式光伏电站IRR汇总!$B$8</f>
        <v>1.8870000000000002</v>
      </c>
      <c r="F1718" s="6" t="s">
        <v>17</v>
      </c>
      <c r="G1718" s="33">
        <f>SUM(H1719:AA1719)</f>
        <v>2.5425634189238777</v>
      </c>
      <c r="H1718" s="33"/>
      <c r="I1718" s="33"/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  <c r="T1718" s="33"/>
      <c r="U1718" s="33"/>
      <c r="V1718" s="33"/>
      <c r="W1718" s="33"/>
      <c r="X1718" s="33"/>
      <c r="Y1718" s="33"/>
      <c r="Z1718" s="33"/>
      <c r="AA1718" s="33"/>
    </row>
    <row r="1719" spans="3:27" hidden="1" outlineLevel="1" x14ac:dyDescent="0.3">
      <c r="C1719" s="21" t="s">
        <v>33</v>
      </c>
      <c r="D1719" s="19">
        <f>分布式光伏电站IRR汇总!$B$9</f>
        <v>0.18500000000000003</v>
      </c>
      <c r="F1719" s="7" t="s">
        <v>18</v>
      </c>
      <c r="G1719" s="33"/>
      <c r="H1719" s="33">
        <f>D1733*D1712/((1+G1711)^H1713)</f>
        <v>0.22429906542056072</v>
      </c>
      <c r="I1719" s="33">
        <f>D1733*D1712/((1+G1711)^I1713)</f>
        <v>0.20962529478557079</v>
      </c>
      <c r="J1719" s="33">
        <f>D1733*D1712/((1+G1711)^J1713)</f>
        <v>0.19591149045380446</v>
      </c>
      <c r="K1719" s="33">
        <f>D1733*D1712/((1+G1711)^K1713)</f>
        <v>0.18309485089140604</v>
      </c>
      <c r="L1719" s="33">
        <f>D1733*D1712/((1+G1711)^L1713)</f>
        <v>0.17111668307608041</v>
      </c>
      <c r="M1719" s="33">
        <f>D1733*D1712/((1+G1711)^M1713)</f>
        <v>0.15992213371596301</v>
      </c>
      <c r="N1719" s="33">
        <f>D1733*D1712/((1+G1711)^N1713)</f>
        <v>0.14945993805230187</v>
      </c>
      <c r="O1719" s="33">
        <f>D1733*D1712/((1+G1711)^O1713)</f>
        <v>0.13968218509560923</v>
      </c>
      <c r="P1719" s="33">
        <f>D1733*D1712/((1+G1711)^P1713)</f>
        <v>0.13054409822019553</v>
      </c>
      <c r="Q1719" s="33">
        <f>D1733*D1712/((1+G1711)^Q1713)</f>
        <v>0.12200383011233226</v>
      </c>
      <c r="R1719" s="33">
        <f>D1733*D1712/((1+G1711)^R1713)</f>
        <v>0.1140222711330208</v>
      </c>
      <c r="S1719" s="33">
        <f>D1733*D1712/((1+G1711)^S1713)</f>
        <v>0.10656287021777647</v>
      </c>
      <c r="T1719" s="33">
        <f>D1733*D1712/((1+G1711)^T1713)</f>
        <v>9.9591467493249028E-2</v>
      </c>
      <c r="U1719" s="33">
        <f>D1733*D1712/((1+G1711)^U1713)</f>
        <v>9.3076137844157969E-2</v>
      </c>
      <c r="V1719" s="33">
        <f>D1733*D1712/((1+G1711)^V1713)</f>
        <v>8.6987044714166323E-2</v>
      </c>
      <c r="W1719" s="33">
        <f>D1733*D1712/((1+G1711)^W1713)</f>
        <v>8.1296303471183481E-2</v>
      </c>
      <c r="X1719" s="33">
        <f>D1733*D1712/((1+G1711)^X1713)</f>
        <v>7.5977853711386434E-2</v>
      </c>
      <c r="Y1719" s="33">
        <f>D1733*D1712/((1+G1711)^Y1713)</f>
        <v>7.1007339917183582E-2</v>
      </c>
      <c r="Z1719" s="33">
        <f>D1733*D1712/((1+G1711)^Z1713)</f>
        <v>6.6361999922601472E-2</v>
      </c>
      <c r="AA1719" s="33">
        <f>D1733*D1712/((1+G1711)^AA1713)</f>
        <v>6.2020560675328483E-2</v>
      </c>
    </row>
    <row r="1720" spans="3:27" hidden="1" outlineLevel="1" x14ac:dyDescent="0.3">
      <c r="C1720" s="21" t="s">
        <v>34</v>
      </c>
      <c r="D1720" s="19">
        <f>分布式光伏电站IRR汇总!$B$10</f>
        <v>0.222</v>
      </c>
      <c r="F1720" s="6" t="s">
        <v>19</v>
      </c>
      <c r="G1720" s="33"/>
      <c r="H1720" s="33"/>
      <c r="I1720" s="33"/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  <c r="Z1720" s="33"/>
      <c r="AA1720" s="33">
        <f>D1733*D1736/((1+G1711)^AA1713)</f>
        <v>0.2544083398901974</v>
      </c>
    </row>
    <row r="1721" spans="3:27" hidden="1" outlineLevel="1" x14ac:dyDescent="0.3">
      <c r="C1721" s="21" t="s">
        <v>35</v>
      </c>
      <c r="D1721" s="19">
        <f>分布式光伏电站IRR汇总!$B$11</f>
        <v>0.44400000000000001</v>
      </c>
      <c r="F1721" s="8" t="s">
        <v>64</v>
      </c>
      <c r="G1721" s="33">
        <f>SUM(H1722:AA1722)</f>
        <v>47093.978374820595</v>
      </c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  <c r="AA1721" s="33"/>
    </row>
    <row r="1722" spans="3:27" hidden="1" outlineLevel="1" x14ac:dyDescent="0.3">
      <c r="C1722" s="21" t="s">
        <v>36</v>
      </c>
      <c r="D1722" s="19">
        <f>分布式光伏电站IRR汇总!$B$12</f>
        <v>0.222</v>
      </c>
      <c r="F1722" s="9" t="s">
        <v>65</v>
      </c>
      <c r="G1722" s="33"/>
      <c r="H1722" s="33">
        <f>D1712*D1729*(1-D1731)*D1735/((1+G1711)^H1713)</f>
        <v>4292.5758504672885</v>
      </c>
      <c r="I1722" s="33">
        <f>D1712*D1729*(1-D1731)*(1-D1732)^(I1713-1)*D1735/((1+G1711)^I1713)</f>
        <v>3993.7002421870902</v>
      </c>
      <c r="J1722" s="33">
        <f>D1712*D1729*(1-D1731)*(1-D1732)^(J1713-1)*D1735/((1+G1711)^J1713)</f>
        <v>3715.6341972871478</v>
      </c>
      <c r="K1722" s="33">
        <f>D1712*D1729*(1-D1731)*(1-D1732)^(K1713-1)*D1735/((1+G1711)^K1713)</f>
        <v>3456.9288256068753</v>
      </c>
      <c r="L1722" s="33">
        <f>D1712*D1729*(1-D1731)*(1-D1732)^(L1713-1)*D1735/((1+G1711)^L1713)</f>
        <v>3216.236117655742</v>
      </c>
      <c r="M1722" s="33">
        <f>D1712*D1729*(1-D1731)*(1-D1732)^(M1713-1)*D1735/((1+G1711)^M1713)</f>
        <v>2992.3019206787772</v>
      </c>
      <c r="N1722" s="33">
        <f>D1712*D1729*(1-D1731)*(1-D1732)^(N1713-1)*D1735/((1+G1711)^N1713)</f>
        <v>2783.9594037717034</v>
      </c>
      <c r="O1722" s="33">
        <f>D1712*D1729*(1-D1731)*(1-D1732)^(O1713-1)*D1735/((1+G1711)^O1713)</f>
        <v>2590.1229779950754</v>
      </c>
      <c r="P1722" s="33">
        <f>D1712*D1729*(1-D1731)*(1-D1732)^(P1713-1)*D1735/((1+G1711)^P1713)</f>
        <v>2409.7826398075681</v>
      </c>
      <c r="Q1722" s="33">
        <f>D1712*D1729*(1-D1731)*(1-D1732)^(Q1713-1)*D1735/((1+G1711)^Q1713)</f>
        <v>2241.9987083443311</v>
      </c>
      <c r="R1722" s="33">
        <f>D1712*D1729*(1-D1731)*(1-D1732)^(R1713-1)*D1735/((1+G1711)^R1713)</f>
        <v>2085.8969291184876</v>
      </c>
      <c r="S1722" s="33">
        <f>D1712*D1729*(1-D1731)*(1-D1732)^(S1713-1)*D1735/((1+G1711)^S1713)</f>
        <v>1940.6639186331349</v>
      </c>
      <c r="T1722" s="33">
        <f>D1712*D1729*(1-D1731)*(1-D1732)^(T1713-1)*D1735/((1+G1711)^T1713)</f>
        <v>1805.5429261675572</v>
      </c>
      <c r="U1722" s="33">
        <f>D1712*D1729*(1-D1731)*(1-D1732)^(U1713-1)*D1735/((1+G1711)^U1713)</f>
        <v>1679.8298906540215</v>
      </c>
      <c r="V1722" s="33">
        <f>D1712*D1729*(1-D1731)*(1-D1732)^(V1713-1)*D1735/((1+G1711)^V1713)</f>
        <v>1562.8697720991386</v>
      </c>
      <c r="W1722" s="33">
        <f>D1712*D1729*(1-D1731)*(1-D1732)^(W1713-1)*D1735/((1+G1711)^W1713)</f>
        <v>1454.0531384342926</v>
      </c>
      <c r="X1722" s="33">
        <f>D1712*D1729*(1-D1731)*(1-D1732)^(X1713-1)*D1735/((1+G1711)^X1713)</f>
        <v>1352.8129900105964</v>
      </c>
      <c r="Y1722" s="33">
        <f>D1712*D1729*(1-D1731)*(1-D1732)^(Y1713-1)*D1735/((1+G1711)^Y1713)</f>
        <v>1258.6218051921016</v>
      </c>
      <c r="Z1722" s="33">
        <f>D1712*D1729*(1-D1731)*(1-D1732)^(Z1713-1)*D1735/((1+G1711)^Z1713)</f>
        <v>1170.9887916530256</v>
      </c>
      <c r="AA1722" s="33">
        <f>D1712*D1729*(1-D1731)*(1-D1732)^(AA1713-1)*D1735/((1+G1711)^AA1713)</f>
        <v>1089.4573290566236</v>
      </c>
    </row>
    <row r="1723" spans="3:27" hidden="1" outlineLevel="1" x14ac:dyDescent="0.3">
      <c r="C1723" s="21" t="s">
        <v>37</v>
      </c>
      <c r="D1723" s="19">
        <f>分布式光伏电站IRR汇总!$B$13</f>
        <v>0.15</v>
      </c>
      <c r="F1723" s="4" t="s">
        <v>66</v>
      </c>
      <c r="G1723" s="33">
        <f>SUM(H1724:AA1724)</f>
        <v>34.387677653452563</v>
      </c>
      <c r="H1723" s="33"/>
      <c r="I1723" s="33"/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  <c r="Z1723" s="33"/>
      <c r="AA1723" s="33"/>
    </row>
    <row r="1724" spans="3:27" hidden="1" outlineLevel="1" x14ac:dyDescent="0.3">
      <c r="C1724" s="21" t="s">
        <v>38</v>
      </c>
      <c r="D1724" s="19">
        <f>分布式光伏电站IRR汇总!$B$14</f>
        <v>3.7000000000000005E-2</v>
      </c>
      <c r="F1724" s="7" t="s">
        <v>67</v>
      </c>
      <c r="G1724" s="33"/>
      <c r="H1724" s="33">
        <f>H1722*D1740/1000</f>
        <v>3.1344074071216435</v>
      </c>
      <c r="I1724" s="33">
        <f>I1722*D1740/1000</f>
        <v>2.916170629709903</v>
      </c>
      <c r="J1724" s="33">
        <f>J1722*D1740/1000</f>
        <v>2.7131288428749611</v>
      </c>
      <c r="K1724" s="33">
        <f>K1722*D1740/1000</f>
        <v>2.5242240776467519</v>
      </c>
      <c r="L1724" s="33">
        <f>L1722*D1740/1000</f>
        <v>2.3484720273806929</v>
      </c>
      <c r="M1724" s="33">
        <f>M1722*D1740/1000</f>
        <v>2.1849569189322242</v>
      </c>
      <c r="N1724" s="33">
        <f>N1722*D1740/1000</f>
        <v>2.032826740931803</v>
      </c>
      <c r="O1724" s="33">
        <f>O1722*D1740/1000</f>
        <v>1.8912888042968317</v>
      </c>
      <c r="P1724" s="33">
        <f>P1722*D1740/1000</f>
        <v>1.7596056118481271</v>
      </c>
      <c r="Q1724" s="33">
        <f>Q1722*D1740/1000</f>
        <v>1.6370910155091689</v>
      </c>
      <c r="R1724" s="33">
        <f>R1722*D1740/1000</f>
        <v>1.5231066410648391</v>
      </c>
      <c r="S1724" s="33">
        <f>S1722*D1740/1000</f>
        <v>1.4170585618505116</v>
      </c>
      <c r="T1724" s="33">
        <f>T1722*D1740/1000</f>
        <v>1.3183942040394248</v>
      </c>
      <c r="U1724" s="33">
        <f>U1722*D1740/1000</f>
        <v>1.2265994674030347</v>
      </c>
      <c r="V1724" s="33">
        <f>V1722*D1740/1000</f>
        <v>1.1411960465417954</v>
      </c>
      <c r="W1724" s="33">
        <f>W1722*D1740/1000</f>
        <v>1.0617389386283718</v>
      </c>
      <c r="X1724" s="33">
        <f>X1722*D1740/1000</f>
        <v>0.9878141246771438</v>
      </c>
      <c r="Y1724" s="33">
        <f>Y1722*D1740/1000</f>
        <v>0.91903641225803434</v>
      </c>
      <c r="Z1724" s="33">
        <f>Z1722*D1740/1000</f>
        <v>0.85504742841390036</v>
      </c>
      <c r="AA1724" s="33">
        <f>AA1722*D1740/1000</f>
        <v>0.79551375232340005</v>
      </c>
    </row>
    <row r="1725" spans="3:27" hidden="1" outlineLevel="1" x14ac:dyDescent="0.3">
      <c r="C1725" s="21" t="s">
        <v>39</v>
      </c>
      <c r="D1725" s="19">
        <f>分布式光伏电站IRR汇总!$B$15</f>
        <v>0.25900000000000006</v>
      </c>
      <c r="F1725" s="4" t="s">
        <v>20</v>
      </c>
      <c r="G1725" s="33">
        <f>SUM(H1726:V1726)</f>
        <v>4.2337096524931424</v>
      </c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</row>
    <row r="1726" spans="3:27" hidden="1" outlineLevel="1" x14ac:dyDescent="0.3">
      <c r="C1726" s="21" t="s">
        <v>40</v>
      </c>
      <c r="D1726" s="19">
        <f>分布式光伏电站IRR汇总!$B$16</f>
        <v>7.400000000000001E-2</v>
      </c>
      <c r="F1726" s="7" t="s">
        <v>21</v>
      </c>
      <c r="G1726" s="33"/>
      <c r="H1726" s="33">
        <f>(H1724-H1717-H1719)*G1712</f>
        <v>0.45437988916358851</v>
      </c>
      <c r="I1726" s="33">
        <f>(I1724-I1717-I1719)*G1712</f>
        <v>0.42135858021549227</v>
      </c>
      <c r="J1726" s="33">
        <f>(J1724-J1717-J1719)*G1712</f>
        <v>0.3907269983710922</v>
      </c>
      <c r="K1726" s="33">
        <f>(K1724-K1717-K1719)*G1712</f>
        <v>0.3623128303017365</v>
      </c>
      <c r="L1726" s="33">
        <f>(L1724-L1717-L1719)*G1712</f>
        <v>0.33595614786391015</v>
      </c>
      <c r="M1726" s="33">
        <f>(M1724-M1717-M1719)*G1712</f>
        <v>0.31150852040477278</v>
      </c>
      <c r="N1726" s="33">
        <f>(N1724-N1717-N1719)*G1712</f>
        <v>0.28883219053362064</v>
      </c>
      <c r="O1726" s="33">
        <f>(O1724-O1717-O1719)*G1712</f>
        <v>0.26779930883184333</v>
      </c>
      <c r="P1726" s="33">
        <f>(P1724-P1717-P1719)*G1712</f>
        <v>0.24829122329627051</v>
      </c>
      <c r="Q1726" s="33">
        <f>(Q1724-Q1717-Q1719)*G1712</f>
        <v>0.23019781961022556</v>
      </c>
      <c r="R1726" s="33">
        <f>(R1724-R1717-R1719)*G1712</f>
        <v>0.21341690861474563</v>
      </c>
      <c r="S1726" s="33">
        <f>(S1724-S1717-S1719)*G1712</f>
        <v>0.19785365761079224</v>
      </c>
      <c r="T1726" s="33">
        <f>(T1724-T1717-T1719)*G1712</f>
        <v>0.18342006236328082</v>
      </c>
      <c r="U1726" s="33">
        <f>(U1724-U1717-U1719)*G1712</f>
        <v>0.17003445690068819</v>
      </c>
      <c r="V1726" s="33">
        <f>(V1724-V1717-V1719)*G1712</f>
        <v>0.15762105841108395</v>
      </c>
      <c r="W1726" s="33">
        <f>(W1724-W1717-W1719)*G1712</f>
        <v>0.14610954472777996</v>
      </c>
      <c r="X1726" s="33">
        <f>(X1724-X1717-X1719)*G1712</f>
        <v>0.13543466207647006</v>
      </c>
      <c r="Y1726" s="33">
        <f>(Y1724-Y1717-Y1719)*G1712</f>
        <v>0.12553586092169</v>
      </c>
      <c r="Z1726" s="33">
        <f>(Z1724-Z1717-Z1719)*G1712</f>
        <v>0.11635695790457923</v>
      </c>
      <c r="AA1726" s="33">
        <f>(AA1724-AA1717-AA1719)*G1712</f>
        <v>0.10784582200711555</v>
      </c>
    </row>
    <row r="1727" spans="3:27" hidden="1" outlineLevel="1" x14ac:dyDescent="0.3">
      <c r="C1727" s="21" t="s">
        <v>41</v>
      </c>
      <c r="D1727" s="19">
        <f>分布式光伏电站IRR汇总!$B$17</f>
        <v>0.222</v>
      </c>
      <c r="F1727" s="10" t="s">
        <v>22</v>
      </c>
      <c r="G1727" s="33">
        <f>-G1715</f>
        <v>-24.611999999999995</v>
      </c>
      <c r="H1727" s="33">
        <f t="shared" ref="H1727:AA1727" si="650">H1724-H1726-H1719</f>
        <v>2.4557284525374943</v>
      </c>
      <c r="I1727" s="33">
        <f t="shared" si="650"/>
        <v>2.2851867547088398</v>
      </c>
      <c r="J1727" s="33">
        <f t="shared" si="650"/>
        <v>2.1264903540500644</v>
      </c>
      <c r="K1727" s="33">
        <f t="shared" si="650"/>
        <v>1.9788163964536094</v>
      </c>
      <c r="L1727" s="33">
        <f t="shared" si="650"/>
        <v>1.8413991964407022</v>
      </c>
      <c r="M1727" s="33">
        <f t="shared" si="650"/>
        <v>1.7135262648114884</v>
      </c>
      <c r="N1727" s="33">
        <f t="shared" si="650"/>
        <v>1.5945346123458806</v>
      </c>
      <c r="O1727" s="33">
        <f t="shared" si="650"/>
        <v>1.4838073103693792</v>
      </c>
      <c r="P1727" s="33">
        <f t="shared" si="650"/>
        <v>1.380770290331661</v>
      </c>
      <c r="Q1727" s="33">
        <f t="shared" si="650"/>
        <v>1.2848893657866112</v>
      </c>
      <c r="R1727" s="33">
        <f t="shared" si="650"/>
        <v>1.1956674613170726</v>
      </c>
      <c r="S1727" s="33">
        <f t="shared" si="650"/>
        <v>1.1126420340219427</v>
      </c>
      <c r="T1727" s="33">
        <f t="shared" si="650"/>
        <v>1.0353826741828949</v>
      </c>
      <c r="U1727" s="33">
        <f t="shared" si="650"/>
        <v>0.9634888726581885</v>
      </c>
      <c r="V1727" s="33">
        <f t="shared" si="650"/>
        <v>0.89658794341654513</v>
      </c>
      <c r="W1727" s="33">
        <f t="shared" si="650"/>
        <v>0.8343330904294084</v>
      </c>
      <c r="X1727" s="33">
        <f t="shared" si="650"/>
        <v>0.77640160888928733</v>
      </c>
      <c r="Y1727" s="33">
        <f t="shared" si="650"/>
        <v>0.72249321141916079</v>
      </c>
      <c r="Z1727" s="33">
        <f t="shared" si="650"/>
        <v>0.67232847058671963</v>
      </c>
      <c r="AA1727" s="33">
        <f t="shared" si="650"/>
        <v>0.62564736964095602</v>
      </c>
    </row>
    <row r="1728" spans="3:27" ht="13.5" hidden="1" outlineLevel="1" thickBot="1" x14ac:dyDescent="0.35">
      <c r="C1728" s="21" t="s">
        <v>74</v>
      </c>
      <c r="D1728" s="19">
        <f>分布式光伏电站IRR汇总!$B$18</f>
        <v>0.4</v>
      </c>
      <c r="F1728" s="3" t="s">
        <v>61</v>
      </c>
      <c r="G1728" s="35">
        <f>SUM(G1727:AA1727)/G1715</f>
        <v>9.62181754590406E-2</v>
      </c>
      <c r="H1728" s="34"/>
      <c r="I1728" s="34"/>
      <c r="J1728" s="3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</row>
    <row r="1729" spans="3:27" ht="13.5" hidden="1" outlineLevel="1" thickTop="1" x14ac:dyDescent="0.3">
      <c r="C1729" s="18" t="s">
        <v>58</v>
      </c>
      <c r="D1729" s="19">
        <f>分布式光伏电站IRR汇总!$B$19</f>
        <v>0.86599999999999999</v>
      </c>
    </row>
    <row r="1730" spans="3:27" hidden="1" outlineLevel="1" x14ac:dyDescent="0.3">
      <c r="C1730" s="18" t="s">
        <v>62</v>
      </c>
      <c r="D1730" s="19">
        <f>分布式光伏电站IRR汇总!$B$20</f>
        <v>20</v>
      </c>
      <c r="F1730" s="13" t="s">
        <v>25</v>
      </c>
      <c r="G1730" s="14">
        <v>0</v>
      </c>
    </row>
    <row r="1731" spans="3:27" hidden="1" outlineLevel="1" x14ac:dyDescent="0.3">
      <c r="C1731" s="18" t="s">
        <v>59</v>
      </c>
      <c r="D1731" s="52">
        <f>分布式光伏电站IRR汇总!$B$21</f>
        <v>0.02</v>
      </c>
      <c r="F1731" s="13" t="s">
        <v>26</v>
      </c>
      <c r="G1731" s="14">
        <v>0.25</v>
      </c>
      <c r="Q1731" s="15"/>
    </row>
    <row r="1732" spans="3:27" hidden="1" outlineLevel="1" x14ac:dyDescent="0.3">
      <c r="C1732" s="18" t="s">
        <v>60</v>
      </c>
      <c r="D1732" s="52">
        <f>分布式光伏电站IRR汇总!$B$22</f>
        <v>4.4999999999999997E-3</v>
      </c>
      <c r="F1732" s="1" t="s">
        <v>44</v>
      </c>
      <c r="G1732" s="4"/>
      <c r="H1732" s="5">
        <v>1</v>
      </c>
      <c r="I1732" s="5">
        <v>2</v>
      </c>
      <c r="J1732" s="5">
        <v>3</v>
      </c>
      <c r="K1732" s="5">
        <v>4</v>
      </c>
      <c r="L1732" s="5">
        <v>5</v>
      </c>
      <c r="M1732" s="5">
        <v>6</v>
      </c>
      <c r="N1732" s="5">
        <v>7</v>
      </c>
      <c r="O1732" s="5">
        <v>8</v>
      </c>
      <c r="P1732" s="5">
        <v>9</v>
      </c>
      <c r="Q1732" s="5">
        <v>10</v>
      </c>
      <c r="R1732" s="5">
        <v>11</v>
      </c>
      <c r="S1732" s="5">
        <v>12</v>
      </c>
      <c r="T1732" s="5">
        <v>13</v>
      </c>
      <c r="U1732" s="5">
        <v>14</v>
      </c>
      <c r="V1732" s="5">
        <v>15</v>
      </c>
      <c r="W1732" s="5">
        <v>16</v>
      </c>
      <c r="X1732" s="5">
        <v>17</v>
      </c>
      <c r="Y1732" s="5">
        <v>18</v>
      </c>
      <c r="Z1732" s="5">
        <v>19</v>
      </c>
      <c r="AA1732" s="5">
        <v>20</v>
      </c>
    </row>
    <row r="1733" spans="3:27" hidden="1" outlineLevel="1" x14ac:dyDescent="0.3">
      <c r="C1733" s="18" t="s">
        <v>28</v>
      </c>
      <c r="D1733" s="29">
        <f>分布式光伏电站IRR汇总!$B$23</f>
        <v>0.04</v>
      </c>
      <c r="F1733" s="16"/>
      <c r="G1733" s="2" t="s">
        <v>0</v>
      </c>
      <c r="H1733" s="2" t="s">
        <v>1</v>
      </c>
      <c r="I1733" s="2" t="s">
        <v>2</v>
      </c>
      <c r="J1733" s="2" t="s">
        <v>3</v>
      </c>
      <c r="K1733" s="2" t="s">
        <v>4</v>
      </c>
      <c r="L1733" s="2" t="s">
        <v>5</v>
      </c>
      <c r="M1733" s="2" t="s">
        <v>6</v>
      </c>
      <c r="N1733" s="2" t="s">
        <v>7</v>
      </c>
      <c r="O1733" s="2" t="s">
        <v>8</v>
      </c>
      <c r="P1733" s="2" t="s">
        <v>9</v>
      </c>
      <c r="Q1733" s="2" t="s">
        <v>10</v>
      </c>
      <c r="R1733" s="2" t="s">
        <v>11</v>
      </c>
      <c r="S1733" s="2" t="s">
        <v>12</v>
      </c>
      <c r="T1733" s="2" t="s">
        <v>13</v>
      </c>
      <c r="U1733" s="2" t="s">
        <v>45</v>
      </c>
      <c r="V1733" s="2" t="s">
        <v>46</v>
      </c>
      <c r="W1733" s="2" t="s">
        <v>47</v>
      </c>
      <c r="X1733" s="2" t="s">
        <v>48</v>
      </c>
      <c r="Y1733" s="2" t="s">
        <v>49</v>
      </c>
      <c r="Z1733" s="2" t="s">
        <v>50</v>
      </c>
      <c r="AA1733" s="2" t="s">
        <v>51</v>
      </c>
    </row>
    <row r="1734" spans="3:27" hidden="1" outlineLevel="1" x14ac:dyDescent="0.3">
      <c r="C1734" s="18" t="s">
        <v>43</v>
      </c>
      <c r="D1734" s="19">
        <f>分布式光伏电站IRR汇总!$B$24</f>
        <v>0.05</v>
      </c>
      <c r="F1734" s="6" t="s">
        <v>14</v>
      </c>
      <c r="G1734" s="33">
        <f>D1736</f>
        <v>24.611999999999995</v>
      </c>
      <c r="H1734" s="33"/>
      <c r="I1734" s="33"/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  <c r="Z1734" s="33"/>
      <c r="AA1734" s="33"/>
    </row>
    <row r="1735" spans="3:27" hidden="1" outlineLevel="1" x14ac:dyDescent="0.3">
      <c r="C1735" s="18" t="s">
        <v>126</v>
      </c>
      <c r="D1735" s="28">
        <f>Backup分地区光伏小时数及电价!E38</f>
        <v>902</v>
      </c>
      <c r="F1735" s="6" t="s">
        <v>15</v>
      </c>
      <c r="G1735" s="33">
        <f>SUM(H1736:AA1736)</f>
        <v>23.381399999999985</v>
      </c>
      <c r="H1735" s="33"/>
      <c r="I1735" s="33"/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  <c r="Z1735" s="33"/>
      <c r="AA1735" s="33"/>
    </row>
    <row r="1736" spans="3:27" hidden="1" outlineLevel="1" x14ac:dyDescent="0.3">
      <c r="C1736" s="24" t="s">
        <v>14</v>
      </c>
      <c r="D1736" s="30">
        <f>D1712*D1717</f>
        <v>24.611999999999995</v>
      </c>
      <c r="F1736" s="7" t="s">
        <v>16</v>
      </c>
      <c r="G1736" s="33"/>
      <c r="H1736" s="33">
        <f>D1736*(1-D1734)/D1730/((1+G1730)^H1732)</f>
        <v>1.1690699999999996</v>
      </c>
      <c r="I1736" s="33">
        <f>D1736*(1-D1734)/D1730/((1+G1730)^I1732)</f>
        <v>1.1690699999999996</v>
      </c>
      <c r="J1736" s="33">
        <f>D1736*(1-D1734)/D1730/((1+G1730)^J1732)</f>
        <v>1.1690699999999996</v>
      </c>
      <c r="K1736" s="33">
        <f>D1736*(1-D1734)/D1730/((1+G1730)^K1732)</f>
        <v>1.1690699999999996</v>
      </c>
      <c r="L1736" s="33">
        <f>D1736*(1-D1734)/D1730/((1+G1730)^L1732)</f>
        <v>1.1690699999999996</v>
      </c>
      <c r="M1736" s="33">
        <f>D1736*(1-D1734)/D1730/((1+G1730)^M1732)</f>
        <v>1.1690699999999996</v>
      </c>
      <c r="N1736" s="33">
        <f>D1736*(1-D1734)/D1730/((1+G1730)^N1732)</f>
        <v>1.1690699999999996</v>
      </c>
      <c r="O1736" s="33">
        <f>D1736*(1-D1734)/D1730/((1+G1730)^O1732)</f>
        <v>1.1690699999999996</v>
      </c>
      <c r="P1736" s="33">
        <f>D1736*(1-D1734)/D1730/((1+G1730)^P1732)</f>
        <v>1.1690699999999996</v>
      </c>
      <c r="Q1736" s="33">
        <f>D1736*(1-D1734)/D1730/((1+G1730)^Q1732)</f>
        <v>1.1690699999999996</v>
      </c>
      <c r="R1736" s="33">
        <f>D1736*(1-D1734)/D1730/((1+G1730)^R1732)</f>
        <v>1.1690699999999996</v>
      </c>
      <c r="S1736" s="33">
        <f>D1736*(1-D1734)/D1730/((1+G1730)^S1732)</f>
        <v>1.1690699999999996</v>
      </c>
      <c r="T1736" s="33">
        <f>D1736*(1-D1734)/D1730/((1+G1730)^T1732)</f>
        <v>1.1690699999999996</v>
      </c>
      <c r="U1736" s="33">
        <f>D1736*(1-D1734)/D1730/((1+G1730)^U1732)</f>
        <v>1.1690699999999996</v>
      </c>
      <c r="V1736" s="33">
        <f>D1736*(1-D1734)/D1730/((1+G1730)^V1732)</f>
        <v>1.1690699999999996</v>
      </c>
      <c r="W1736" s="33">
        <f>D1736*(1-D1734)/D1730/((1+G1730)^W1732)</f>
        <v>1.1690699999999996</v>
      </c>
      <c r="X1736" s="33">
        <f>D1736*(1-D1734)/D1730/((1+G1730)^X1732)</f>
        <v>1.1690699999999996</v>
      </c>
      <c r="Y1736" s="33">
        <f>D1736*(1-D1734)/D1730/((1+G1730)^Y1732)</f>
        <v>1.1690699999999996</v>
      </c>
      <c r="Z1736" s="33">
        <f>D1736*(1-D1734)/D1730/((1+G1730)^Z1732)</f>
        <v>1.1690699999999996</v>
      </c>
      <c r="AA1736" s="33">
        <f>D1736*(1-D1734)/D1730/((1+G1730)^AA1732)</f>
        <v>1.1690699999999996</v>
      </c>
    </row>
    <row r="1737" spans="3:27" hidden="1" outlineLevel="1" x14ac:dyDescent="0.3">
      <c r="C1737" s="18" t="s">
        <v>29</v>
      </c>
      <c r="D1737" s="29">
        <v>0.35980000000000001</v>
      </c>
      <c r="F1737" s="6" t="s">
        <v>17</v>
      </c>
      <c r="G1737" s="33">
        <f>SUM(H1738:AA1738)</f>
        <v>4.8000000000000025</v>
      </c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</row>
    <row r="1738" spans="3:27" hidden="1" outlineLevel="1" x14ac:dyDescent="0.3">
      <c r="C1738" s="18" t="s">
        <v>30</v>
      </c>
      <c r="D1738" s="31">
        <f>Backup分地区光伏小时数及电价!I38</f>
        <v>0.73019266666666649</v>
      </c>
      <c r="F1738" s="7" t="s">
        <v>18</v>
      </c>
      <c r="G1738" s="33"/>
      <c r="H1738" s="33">
        <f>D1733*D1712/((1+G1730)^H1732)</f>
        <v>0.24</v>
      </c>
      <c r="I1738" s="33">
        <f>D1733*D1712/((1+G1730)^I1732)</f>
        <v>0.24</v>
      </c>
      <c r="J1738" s="33">
        <f>D1733*D1712/((1+G1730)^J1732)</f>
        <v>0.24</v>
      </c>
      <c r="K1738" s="33">
        <f>D1733*D1712/((1+G1730)^K1732)</f>
        <v>0.24</v>
      </c>
      <c r="L1738" s="33">
        <f>D1733*D1712/((1+G1730)^L1732)</f>
        <v>0.24</v>
      </c>
      <c r="M1738" s="33">
        <f>D1733*D1712/((1+G1730)^M1732)</f>
        <v>0.24</v>
      </c>
      <c r="N1738" s="33">
        <f>D1733*D1712/((1+G1730)^N1732)</f>
        <v>0.24</v>
      </c>
      <c r="O1738" s="33">
        <f>D1733*D1712/((1+G1730)^O1732)</f>
        <v>0.24</v>
      </c>
      <c r="P1738" s="33">
        <f>D1733*D1712/((1+G1730)^P1732)</f>
        <v>0.24</v>
      </c>
      <c r="Q1738" s="33">
        <f>D1733*D1712/((1+G1730)^Q1732)</f>
        <v>0.24</v>
      </c>
      <c r="R1738" s="33">
        <f>D1733*D1712/((1+G1730)^R1732)</f>
        <v>0.24</v>
      </c>
      <c r="S1738" s="33">
        <f>D1733*D1712/((1+G1730)^S1732)</f>
        <v>0.24</v>
      </c>
      <c r="T1738" s="33">
        <f>D1733*D1712/((1+G1730)^T1732)</f>
        <v>0.24</v>
      </c>
      <c r="U1738" s="33">
        <f>D1733*D1712/((1+G1730)^U1732)</f>
        <v>0.24</v>
      </c>
      <c r="V1738" s="33">
        <f>D1733*D1712/((1+G1730)^V1732)</f>
        <v>0.24</v>
      </c>
      <c r="W1738" s="33">
        <f>D1733*D1712/((1+G1730)^W1732)</f>
        <v>0.24</v>
      </c>
      <c r="X1738" s="33">
        <f>D1733*D1712/((1+G1730)^X1732)</f>
        <v>0.24</v>
      </c>
      <c r="Y1738" s="33">
        <f>D1733*D1712/((1+G1730)^Y1732)</f>
        <v>0.24</v>
      </c>
      <c r="Z1738" s="33">
        <f>D1733*D1712/((1+G1730)^Z1732)</f>
        <v>0.24</v>
      </c>
      <c r="AA1738" s="33">
        <f>D1733*D1712/((1+G1730)^AA1732)</f>
        <v>0.24</v>
      </c>
    </row>
    <row r="1739" spans="3:27" hidden="1" outlineLevel="1" x14ac:dyDescent="0.3">
      <c r="C1739" s="18" t="s">
        <v>70</v>
      </c>
      <c r="D1739" s="32">
        <f>分布式光伏电站IRR汇总!$B$27</f>
        <v>1</v>
      </c>
      <c r="F1739" s="6" t="s">
        <v>19</v>
      </c>
      <c r="G1739" s="33"/>
      <c r="H1739" s="33"/>
      <c r="I1739" s="33"/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  <c r="Z1739" s="33"/>
      <c r="AA1739" s="33">
        <f>D1733*D1736/((1+G1730)^AA1732)</f>
        <v>0.9844799999999998</v>
      </c>
    </row>
    <row r="1740" spans="3:27" hidden="1" outlineLevel="1" x14ac:dyDescent="0.3">
      <c r="C1740" s="18" t="s">
        <v>69</v>
      </c>
      <c r="D1740" s="31">
        <f>D1739*D1738</f>
        <v>0.73019266666666649</v>
      </c>
      <c r="F1740" s="8" t="s">
        <v>64</v>
      </c>
      <c r="G1740" s="33">
        <f>SUM(H1741:AA1741)</f>
        <v>88038.091922768974</v>
      </c>
      <c r="H1740" s="33"/>
      <c r="I1740" s="33"/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  <c r="T1740" s="33"/>
      <c r="U1740" s="33"/>
      <c r="V1740" s="33"/>
      <c r="W1740" s="33"/>
      <c r="X1740" s="33"/>
      <c r="Y1740" s="33"/>
      <c r="Z1740" s="33"/>
      <c r="AA1740" s="33"/>
    </row>
    <row r="1741" spans="3:27" hidden="1" outlineLevel="1" x14ac:dyDescent="0.3">
      <c r="C1741" s="18" t="s">
        <v>31</v>
      </c>
      <c r="D1741" s="27">
        <v>0</v>
      </c>
      <c r="F1741" s="9" t="s">
        <v>65</v>
      </c>
      <c r="G1741" s="33"/>
      <c r="H1741" s="33">
        <f>D1712*D1729*(1-D1731)*D1735/((1+G1730)^H1732)</f>
        <v>4593.0561599999992</v>
      </c>
      <c r="I1741" s="33">
        <f>D1712*D1729*(1-D1731)*(1-D1732)^(I1732-1)*D1735/((1+G1730)^I1732)</f>
        <v>4572.3874072799999</v>
      </c>
      <c r="J1741" s="33">
        <f>D1712*D1729*(1-D1731)*(1-D1732)^(J1732-1)*D1735/((1+G1730)^J1732)</f>
        <v>4551.81166394724</v>
      </c>
      <c r="K1741" s="33">
        <f>D1712*D1729*(1-D1731)*(1-D1732)^(K1732-1)*D1735/((1+G1730)^K1732)</f>
        <v>4531.3285114594782</v>
      </c>
      <c r="L1741" s="33">
        <f>D1712*D1729*(1-D1731)*(1-D1732)^(L1732-1)*D1735/((1+G1730)^L1732)</f>
        <v>4510.9375331579104</v>
      </c>
      <c r="M1741" s="33">
        <f>D1712*D1729*(1-D1731)*(1-D1732)^(M1732-1)*D1735/((1+G1730)^M1732)</f>
        <v>4490.6383142587001</v>
      </c>
      <c r="N1741" s="33">
        <f>D1712*D1729*(1-D1731)*(1-D1732)^(N1732-1)*D1735/((1+G1730)^N1732)</f>
        <v>4470.4304418445363</v>
      </c>
      <c r="O1741" s="33">
        <f>D1712*D1729*(1-D1731)*(1-D1732)^(O1732-1)*D1735/((1+G1730)^O1732)</f>
        <v>4450.3135048562353</v>
      </c>
      <c r="P1741" s="33">
        <f>D1712*D1729*(1-D1731)*(1-D1732)^(P1732-1)*D1735/((1+G1730)^P1732)</f>
        <v>4430.2870940843832</v>
      </c>
      <c r="Q1741" s="33">
        <f>D1712*D1729*(1-D1731)*(1-D1732)^(Q1732-1)*D1735/((1+G1730)^Q1732)</f>
        <v>4410.3508021610041</v>
      </c>
      <c r="R1741" s="33">
        <f>D1712*D1729*(1-D1731)*(1-D1732)^(R1732-1)*D1735/((1+G1730)^R1732)</f>
        <v>4390.5042235512801</v>
      </c>
      <c r="S1741" s="33">
        <f>D1712*D1729*(1-D1731)*(1-D1732)^(S1732-1)*D1735/((1+G1730)^S1732)</f>
        <v>4370.7469545452986</v>
      </c>
      <c r="T1741" s="33">
        <f>D1712*D1729*(1-D1731)*(1-D1732)^(T1732-1)*D1735/((1+G1730)^T1732)</f>
        <v>4351.0785932498457</v>
      </c>
      <c r="U1741" s="33">
        <f>D1712*D1729*(1-D1731)*(1-D1732)^(U1732-1)*D1735/((1+G1730)^U1732)</f>
        <v>4331.4987395802209</v>
      </c>
      <c r="V1741" s="33">
        <f>D1712*D1729*(1-D1731)*(1-D1732)^(V1732-1)*D1735/((1+G1730)^V1732)</f>
        <v>4312.0069952521098</v>
      </c>
      <c r="W1741" s="33">
        <f>D1712*D1729*(1-D1731)*(1-D1732)^(W1732-1)*D1735/((1+G1730)^W1732)</f>
        <v>4292.6029637734764</v>
      </c>
      <c r="X1741" s="33">
        <f>D1712*D1729*(1-D1731)*(1-D1732)^(X1732-1)*D1735/((1+G1730)^X1732)</f>
        <v>4273.2862504364957</v>
      </c>
      <c r="Y1741" s="33">
        <f>D1712*D1729*(1-D1731)*(1-D1732)^(Y1732-1)*D1735/((1+G1730)^Y1732)</f>
        <v>4254.0564623095315</v>
      </c>
      <c r="Z1741" s="33">
        <f>D1712*D1729*(1-D1731)*(1-D1732)^(Z1732-1)*D1735/((1+G1730)^Z1732)</f>
        <v>4234.9132082291399</v>
      </c>
      <c r="AA1741" s="33">
        <f>D1712*D1729*(1-D1731)*(1-D1732)^(AA1732-1)*D1735/((1+G1730)^AA1732)</f>
        <v>4215.8560987921092</v>
      </c>
    </row>
    <row r="1742" spans="3:27" hidden="1" outlineLevel="1" x14ac:dyDescent="0.3">
      <c r="F1742" s="4" t="s">
        <v>66</v>
      </c>
      <c r="G1742" s="33">
        <f>SUM(H1743:AA1743)</f>
        <v>64.284769109331791</v>
      </c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  <c r="Z1742" s="33"/>
      <c r="AA1742" s="33"/>
    </row>
    <row r="1743" spans="3:27" hidden="1" outlineLevel="1" x14ac:dyDescent="0.3">
      <c r="F1743" s="7" t="s">
        <v>67</v>
      </c>
      <c r="G1743" s="33"/>
      <c r="H1743" s="33">
        <f>H1741*D1740/1000</f>
        <v>3.3538159256201583</v>
      </c>
      <c r="I1743" s="33">
        <f>I1741*D1740/1000</f>
        <v>3.3387237539548682</v>
      </c>
      <c r="J1743" s="33">
        <f>J1741*D1740/1000</f>
        <v>3.3236994970620719</v>
      </c>
      <c r="K1743" s="33">
        <f>K1741*D1740/1000</f>
        <v>3.3087428493252928</v>
      </c>
      <c r="L1743" s="33">
        <f>L1741*D1740/1000</f>
        <v>3.293853506503329</v>
      </c>
      <c r="M1743" s="33">
        <f>M1741*D1740/1000</f>
        <v>3.2790311657240641</v>
      </c>
      <c r="N1743" s="33">
        <f>N1741*D1740/1000</f>
        <v>3.2642755254783058</v>
      </c>
      <c r="O1743" s="33">
        <f>O1741*D1740/1000</f>
        <v>3.249586285613653</v>
      </c>
      <c r="P1743" s="33">
        <f>P1741*D1740/1000</f>
        <v>3.2349631473283926</v>
      </c>
      <c r="Q1743" s="33">
        <f>Q1741*D1740/1000</f>
        <v>3.220405813165415</v>
      </c>
      <c r="R1743" s="33">
        <f>R1741*D1740/1000</f>
        <v>3.2059139870061713</v>
      </c>
      <c r="S1743" s="33">
        <f>S1741*D1740/1000</f>
        <v>3.1914873740646432</v>
      </c>
      <c r="T1743" s="33">
        <f>T1741*D1740/1000</f>
        <v>3.1771256808813528</v>
      </c>
      <c r="U1743" s="33">
        <f>U1741*D1740/1000</f>
        <v>3.1628286153173861</v>
      </c>
      <c r="V1743" s="33">
        <f>V1741*D1740/1000</f>
        <v>3.148595886548458</v>
      </c>
      <c r="W1743" s="33">
        <f>W1741*D1740/1000</f>
        <v>3.1344272050589908</v>
      </c>
      <c r="X1743" s="33">
        <f>X1741*D1740/1000</f>
        <v>3.1203222826362254</v>
      </c>
      <c r="Y1743" s="33">
        <f>Y1741*D1740/1000</f>
        <v>3.1062808323643623</v>
      </c>
      <c r="Z1743" s="33">
        <f>Z1741*D1740/1000</f>
        <v>3.0923025686187233</v>
      </c>
      <c r="AA1743" s="33">
        <f>AA1741*D1740/1000</f>
        <v>3.0783872070599396</v>
      </c>
    </row>
    <row r="1744" spans="3:27" hidden="1" outlineLevel="1" x14ac:dyDescent="0.3">
      <c r="F1744" s="4" t="s">
        <v>20</v>
      </c>
      <c r="G1744" s="33">
        <f>SUM(H1745:AA1745)</f>
        <v>9.0258422773329521</v>
      </c>
      <c r="H1744" s="33"/>
      <c r="I1744" s="33"/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/>
    </row>
    <row r="1745" spans="2:27" hidden="1" outlineLevel="1" x14ac:dyDescent="0.3">
      <c r="F1745" s="7" t="s">
        <v>21</v>
      </c>
      <c r="G1745" s="33"/>
      <c r="H1745" s="33">
        <f>(H1743-H1736-H1738)*G1731</f>
        <v>0.48618648140503967</v>
      </c>
      <c r="I1745" s="33">
        <f>(I1743-I1736-I1738)*G1731</f>
        <v>0.48241343848871715</v>
      </c>
      <c r="J1745" s="33">
        <f>(J1743-J1736-J1738)*G1731</f>
        <v>0.47865737426551808</v>
      </c>
      <c r="K1745" s="33">
        <f>(K1743-K1736-K1738)*G1731</f>
        <v>0.47491821233132331</v>
      </c>
      <c r="L1745" s="33">
        <f>(L1743-L1736-L1738)*G1731</f>
        <v>0.47119587662583234</v>
      </c>
      <c r="M1745" s="33">
        <f>(M1743-M1736-M1738)*G1731</f>
        <v>0.46749029143101611</v>
      </c>
      <c r="N1745" s="33">
        <f>(N1743-N1736-N1738)*G1731</f>
        <v>0.46380138136957655</v>
      </c>
      <c r="O1745" s="33">
        <f>(O1743-O1736-O1738)*G1731</f>
        <v>0.46012907140341336</v>
      </c>
      <c r="P1745" s="33">
        <f>(P1743-P1736-P1738)*G1731</f>
        <v>0.45647328683209826</v>
      </c>
      <c r="Q1745" s="33">
        <f>(Q1743-Q1736-Q1738)*G1731</f>
        <v>0.45283395329135384</v>
      </c>
      <c r="R1745" s="33">
        <f>(R1743-R1736-R1738)*G1731</f>
        <v>0.44921099675154291</v>
      </c>
      <c r="S1745" s="33">
        <f>(S1743-S1736-S1738)*G1731</f>
        <v>0.44560434351616091</v>
      </c>
      <c r="T1745" s="33">
        <f>(T1743-T1736-T1738)*G1731</f>
        <v>0.44201392022033831</v>
      </c>
      <c r="U1745" s="33">
        <f>(U1743-U1736-U1738)*G1731</f>
        <v>0.43843965382934663</v>
      </c>
      <c r="V1745" s="33">
        <f>(V1743-V1736-V1738)*G1731</f>
        <v>0.4348814716371146</v>
      </c>
      <c r="W1745" s="33">
        <f>(W1743-W1736-W1738)*G1731</f>
        <v>0.43133930126474779</v>
      </c>
      <c r="X1745" s="33">
        <f>(X1743-X1736-X1738)*G1731</f>
        <v>0.42781307065905644</v>
      </c>
      <c r="Y1745" s="33">
        <f>(Y1743-Y1736-Y1738)*G1731</f>
        <v>0.42430270809109066</v>
      </c>
      <c r="Z1745" s="33">
        <f>(Z1743-Z1736-Z1738)*G1731</f>
        <v>0.42080814215468093</v>
      </c>
      <c r="AA1745" s="33">
        <f>(AA1743-AA1736-AA1738)*G1731</f>
        <v>0.41732930176498501</v>
      </c>
    </row>
    <row r="1746" spans="2:27" hidden="1" outlineLevel="1" x14ac:dyDescent="0.3">
      <c r="F1746" s="10" t="s">
        <v>22</v>
      </c>
      <c r="G1746" s="33">
        <f>-G1734</f>
        <v>-24.611999999999995</v>
      </c>
      <c r="H1746" s="33">
        <f>H1743-H1745-H1738</f>
        <v>2.6276294442151187</v>
      </c>
      <c r="I1746" s="33">
        <f t="shared" ref="I1746" si="651">I1743-I1745-I1738</f>
        <v>2.6163103154661513</v>
      </c>
      <c r="J1746" s="33">
        <f t="shared" ref="J1746" si="652">J1743-J1745-J1738</f>
        <v>2.6050421227965534</v>
      </c>
      <c r="K1746" s="33">
        <f t="shared" ref="K1746" si="653">K1743-K1745-K1738</f>
        <v>2.5938246369939693</v>
      </c>
      <c r="L1746" s="33">
        <f t="shared" ref="L1746" si="654">L1743-L1745-L1738</f>
        <v>2.582657629877497</v>
      </c>
      <c r="M1746" s="33">
        <f t="shared" ref="M1746" si="655">M1743-M1745-M1738</f>
        <v>2.5715408742930483</v>
      </c>
      <c r="N1746" s="33">
        <f t="shared" ref="N1746" si="656">N1743-N1745-N1738</f>
        <v>2.5604741441087295</v>
      </c>
      <c r="O1746" s="33">
        <f t="shared" ref="O1746" si="657">O1743-O1745-O1738</f>
        <v>2.5494572142102401</v>
      </c>
      <c r="P1746" s="33">
        <f t="shared" ref="P1746" si="658">P1743-P1745-P1738</f>
        <v>2.538489860496294</v>
      </c>
      <c r="Q1746" s="33">
        <f t="shared" ref="Q1746" si="659">Q1743-Q1745-Q1738</f>
        <v>2.5275718598740609</v>
      </c>
      <c r="R1746" s="33">
        <f t="shared" ref="R1746" si="660">R1743-R1745-R1738</f>
        <v>2.5167029902546281</v>
      </c>
      <c r="S1746" s="33">
        <f t="shared" ref="S1746" si="661">S1743-S1745-S1738</f>
        <v>2.5058830305484827</v>
      </c>
      <c r="T1746" s="33">
        <f t="shared" ref="T1746" si="662">T1743-T1745-T1738</f>
        <v>2.4951117606610147</v>
      </c>
      <c r="U1746" s="33">
        <f t="shared" ref="U1746" si="663">U1743-U1745-U1738</f>
        <v>2.4843889614880394</v>
      </c>
      <c r="V1746" s="33">
        <f t="shared" ref="V1746" si="664">V1743-V1745-V1738</f>
        <v>2.4737144149113437</v>
      </c>
      <c r="W1746" s="33">
        <f t="shared" ref="W1746" si="665">W1743-W1745-W1738</f>
        <v>2.4630879037942428</v>
      </c>
      <c r="X1746" s="33">
        <f t="shared" ref="X1746" si="666">X1743-X1745-X1738</f>
        <v>2.4525092119771692</v>
      </c>
      <c r="Y1746" s="33">
        <f t="shared" ref="Y1746" si="667">Y1743-Y1745-Y1738</f>
        <v>2.4419781242732714</v>
      </c>
      <c r="Z1746" s="33">
        <f t="shared" ref="Z1746" si="668">Z1743-Z1745-Z1738</f>
        <v>2.4314944264640426</v>
      </c>
      <c r="AA1746" s="33">
        <f t="shared" ref="AA1746" si="669">AA1743-AA1745-AA1738</f>
        <v>2.4210579052949548</v>
      </c>
    </row>
    <row r="1747" spans="2:27" ht="13.5" hidden="1" outlineLevel="1" thickBot="1" x14ac:dyDescent="0.35">
      <c r="F1747" s="3" t="s">
        <v>68</v>
      </c>
      <c r="G1747" s="40">
        <f>IRR(G1746:AA1746)</f>
        <v>8.2333809803224911E-2</v>
      </c>
      <c r="H1747" s="34"/>
      <c r="I1747" s="34"/>
      <c r="J1747" s="34"/>
      <c r="K1747" s="34"/>
      <c r="L1747" s="34"/>
      <c r="M1747" s="34"/>
      <c r="N1747" s="34"/>
      <c r="O1747" s="34"/>
      <c r="P1747" s="34"/>
      <c r="Q1747" s="34"/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</row>
    <row r="1748" spans="2:27" ht="13.5" collapsed="1" thickTop="1" x14ac:dyDescent="0.3"/>
    <row r="1749" spans="2:27" x14ac:dyDescent="0.3">
      <c r="B1749" s="11" t="s">
        <v>180</v>
      </c>
      <c r="C1749" s="11" t="s">
        <v>52</v>
      </c>
    </row>
    <row r="1750" spans="2:27" x14ac:dyDescent="0.3">
      <c r="C1750" s="11" t="s">
        <v>141</v>
      </c>
      <c r="D1750" s="54">
        <f>D1781</f>
        <v>861</v>
      </c>
    </row>
    <row r="1751" spans="2:27" x14ac:dyDescent="0.3">
      <c r="C1751" s="16" t="s">
        <v>78</v>
      </c>
      <c r="D1751" s="37">
        <f>(G1780+G1783+G1790)/G1786*1000</f>
        <v>0.43983610118103511</v>
      </c>
    </row>
    <row r="1752" spans="2:27" x14ac:dyDescent="0.3">
      <c r="C1752" s="13" t="s">
        <v>77</v>
      </c>
      <c r="D1752" s="39">
        <f>(G1761+G1764+G1771)/G1767*1000</f>
        <v>0.68304052365979362</v>
      </c>
    </row>
    <row r="1753" spans="2:27" x14ac:dyDescent="0.3">
      <c r="C1753" s="13" t="s">
        <v>61</v>
      </c>
      <c r="D1753" s="36">
        <f>G1774</f>
        <v>3.1730332262566988E-6</v>
      </c>
    </row>
    <row r="1754" spans="2:27" x14ac:dyDescent="0.3">
      <c r="C1754" s="13" t="s">
        <v>73</v>
      </c>
      <c r="D1754" s="25">
        <f>SUM(G1773:AA1773)</f>
        <v>7.8094693764629852E-5</v>
      </c>
    </row>
    <row r="1755" spans="2:27" ht="13.5" thickBot="1" x14ac:dyDescent="0.35">
      <c r="C1755" s="23" t="s">
        <v>68</v>
      </c>
      <c r="D1755" s="26">
        <f>G1793</f>
        <v>7.0000414728162097E-2</v>
      </c>
    </row>
    <row r="1756" spans="2:27" ht="13.5" hidden="1" outlineLevel="1" thickTop="1" x14ac:dyDescent="0.3">
      <c r="E1756" s="20"/>
      <c r="F1756" s="38" t="s">
        <v>75</v>
      </c>
    </row>
    <row r="1757" spans="2:27" hidden="1" outlineLevel="1" x14ac:dyDescent="0.3">
      <c r="C1757" s="11" t="s">
        <v>71</v>
      </c>
      <c r="F1757" s="13" t="s">
        <v>25</v>
      </c>
      <c r="G1757" s="14">
        <v>7.0000000000000007E-2</v>
      </c>
    </row>
    <row r="1758" spans="2:27" hidden="1" outlineLevel="1" x14ac:dyDescent="0.3">
      <c r="C1758" s="18" t="s">
        <v>53</v>
      </c>
      <c r="D1758" s="19">
        <f>分布式光伏电站IRR汇总!$B$2</f>
        <v>6</v>
      </c>
      <c r="F1758" s="13" t="s">
        <v>26</v>
      </c>
      <c r="G1758" s="14">
        <v>0.25</v>
      </c>
    </row>
    <row r="1759" spans="2:27" hidden="1" outlineLevel="1" x14ac:dyDescent="0.3">
      <c r="C1759" s="18" t="s">
        <v>56</v>
      </c>
      <c r="D1759" s="19">
        <f>分布式光伏电站IRR汇总!$B$3</f>
        <v>120</v>
      </c>
      <c r="F1759" s="1" t="s">
        <v>44</v>
      </c>
      <c r="G1759" s="4"/>
      <c r="H1759" s="5">
        <v>1</v>
      </c>
      <c r="I1759" s="5">
        <v>2</v>
      </c>
      <c r="J1759" s="5">
        <v>3</v>
      </c>
      <c r="K1759" s="5">
        <v>4</v>
      </c>
      <c r="L1759" s="5">
        <v>5</v>
      </c>
      <c r="M1759" s="5">
        <v>6</v>
      </c>
      <c r="N1759" s="5">
        <v>7</v>
      </c>
      <c r="O1759" s="5">
        <v>8</v>
      </c>
      <c r="P1759" s="5">
        <v>9</v>
      </c>
      <c r="Q1759" s="5">
        <v>10</v>
      </c>
      <c r="R1759" s="5">
        <v>11</v>
      </c>
      <c r="S1759" s="5">
        <v>12</v>
      </c>
      <c r="T1759" s="5">
        <v>13</v>
      </c>
      <c r="U1759" s="5">
        <v>14</v>
      </c>
      <c r="V1759" s="5">
        <v>15</v>
      </c>
      <c r="W1759" s="5">
        <v>16</v>
      </c>
      <c r="X1759" s="5">
        <v>17</v>
      </c>
      <c r="Y1759" s="5">
        <v>18</v>
      </c>
      <c r="Z1759" s="5">
        <v>19</v>
      </c>
      <c r="AA1759" s="5">
        <v>20</v>
      </c>
    </row>
    <row r="1760" spans="2:27" hidden="1" outlineLevel="1" x14ac:dyDescent="0.3">
      <c r="C1760" s="18" t="s">
        <v>57</v>
      </c>
      <c r="D1760" s="19">
        <f>分布式光伏电站IRR汇总!$B$4</f>
        <v>3</v>
      </c>
      <c r="F1760" s="16"/>
      <c r="G1760" s="2" t="s">
        <v>0</v>
      </c>
      <c r="H1760" s="2" t="s">
        <v>1</v>
      </c>
      <c r="I1760" s="2" t="s">
        <v>2</v>
      </c>
      <c r="J1760" s="2" t="s">
        <v>3</v>
      </c>
      <c r="K1760" s="2" t="s">
        <v>4</v>
      </c>
      <c r="L1760" s="2" t="s">
        <v>5</v>
      </c>
      <c r="M1760" s="2" t="s">
        <v>6</v>
      </c>
      <c r="N1760" s="2" t="s">
        <v>7</v>
      </c>
      <c r="O1760" s="2" t="s">
        <v>8</v>
      </c>
      <c r="P1760" s="2" t="s">
        <v>9</v>
      </c>
      <c r="Q1760" s="2" t="s">
        <v>10</v>
      </c>
      <c r="R1760" s="2" t="s">
        <v>11</v>
      </c>
      <c r="S1760" s="2" t="s">
        <v>12</v>
      </c>
      <c r="T1760" s="2" t="s">
        <v>13</v>
      </c>
      <c r="U1760" s="2" t="s">
        <v>45</v>
      </c>
      <c r="V1760" s="2" t="s">
        <v>46</v>
      </c>
      <c r="W1760" s="2" t="s">
        <v>47</v>
      </c>
      <c r="X1760" s="2" t="s">
        <v>48</v>
      </c>
      <c r="Y1760" s="2" t="s">
        <v>49</v>
      </c>
      <c r="Z1760" s="2" t="s">
        <v>50</v>
      </c>
      <c r="AA1760" s="2" t="s">
        <v>127</v>
      </c>
    </row>
    <row r="1761" spans="3:27" hidden="1" outlineLevel="1" x14ac:dyDescent="0.3">
      <c r="C1761" s="18" t="s">
        <v>54</v>
      </c>
      <c r="D1761" s="19">
        <f>分布式光伏电站IRR汇总!$B$5</f>
        <v>5</v>
      </c>
      <c r="F1761" s="6" t="s">
        <v>14</v>
      </c>
      <c r="G1761" s="33">
        <f>D1782</f>
        <v>24.611999999999995</v>
      </c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  <c r="Z1761" s="33"/>
      <c r="AA1761" s="33"/>
    </row>
    <row r="1762" spans="3:27" hidden="1" outlineLevel="1" x14ac:dyDescent="0.3">
      <c r="C1762" s="18" t="s">
        <v>55</v>
      </c>
      <c r="D1762" s="19">
        <f>分布式光伏电站IRR汇总!$B$6</f>
        <v>15</v>
      </c>
      <c r="F1762" s="6" t="s">
        <v>15</v>
      </c>
      <c r="G1762" s="33">
        <f>SUM(H1763:AA1763)</f>
        <v>12.385144234005573</v>
      </c>
      <c r="H1762" s="33"/>
      <c r="I1762" s="33"/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  <c r="Z1762" s="33"/>
      <c r="AA1762" s="33"/>
    </row>
    <row r="1763" spans="3:27" hidden="1" outlineLevel="1" x14ac:dyDescent="0.3">
      <c r="C1763" s="18" t="s">
        <v>42</v>
      </c>
      <c r="D1763" s="19">
        <f>分布式光伏电站IRR汇总!$B$7</f>
        <v>4.1019999999999994</v>
      </c>
      <c r="F1763" s="7" t="s">
        <v>16</v>
      </c>
      <c r="G1763" s="33"/>
      <c r="H1763" s="33">
        <f>D1782*(1-D1780)/D1776/((1+G1757)^H1759)</f>
        <v>1.0925887850467286</v>
      </c>
      <c r="I1763" s="33">
        <f>D1782*(1-D1780)/D1776/((1+G1757)^I1759)</f>
        <v>1.0211110140623632</v>
      </c>
      <c r="J1763" s="33">
        <f>D1782*(1-D1780)/D1776/((1+G1757)^J1759)</f>
        <v>0.95430935893678792</v>
      </c>
      <c r="K1763" s="33">
        <f>D1782*(1-D1780)/D1776/((1+G1757)^K1759)</f>
        <v>0.89187790554839996</v>
      </c>
      <c r="L1763" s="33">
        <f>D1782*(1-D1780)/D1776/((1+G1757)^L1759)</f>
        <v>0.83353075284897193</v>
      </c>
      <c r="M1763" s="33">
        <f>D1782*(1-D1780)/D1776/((1+G1757)^M1759)</f>
        <v>0.77900070359717</v>
      </c>
      <c r="N1763" s="33">
        <f>D1782*(1-D1780)/D1776/((1+G1757)^N1759)</f>
        <v>0.72803804074501866</v>
      </c>
      <c r="O1763" s="33">
        <f>D1782*(1-D1780)/D1776/((1+G1757)^O1759)</f>
        <v>0.6804093838738493</v>
      </c>
      <c r="P1763" s="33">
        <f>D1782*(1-D1780)/D1776/((1+G1757)^P1759)</f>
        <v>0.63589662044284967</v>
      </c>
      <c r="Q1763" s="33">
        <f>D1782*(1-D1780)/D1776/((1+G1757)^Q1759)</f>
        <v>0.59429590695593437</v>
      </c>
      <c r="R1763" s="33">
        <f>D1782*(1-D1780)/D1776/((1+G1757)^R1759)</f>
        <v>0.55541673547283577</v>
      </c>
      <c r="S1763" s="33">
        <f>D1782*(1-D1780)/D1776/((1+G1757)^S1759)</f>
        <v>0.51908106118956621</v>
      </c>
      <c r="T1763" s="33">
        <f>D1782*(1-D1780)/D1776/((1+G1757)^T1759)</f>
        <v>0.4851224870930525</v>
      </c>
      <c r="U1763" s="33">
        <f>D1782*(1-D1780)/D1776/((1+G1757)^U1759)</f>
        <v>0.45338550195612387</v>
      </c>
      <c r="V1763" s="33">
        <f>D1782*(1-D1780)/D1776/((1+G1757)^V1759)</f>
        <v>0.4237247681832933</v>
      </c>
      <c r="W1763" s="33">
        <f>D1782*(1-D1780)/D1776/((1+G1757)^W1759)</f>
        <v>0.39600445624606856</v>
      </c>
      <c r="X1763" s="33">
        <f>D1782*(1-D1780)/D1776/((1+G1757)^X1759)</f>
        <v>0.37009762265987711</v>
      </c>
      <c r="Y1763" s="33">
        <f>D1782*(1-D1780)/D1776/((1+G1757)^Y1759)</f>
        <v>0.34588562865409078</v>
      </c>
      <c r="Z1763" s="33">
        <f>D1782*(1-D1780)/D1776/((1+G1757)^Z1759)</f>
        <v>0.323257596872982</v>
      </c>
      <c r="AA1763" s="33">
        <f>D1782*(1-D1780)/D1776/((1+G1757)^AA1759)</f>
        <v>0.30210990361960938</v>
      </c>
    </row>
    <row r="1764" spans="3:27" hidden="1" outlineLevel="1" x14ac:dyDescent="0.3">
      <c r="C1764" s="21" t="s">
        <v>32</v>
      </c>
      <c r="D1764" s="19">
        <f>分布式光伏电站IRR汇总!$B$8</f>
        <v>1.8870000000000002</v>
      </c>
      <c r="F1764" s="6" t="s">
        <v>17</v>
      </c>
      <c r="G1764" s="33">
        <f>SUM(H1765:AA1765)</f>
        <v>2.5425634189238777</v>
      </c>
      <c r="H1764" s="33"/>
      <c r="I1764" s="33"/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  <c r="T1764" s="33"/>
      <c r="U1764" s="33"/>
      <c r="V1764" s="33"/>
      <c r="W1764" s="33"/>
      <c r="X1764" s="33"/>
      <c r="Y1764" s="33"/>
      <c r="Z1764" s="33"/>
      <c r="AA1764" s="33"/>
    </row>
    <row r="1765" spans="3:27" hidden="1" outlineLevel="1" x14ac:dyDescent="0.3">
      <c r="C1765" s="21" t="s">
        <v>33</v>
      </c>
      <c r="D1765" s="19">
        <f>分布式光伏电站IRR汇总!$B$9</f>
        <v>0.18500000000000003</v>
      </c>
      <c r="F1765" s="7" t="s">
        <v>18</v>
      </c>
      <c r="G1765" s="33"/>
      <c r="H1765" s="33">
        <f>D1779*D1758/((1+G1757)^H1759)</f>
        <v>0.22429906542056072</v>
      </c>
      <c r="I1765" s="33">
        <f>D1779*D1758/((1+G1757)^I1759)</f>
        <v>0.20962529478557079</v>
      </c>
      <c r="J1765" s="33">
        <f>D1779*D1758/((1+G1757)^J1759)</f>
        <v>0.19591149045380446</v>
      </c>
      <c r="K1765" s="33">
        <f>D1779*D1758/((1+G1757)^K1759)</f>
        <v>0.18309485089140604</v>
      </c>
      <c r="L1765" s="33">
        <f>D1779*D1758/((1+G1757)^L1759)</f>
        <v>0.17111668307608041</v>
      </c>
      <c r="M1765" s="33">
        <f>D1779*D1758/((1+G1757)^M1759)</f>
        <v>0.15992213371596301</v>
      </c>
      <c r="N1765" s="33">
        <f>D1779*D1758/((1+G1757)^N1759)</f>
        <v>0.14945993805230187</v>
      </c>
      <c r="O1765" s="33">
        <f>D1779*D1758/((1+G1757)^O1759)</f>
        <v>0.13968218509560923</v>
      </c>
      <c r="P1765" s="33">
        <f>D1779*D1758/((1+G1757)^P1759)</f>
        <v>0.13054409822019553</v>
      </c>
      <c r="Q1765" s="33">
        <f>D1779*D1758/((1+G1757)^Q1759)</f>
        <v>0.12200383011233226</v>
      </c>
      <c r="R1765" s="33">
        <f>D1779*D1758/((1+G1757)^R1759)</f>
        <v>0.1140222711330208</v>
      </c>
      <c r="S1765" s="33">
        <f>D1779*D1758/((1+G1757)^S1759)</f>
        <v>0.10656287021777647</v>
      </c>
      <c r="T1765" s="33">
        <f>D1779*D1758/((1+G1757)^T1759)</f>
        <v>9.9591467493249028E-2</v>
      </c>
      <c r="U1765" s="33">
        <f>D1779*D1758/((1+G1757)^U1759)</f>
        <v>9.3076137844157969E-2</v>
      </c>
      <c r="V1765" s="33">
        <f>D1779*D1758/((1+G1757)^V1759)</f>
        <v>8.6987044714166323E-2</v>
      </c>
      <c r="W1765" s="33">
        <f>D1779*D1758/((1+G1757)^W1759)</f>
        <v>8.1296303471183481E-2</v>
      </c>
      <c r="X1765" s="33">
        <f>D1779*D1758/((1+G1757)^X1759)</f>
        <v>7.5977853711386434E-2</v>
      </c>
      <c r="Y1765" s="33">
        <f>D1779*D1758/((1+G1757)^Y1759)</f>
        <v>7.1007339917183582E-2</v>
      </c>
      <c r="Z1765" s="33">
        <f>D1779*D1758/((1+G1757)^Z1759)</f>
        <v>6.6361999922601472E-2</v>
      </c>
      <c r="AA1765" s="33">
        <f>D1779*D1758/((1+G1757)^AA1759)</f>
        <v>6.2020560675328483E-2</v>
      </c>
    </row>
    <row r="1766" spans="3:27" hidden="1" outlineLevel="1" x14ac:dyDescent="0.3">
      <c r="C1766" s="21" t="s">
        <v>34</v>
      </c>
      <c r="D1766" s="19">
        <f>分布式光伏电站IRR汇总!$B$10</f>
        <v>0.222</v>
      </c>
      <c r="F1766" s="6" t="s">
        <v>19</v>
      </c>
      <c r="G1766" s="33"/>
      <c r="H1766" s="33"/>
      <c r="I1766" s="33"/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  <c r="T1766" s="33"/>
      <c r="U1766" s="33"/>
      <c r="V1766" s="33"/>
      <c r="W1766" s="33"/>
      <c r="X1766" s="33"/>
      <c r="Y1766" s="33"/>
      <c r="Z1766" s="33"/>
      <c r="AA1766" s="33">
        <f>D1779*D1782/((1+G1757)^AA1759)</f>
        <v>0.2544083398901974</v>
      </c>
    </row>
    <row r="1767" spans="3:27" hidden="1" outlineLevel="1" x14ac:dyDescent="0.3">
      <c r="C1767" s="21" t="s">
        <v>35</v>
      </c>
      <c r="D1767" s="19">
        <f>分布式光伏电站IRR汇总!$B$11</f>
        <v>0.44400000000000001</v>
      </c>
      <c r="F1767" s="8" t="s">
        <v>64</v>
      </c>
      <c r="G1767" s="33">
        <f>SUM(H1768:AA1768)</f>
        <v>44953.342994146915</v>
      </c>
      <c r="H1767" s="33"/>
      <c r="I1767" s="33"/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  <c r="T1767" s="33"/>
      <c r="U1767" s="33"/>
      <c r="V1767" s="33"/>
      <c r="W1767" s="33"/>
      <c r="X1767" s="33"/>
      <c r="Y1767" s="33"/>
      <c r="Z1767" s="33"/>
      <c r="AA1767" s="33"/>
    </row>
    <row r="1768" spans="3:27" hidden="1" outlineLevel="1" x14ac:dyDescent="0.3">
      <c r="C1768" s="21" t="s">
        <v>36</v>
      </c>
      <c r="D1768" s="19">
        <f>分布式光伏电站IRR汇总!$B$12</f>
        <v>0.222</v>
      </c>
      <c r="F1768" s="9" t="s">
        <v>65</v>
      </c>
      <c r="G1768" s="33"/>
      <c r="H1768" s="33">
        <f>D1758*D1775*(1-D1777)*D1781/((1+G1757)^H1759)</f>
        <v>4097.4587663551392</v>
      </c>
      <c r="I1768" s="33">
        <f>D1758*D1775*(1-D1777)*(1-D1778)^(I1759-1)*D1781/((1+G1757)^I1759)</f>
        <v>3812.1684129967675</v>
      </c>
      <c r="J1768" s="33">
        <f>D1758*D1775*(1-D1777)*(1-D1778)^(J1759-1)*D1781/((1+G1757)^J1759)</f>
        <v>3546.7417337740953</v>
      </c>
      <c r="K1768" s="33">
        <f>D1758*D1775*(1-D1777)*(1-D1778)^(K1759-1)*D1781/((1+G1757)^K1759)</f>
        <v>3299.7956971701992</v>
      </c>
      <c r="L1768" s="33">
        <f>D1758*D1775*(1-D1777)*(1-D1778)^(L1759-1)*D1781/((1+G1757)^L1759)</f>
        <v>3070.0435668532082</v>
      </c>
      <c r="M1768" s="33">
        <f>D1758*D1775*(1-D1777)*(1-D1778)^(M1759-1)*D1781/((1+G1757)^M1759)</f>
        <v>2856.2881970115604</v>
      </c>
      <c r="N1768" s="33">
        <f>D1758*D1775*(1-D1777)*(1-D1778)^(N1759-1)*D1781/((1+G1757)^N1759)</f>
        <v>2657.415794509353</v>
      </c>
      <c r="O1768" s="33">
        <f>D1758*D1775*(1-D1777)*(1-D1778)^(O1759-1)*D1781/((1+G1757)^O1759)</f>
        <v>2472.3901153589354</v>
      </c>
      <c r="P1768" s="33">
        <f>D1758*D1775*(1-D1777)*(1-D1778)^(P1759-1)*D1781/((1+G1757)^P1759)</f>
        <v>2300.2470652708607</v>
      </c>
      <c r="Q1768" s="33">
        <f>D1758*D1775*(1-D1777)*(1-D1778)^(Q1759-1)*D1781/((1+G1757)^Q1759)</f>
        <v>2140.0896761468616</v>
      </c>
      <c r="R1768" s="33">
        <f>D1758*D1775*(1-D1777)*(1-D1778)^(R1759-1)*D1781/((1+G1757)^R1759)</f>
        <v>1991.0834323403742</v>
      </c>
      <c r="S1768" s="33">
        <f>D1758*D1775*(1-D1777)*(1-D1778)^(S1759-1)*D1781/((1+G1757)^S1759)</f>
        <v>1852.4519223316292</v>
      </c>
      <c r="T1768" s="33">
        <f>D1758*D1775*(1-D1777)*(1-D1778)^(T1759-1)*D1781/((1+G1757)^T1759)</f>
        <v>1723.4727931599407</v>
      </c>
      <c r="U1768" s="33">
        <f>D1758*D1775*(1-D1777)*(1-D1778)^(U1759-1)*D1781/((1+G1757)^U1759)</f>
        <v>1603.4739865333843</v>
      </c>
      <c r="V1768" s="33">
        <f>D1758*D1775*(1-D1777)*(1-D1778)^(V1759-1)*D1781/((1+G1757)^V1759)</f>
        <v>1491.8302370037234</v>
      </c>
      <c r="W1768" s="33">
        <f>D1758*D1775*(1-D1777)*(1-D1778)^(W1759-1)*D1781/((1+G1757)^W1759)</f>
        <v>1387.9598139600066</v>
      </c>
      <c r="X1768" s="33">
        <f>D1758*D1775*(1-D1777)*(1-D1778)^(X1759-1)*D1781/((1+G1757)^X1759)</f>
        <v>1291.3214904646602</v>
      </c>
      <c r="Y1768" s="33">
        <f>D1758*D1775*(1-D1777)*(1-D1778)^(Y1759-1)*D1781/((1+G1757)^Y1759)</f>
        <v>1201.4117231379153</v>
      </c>
      <c r="Z1768" s="33">
        <f>D1758*D1775*(1-D1777)*(1-D1778)^(Z1759-1)*D1781/((1+G1757)^Z1759)</f>
        <v>1117.7620283960698</v>
      </c>
      <c r="AA1768" s="33">
        <f>D1758*D1775*(1-D1777)*(1-D1778)^(AA1759-1)*D1781/((1+G1757)^AA1759)</f>
        <v>1039.9365413722314</v>
      </c>
    </row>
    <row r="1769" spans="3:27" hidden="1" outlineLevel="1" x14ac:dyDescent="0.3">
      <c r="C1769" s="21" t="s">
        <v>37</v>
      </c>
      <c r="D1769" s="19">
        <f>分布式光伏电站IRR汇总!$B$13</f>
        <v>0.15</v>
      </c>
      <c r="F1769" s="4" t="s">
        <v>66</v>
      </c>
      <c r="G1769" s="33">
        <f>SUM(H1770:AA1770)</f>
        <v>31.230286133847034</v>
      </c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  <c r="AA1769" s="33"/>
    </row>
    <row r="1770" spans="3:27" hidden="1" outlineLevel="1" x14ac:dyDescent="0.3">
      <c r="C1770" s="21" t="s">
        <v>38</v>
      </c>
      <c r="D1770" s="19">
        <f>分布式光伏电站IRR汇总!$B$14</f>
        <v>3.7000000000000005E-2</v>
      </c>
      <c r="F1770" s="7" t="s">
        <v>67</v>
      </c>
      <c r="G1770" s="33"/>
      <c r="H1770" s="33">
        <f>H1768*D1786/1000</f>
        <v>2.8466138705540178</v>
      </c>
      <c r="I1770" s="33">
        <f>I1768*D1786/1000</f>
        <v>2.6484150543332006</v>
      </c>
      <c r="J1770" s="33">
        <f>J1768*D1786/1000</f>
        <v>2.4640160622324312</v>
      </c>
      <c r="K1770" s="33">
        <f>K1768*D1786/1000</f>
        <v>2.2924560653760619</v>
      </c>
      <c r="L1770" s="33">
        <f>L1768*D1786/1000</f>
        <v>2.1328411337213731</v>
      </c>
      <c r="M1770" s="33">
        <f>M1768*D1786/1000</f>
        <v>1.9843395781491844</v>
      </c>
      <c r="N1770" s="33">
        <f>N1768*D1786/1000</f>
        <v>1.8461776168668342</v>
      </c>
      <c r="O1770" s="33">
        <f>O1768*D1786/1000</f>
        <v>1.7176353435429286</v>
      </c>
      <c r="P1770" s="33">
        <f>P1768*D1786/1000</f>
        <v>1.5980429761654074</v>
      </c>
      <c r="Q1770" s="33">
        <f>Q1768*D1786/1000</f>
        <v>1.4867773670772551</v>
      </c>
      <c r="R1770" s="33">
        <f>R1768*D1786/1000</f>
        <v>1.3832587560050535</v>
      </c>
      <c r="S1770" s="33">
        <f>S1768*D1786/1000</f>
        <v>1.2869477491617114</v>
      </c>
      <c r="T1770" s="33">
        <f>T1768*D1786/1000</f>
        <v>1.1973425086826948</v>
      </c>
      <c r="U1770" s="33">
        <f>U1768*D1786/1000</f>
        <v>1.1139761377510495</v>
      </c>
      <c r="V1770" s="33">
        <f>V1768*D1786/1000</f>
        <v>1.0364142477861398</v>
      </c>
      <c r="W1770" s="33">
        <f>W1768*D1786/1000</f>
        <v>0.96425269501972211</v>
      </c>
      <c r="X1770" s="33">
        <f>X1768*D1786/1000</f>
        <v>0.89711547466554509</v>
      </c>
      <c r="Y1770" s="33">
        <f>Y1768*D1786/1000</f>
        <v>0.83465276170986002</v>
      </c>
      <c r="Z1770" s="33">
        <f>Z1768*D1786/1000</f>
        <v>0.77653908811417349</v>
      </c>
      <c r="AA1770" s="33">
        <f>AA1768*D1786/1000</f>
        <v>0.7224716469323923</v>
      </c>
    </row>
    <row r="1771" spans="3:27" hidden="1" outlineLevel="1" x14ac:dyDescent="0.3">
      <c r="C1771" s="21" t="s">
        <v>39</v>
      </c>
      <c r="D1771" s="19">
        <f>分布式光伏电站IRR汇总!$B$15</f>
        <v>0.25900000000000006</v>
      </c>
      <c r="F1771" s="4" t="s">
        <v>20</v>
      </c>
      <c r="G1771" s="33">
        <f>SUM(H1772:V1772)</f>
        <v>3.550391520056551</v>
      </c>
      <c r="H1771" s="33"/>
      <c r="I1771" s="33"/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  <c r="V1771" s="33"/>
      <c r="W1771" s="33"/>
      <c r="X1771" s="33"/>
      <c r="Y1771" s="33"/>
      <c r="Z1771" s="33"/>
      <c r="AA1771" s="33"/>
    </row>
    <row r="1772" spans="3:27" hidden="1" outlineLevel="1" x14ac:dyDescent="0.3">
      <c r="C1772" s="21" t="s">
        <v>40</v>
      </c>
      <c r="D1772" s="19">
        <f>分布式光伏电站IRR汇总!$B$16</f>
        <v>7.400000000000001E-2</v>
      </c>
      <c r="F1772" s="7" t="s">
        <v>21</v>
      </c>
      <c r="G1772" s="33"/>
      <c r="H1772" s="33">
        <f>(H1770-H1763-H1765)*G1758</f>
        <v>0.38243150502168211</v>
      </c>
      <c r="I1772" s="33">
        <f>(I1770-I1763-I1765)*G1758</f>
        <v>0.35441968637131666</v>
      </c>
      <c r="J1772" s="33">
        <f>(J1770-J1763-J1765)*G1758</f>
        <v>0.32844880321045972</v>
      </c>
      <c r="K1772" s="33">
        <f>(K1770-K1763-K1765)*G1758</f>
        <v>0.304370827234064</v>
      </c>
      <c r="L1772" s="33">
        <f>(L1770-L1763-L1765)*G1758</f>
        <v>0.28204842444908018</v>
      </c>
      <c r="M1772" s="33">
        <f>(M1770-M1763-M1765)*G1758</f>
        <v>0.26135418520901282</v>
      </c>
      <c r="N1772" s="33">
        <f>(N1770-N1763-N1765)*G1758</f>
        <v>0.24216990951737843</v>
      </c>
      <c r="O1772" s="33">
        <f>(O1770-O1763-O1765)*G1758</f>
        <v>0.22438594364336747</v>
      </c>
      <c r="P1772" s="33">
        <f>(P1770-P1763-P1765)*G1758</f>
        <v>0.20790056437559054</v>
      </c>
      <c r="Q1772" s="33">
        <f>(Q1770-Q1763-Q1765)*G1758</f>
        <v>0.1926194075022471</v>
      </c>
      <c r="R1772" s="33">
        <f>(R1770-R1763-R1765)*G1758</f>
        <v>0.17845493734979925</v>
      </c>
      <c r="S1772" s="33">
        <f>(S1770-S1763-S1765)*G1758</f>
        <v>0.16532595443859219</v>
      </c>
      <c r="T1772" s="33">
        <f>(T1770-T1763-T1765)*G1758</f>
        <v>0.15315713852409832</v>
      </c>
      <c r="U1772" s="33">
        <f>(U1770-U1763-U1765)*G1758</f>
        <v>0.1418786244876919</v>
      </c>
      <c r="V1772" s="33">
        <f>(V1770-V1763-V1765)*G1758</f>
        <v>0.13142560872217005</v>
      </c>
      <c r="W1772" s="33">
        <f>(W1770-W1763-W1765)*G1758</f>
        <v>0.12173798382561753</v>
      </c>
      <c r="X1772" s="33">
        <f>(X1770-X1763-X1765)*G1758</f>
        <v>0.11275999957357039</v>
      </c>
      <c r="Y1772" s="33">
        <f>(Y1770-Y1763-Y1765)*G1758</f>
        <v>0.10443994828464642</v>
      </c>
      <c r="Z1772" s="33">
        <f>(Z1770-Z1763-Z1765)*G1758</f>
        <v>9.6729872829647512E-2</v>
      </c>
      <c r="AA1772" s="33">
        <f>(AA1770-AA1763-AA1765)*G1758</f>
        <v>8.9585295659363615E-2</v>
      </c>
    </row>
    <row r="1773" spans="3:27" hidden="1" outlineLevel="1" x14ac:dyDescent="0.3">
      <c r="C1773" s="21" t="s">
        <v>41</v>
      </c>
      <c r="D1773" s="19">
        <f>分布式光伏电站IRR汇总!$B$17</f>
        <v>0.222</v>
      </c>
      <c r="F1773" s="10" t="s">
        <v>22</v>
      </c>
      <c r="G1773" s="33">
        <f>-G1761</f>
        <v>-24.611999999999995</v>
      </c>
      <c r="H1773" s="33">
        <f t="shared" ref="H1773:AA1773" si="670">H1770-H1772-H1765</f>
        <v>2.2398833001117748</v>
      </c>
      <c r="I1773" s="33">
        <f t="shared" si="670"/>
        <v>2.0843700731763128</v>
      </c>
      <c r="J1773" s="33">
        <f t="shared" si="670"/>
        <v>1.939655768568167</v>
      </c>
      <c r="K1773" s="33">
        <f t="shared" si="670"/>
        <v>1.8049903872505919</v>
      </c>
      <c r="L1773" s="33">
        <f t="shared" si="670"/>
        <v>1.6796760261962125</v>
      </c>
      <c r="M1773" s="33">
        <f t="shared" si="670"/>
        <v>1.5630632592242084</v>
      </c>
      <c r="N1773" s="33">
        <f t="shared" si="670"/>
        <v>1.454547769297154</v>
      </c>
      <c r="O1773" s="33">
        <f t="shared" si="670"/>
        <v>1.3535672148039519</v>
      </c>
      <c r="P1773" s="33">
        <f t="shared" si="670"/>
        <v>1.2595983135696214</v>
      </c>
      <c r="Q1773" s="33">
        <f t="shared" si="670"/>
        <v>1.1721541294626756</v>
      </c>
      <c r="R1773" s="33">
        <f t="shared" si="670"/>
        <v>1.0907815475222336</v>
      </c>
      <c r="S1773" s="33">
        <f t="shared" si="670"/>
        <v>1.0150589245053427</v>
      </c>
      <c r="T1773" s="33">
        <f t="shared" si="670"/>
        <v>0.94459390266534737</v>
      </c>
      <c r="U1773" s="33">
        <f t="shared" si="670"/>
        <v>0.87902137541919956</v>
      </c>
      <c r="V1773" s="33">
        <f t="shared" si="670"/>
        <v>0.81800159434980346</v>
      </c>
      <c r="W1773" s="33">
        <f t="shared" si="670"/>
        <v>0.76121840772292115</v>
      </c>
      <c r="X1773" s="33">
        <f t="shared" si="670"/>
        <v>0.70837762138058824</v>
      </c>
      <c r="Y1773" s="33">
        <f t="shared" si="670"/>
        <v>0.65920547350803005</v>
      </c>
      <c r="Z1773" s="33">
        <f t="shared" si="670"/>
        <v>0.61344721536192448</v>
      </c>
      <c r="AA1773" s="33">
        <f t="shared" si="670"/>
        <v>0.57086579059770026</v>
      </c>
    </row>
    <row r="1774" spans="3:27" ht="13.5" hidden="1" outlineLevel="1" thickBot="1" x14ac:dyDescent="0.35">
      <c r="C1774" s="21" t="s">
        <v>74</v>
      </c>
      <c r="D1774" s="19">
        <f>分布式光伏电站IRR汇总!$B$18</f>
        <v>0.4</v>
      </c>
      <c r="F1774" s="3" t="s">
        <v>61</v>
      </c>
      <c r="G1774" s="35">
        <f>SUM(G1773:AA1773)/G1761</f>
        <v>3.1730332262566988E-6</v>
      </c>
      <c r="H1774" s="34"/>
      <c r="I1774" s="34"/>
      <c r="J1774" s="34"/>
      <c r="K1774" s="34"/>
      <c r="L1774" s="34"/>
      <c r="M1774" s="34"/>
      <c r="N1774" s="34"/>
      <c r="O1774" s="34"/>
      <c r="P1774" s="34"/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</row>
    <row r="1775" spans="3:27" ht="13.5" hidden="1" outlineLevel="1" thickTop="1" x14ac:dyDescent="0.3">
      <c r="C1775" s="18" t="s">
        <v>58</v>
      </c>
      <c r="D1775" s="19">
        <f>分布式光伏电站IRR汇总!$B$19</f>
        <v>0.86599999999999999</v>
      </c>
    </row>
    <row r="1776" spans="3:27" hidden="1" outlineLevel="1" x14ac:dyDescent="0.3">
      <c r="C1776" s="18" t="s">
        <v>62</v>
      </c>
      <c r="D1776" s="19">
        <f>分布式光伏电站IRR汇总!$B$20</f>
        <v>20</v>
      </c>
      <c r="F1776" s="13" t="s">
        <v>25</v>
      </c>
      <c r="G1776" s="14">
        <v>0</v>
      </c>
    </row>
    <row r="1777" spans="3:27" hidden="1" outlineLevel="1" x14ac:dyDescent="0.3">
      <c r="C1777" s="18" t="s">
        <v>59</v>
      </c>
      <c r="D1777" s="52">
        <f>分布式光伏电站IRR汇总!$B$21</f>
        <v>0.02</v>
      </c>
      <c r="F1777" s="13" t="s">
        <v>26</v>
      </c>
      <c r="G1777" s="14">
        <v>0.25</v>
      </c>
      <c r="Q1777" s="15"/>
    </row>
    <row r="1778" spans="3:27" hidden="1" outlineLevel="1" x14ac:dyDescent="0.3">
      <c r="C1778" s="18" t="s">
        <v>60</v>
      </c>
      <c r="D1778" s="52">
        <f>分布式光伏电站IRR汇总!$B$22</f>
        <v>4.4999999999999997E-3</v>
      </c>
      <c r="F1778" s="1" t="s">
        <v>44</v>
      </c>
      <c r="G1778" s="4"/>
      <c r="H1778" s="5">
        <v>1</v>
      </c>
      <c r="I1778" s="5">
        <v>2</v>
      </c>
      <c r="J1778" s="5">
        <v>3</v>
      </c>
      <c r="K1778" s="5">
        <v>4</v>
      </c>
      <c r="L1778" s="5">
        <v>5</v>
      </c>
      <c r="M1778" s="5">
        <v>6</v>
      </c>
      <c r="N1778" s="5">
        <v>7</v>
      </c>
      <c r="O1778" s="5">
        <v>8</v>
      </c>
      <c r="P1778" s="5">
        <v>9</v>
      </c>
      <c r="Q1778" s="5">
        <v>10</v>
      </c>
      <c r="R1778" s="5">
        <v>11</v>
      </c>
      <c r="S1778" s="5">
        <v>12</v>
      </c>
      <c r="T1778" s="5">
        <v>13</v>
      </c>
      <c r="U1778" s="5">
        <v>14</v>
      </c>
      <c r="V1778" s="5">
        <v>15</v>
      </c>
      <c r="W1778" s="5">
        <v>16</v>
      </c>
      <c r="X1778" s="5">
        <v>17</v>
      </c>
      <c r="Y1778" s="5">
        <v>18</v>
      </c>
      <c r="Z1778" s="5">
        <v>19</v>
      </c>
      <c r="AA1778" s="5">
        <v>20</v>
      </c>
    </row>
    <row r="1779" spans="3:27" hidden="1" outlineLevel="1" x14ac:dyDescent="0.3">
      <c r="C1779" s="18" t="s">
        <v>28</v>
      </c>
      <c r="D1779" s="29">
        <f>分布式光伏电站IRR汇总!$B$23</f>
        <v>0.04</v>
      </c>
      <c r="F1779" s="16"/>
      <c r="G1779" s="2" t="s">
        <v>0</v>
      </c>
      <c r="H1779" s="2" t="s">
        <v>1</v>
      </c>
      <c r="I1779" s="2" t="s">
        <v>2</v>
      </c>
      <c r="J1779" s="2" t="s">
        <v>3</v>
      </c>
      <c r="K1779" s="2" t="s">
        <v>4</v>
      </c>
      <c r="L1779" s="2" t="s">
        <v>5</v>
      </c>
      <c r="M1779" s="2" t="s">
        <v>6</v>
      </c>
      <c r="N1779" s="2" t="s">
        <v>7</v>
      </c>
      <c r="O1779" s="2" t="s">
        <v>8</v>
      </c>
      <c r="P1779" s="2" t="s">
        <v>9</v>
      </c>
      <c r="Q1779" s="2" t="s">
        <v>10</v>
      </c>
      <c r="R1779" s="2" t="s">
        <v>11</v>
      </c>
      <c r="S1779" s="2" t="s">
        <v>12</v>
      </c>
      <c r="T1779" s="2" t="s">
        <v>13</v>
      </c>
      <c r="U1779" s="2" t="s">
        <v>45</v>
      </c>
      <c r="V1779" s="2" t="s">
        <v>46</v>
      </c>
      <c r="W1779" s="2" t="s">
        <v>47</v>
      </c>
      <c r="X1779" s="2" t="s">
        <v>48</v>
      </c>
      <c r="Y1779" s="2" t="s">
        <v>49</v>
      </c>
      <c r="Z1779" s="2" t="s">
        <v>50</v>
      </c>
      <c r="AA1779" s="2" t="s">
        <v>51</v>
      </c>
    </row>
    <row r="1780" spans="3:27" hidden="1" outlineLevel="1" x14ac:dyDescent="0.3">
      <c r="C1780" s="18" t="s">
        <v>43</v>
      </c>
      <c r="D1780" s="19">
        <f>分布式光伏电站IRR汇总!$B$24</f>
        <v>0.05</v>
      </c>
      <c r="F1780" s="6" t="s">
        <v>14</v>
      </c>
      <c r="G1780" s="33">
        <f>D1782</f>
        <v>24.611999999999995</v>
      </c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  <c r="AA1780" s="33"/>
    </row>
    <row r="1781" spans="3:27" hidden="1" outlineLevel="1" x14ac:dyDescent="0.3">
      <c r="C1781" s="18" t="s">
        <v>126</v>
      </c>
      <c r="D1781" s="28">
        <f>Backup分地区光伏小时数及电价!E39</f>
        <v>861</v>
      </c>
      <c r="F1781" s="6" t="s">
        <v>15</v>
      </c>
      <c r="G1781" s="33">
        <f>SUM(H1782:AA1782)</f>
        <v>23.381399999999985</v>
      </c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  <c r="AA1781" s="33"/>
    </row>
    <row r="1782" spans="3:27" hidden="1" outlineLevel="1" x14ac:dyDescent="0.3">
      <c r="C1782" s="24" t="s">
        <v>14</v>
      </c>
      <c r="D1782" s="30">
        <f>D1758*D1763</f>
        <v>24.611999999999995</v>
      </c>
      <c r="F1782" s="7" t="s">
        <v>16</v>
      </c>
      <c r="G1782" s="33"/>
      <c r="H1782" s="33">
        <f>D1782*(1-D1780)/D1776/((1+G1776)^H1778)</f>
        <v>1.1690699999999996</v>
      </c>
      <c r="I1782" s="33">
        <f>D1782*(1-D1780)/D1776/((1+G1776)^I1778)</f>
        <v>1.1690699999999996</v>
      </c>
      <c r="J1782" s="33">
        <f>D1782*(1-D1780)/D1776/((1+G1776)^J1778)</f>
        <v>1.1690699999999996</v>
      </c>
      <c r="K1782" s="33">
        <f>D1782*(1-D1780)/D1776/((1+G1776)^K1778)</f>
        <v>1.1690699999999996</v>
      </c>
      <c r="L1782" s="33">
        <f>D1782*(1-D1780)/D1776/((1+G1776)^L1778)</f>
        <v>1.1690699999999996</v>
      </c>
      <c r="M1782" s="33">
        <f>D1782*(1-D1780)/D1776/((1+G1776)^M1778)</f>
        <v>1.1690699999999996</v>
      </c>
      <c r="N1782" s="33">
        <f>D1782*(1-D1780)/D1776/((1+G1776)^N1778)</f>
        <v>1.1690699999999996</v>
      </c>
      <c r="O1782" s="33">
        <f>D1782*(1-D1780)/D1776/((1+G1776)^O1778)</f>
        <v>1.1690699999999996</v>
      </c>
      <c r="P1782" s="33">
        <f>D1782*(1-D1780)/D1776/((1+G1776)^P1778)</f>
        <v>1.1690699999999996</v>
      </c>
      <c r="Q1782" s="33">
        <f>D1782*(1-D1780)/D1776/((1+G1776)^Q1778)</f>
        <v>1.1690699999999996</v>
      </c>
      <c r="R1782" s="33">
        <f>D1782*(1-D1780)/D1776/((1+G1776)^R1778)</f>
        <v>1.1690699999999996</v>
      </c>
      <c r="S1782" s="33">
        <f>D1782*(1-D1780)/D1776/((1+G1776)^S1778)</f>
        <v>1.1690699999999996</v>
      </c>
      <c r="T1782" s="33">
        <f>D1782*(1-D1780)/D1776/((1+G1776)^T1778)</f>
        <v>1.1690699999999996</v>
      </c>
      <c r="U1782" s="33">
        <f>D1782*(1-D1780)/D1776/((1+G1776)^U1778)</f>
        <v>1.1690699999999996</v>
      </c>
      <c r="V1782" s="33">
        <f>D1782*(1-D1780)/D1776/((1+G1776)^V1778)</f>
        <v>1.1690699999999996</v>
      </c>
      <c r="W1782" s="33">
        <f>D1782*(1-D1780)/D1776/((1+G1776)^W1778)</f>
        <v>1.1690699999999996</v>
      </c>
      <c r="X1782" s="33">
        <f>D1782*(1-D1780)/D1776/((1+G1776)^X1778)</f>
        <v>1.1690699999999996</v>
      </c>
      <c r="Y1782" s="33">
        <f>D1782*(1-D1780)/D1776/((1+G1776)^Y1778)</f>
        <v>1.1690699999999996</v>
      </c>
      <c r="Z1782" s="33">
        <f>D1782*(1-D1780)/D1776/((1+G1776)^Z1778)</f>
        <v>1.1690699999999996</v>
      </c>
      <c r="AA1782" s="33">
        <f>D1782*(1-D1780)/D1776/((1+G1776)^AA1778)</f>
        <v>1.1690699999999996</v>
      </c>
    </row>
    <row r="1783" spans="3:27" hidden="1" outlineLevel="1" x14ac:dyDescent="0.3">
      <c r="C1783" s="18" t="s">
        <v>29</v>
      </c>
      <c r="D1783" s="29">
        <v>0.35980000000000001</v>
      </c>
      <c r="F1783" s="6" t="s">
        <v>17</v>
      </c>
      <c r="G1783" s="33">
        <f>SUM(H1784:AA1784)</f>
        <v>4.8000000000000025</v>
      </c>
      <c r="H1783" s="33"/>
      <c r="I1783" s="33"/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  <c r="T1783" s="33"/>
      <c r="U1783" s="33"/>
      <c r="V1783" s="33"/>
      <c r="W1783" s="33"/>
      <c r="X1783" s="33"/>
      <c r="Y1783" s="33"/>
      <c r="Z1783" s="33"/>
      <c r="AA1783" s="33"/>
    </row>
    <row r="1784" spans="3:27" hidden="1" outlineLevel="1" x14ac:dyDescent="0.3">
      <c r="C1784" s="18" t="s">
        <v>30</v>
      </c>
      <c r="D1784" s="31">
        <f>Backup分地区光伏小时数及电价!I39</f>
        <v>0.6947266666666666</v>
      </c>
      <c r="F1784" s="7" t="s">
        <v>18</v>
      </c>
      <c r="G1784" s="33"/>
      <c r="H1784" s="33">
        <f>D1779*D1758/((1+G1776)^H1778)</f>
        <v>0.24</v>
      </c>
      <c r="I1784" s="33">
        <f>D1779*D1758/((1+G1776)^I1778)</f>
        <v>0.24</v>
      </c>
      <c r="J1784" s="33">
        <f>D1779*D1758/((1+G1776)^J1778)</f>
        <v>0.24</v>
      </c>
      <c r="K1784" s="33">
        <f>D1779*D1758/((1+G1776)^K1778)</f>
        <v>0.24</v>
      </c>
      <c r="L1784" s="33">
        <f>D1779*D1758/((1+G1776)^L1778)</f>
        <v>0.24</v>
      </c>
      <c r="M1784" s="33">
        <f>D1779*D1758/((1+G1776)^M1778)</f>
        <v>0.24</v>
      </c>
      <c r="N1784" s="33">
        <f>D1779*D1758/((1+G1776)^N1778)</f>
        <v>0.24</v>
      </c>
      <c r="O1784" s="33">
        <f>D1779*D1758/((1+G1776)^O1778)</f>
        <v>0.24</v>
      </c>
      <c r="P1784" s="33">
        <f>D1779*D1758/((1+G1776)^P1778)</f>
        <v>0.24</v>
      </c>
      <c r="Q1784" s="33">
        <f>D1779*D1758/((1+G1776)^Q1778)</f>
        <v>0.24</v>
      </c>
      <c r="R1784" s="33">
        <f>D1779*D1758/((1+G1776)^R1778)</f>
        <v>0.24</v>
      </c>
      <c r="S1784" s="33">
        <f>D1779*D1758/((1+G1776)^S1778)</f>
        <v>0.24</v>
      </c>
      <c r="T1784" s="33">
        <f>D1779*D1758/((1+G1776)^T1778)</f>
        <v>0.24</v>
      </c>
      <c r="U1784" s="33">
        <f>D1779*D1758/((1+G1776)^U1778)</f>
        <v>0.24</v>
      </c>
      <c r="V1784" s="33">
        <f>D1779*D1758/((1+G1776)^V1778)</f>
        <v>0.24</v>
      </c>
      <c r="W1784" s="33">
        <f>D1779*D1758/((1+G1776)^W1778)</f>
        <v>0.24</v>
      </c>
      <c r="X1784" s="33">
        <f>D1779*D1758/((1+G1776)^X1778)</f>
        <v>0.24</v>
      </c>
      <c r="Y1784" s="33">
        <f>D1779*D1758/((1+G1776)^Y1778)</f>
        <v>0.24</v>
      </c>
      <c r="Z1784" s="33">
        <f>D1779*D1758/((1+G1776)^Z1778)</f>
        <v>0.24</v>
      </c>
      <c r="AA1784" s="33">
        <f>D1779*D1758/((1+G1776)^AA1778)</f>
        <v>0.24</v>
      </c>
    </row>
    <row r="1785" spans="3:27" hidden="1" outlineLevel="1" x14ac:dyDescent="0.3">
      <c r="C1785" s="18" t="s">
        <v>70</v>
      </c>
      <c r="D1785" s="32">
        <f>分布式光伏电站IRR汇总!$B$27</f>
        <v>1</v>
      </c>
      <c r="F1785" s="6" t="s">
        <v>19</v>
      </c>
      <c r="G1785" s="33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>
        <f>D1779*D1782/((1+G1776)^AA1778)</f>
        <v>0.9844799999999998</v>
      </c>
    </row>
    <row r="1786" spans="3:27" hidden="1" outlineLevel="1" x14ac:dyDescent="0.3">
      <c r="C1786" s="18" t="s">
        <v>69</v>
      </c>
      <c r="D1786" s="31">
        <f>D1785*D1784</f>
        <v>0.6947266666666666</v>
      </c>
      <c r="F1786" s="8" t="s">
        <v>64</v>
      </c>
      <c r="G1786" s="33">
        <f>SUM(H1787:AA1787)</f>
        <v>84036.360471734035</v>
      </c>
      <c r="H1786" s="33"/>
      <c r="I1786" s="33"/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  <c r="Z1786" s="33"/>
      <c r="AA1786" s="33"/>
    </row>
    <row r="1787" spans="3:27" hidden="1" outlineLevel="1" x14ac:dyDescent="0.3">
      <c r="C1787" s="18" t="s">
        <v>31</v>
      </c>
      <c r="D1787" s="27">
        <v>0</v>
      </c>
      <c r="F1787" s="9" t="s">
        <v>65</v>
      </c>
      <c r="G1787" s="33"/>
      <c r="H1787" s="33">
        <f>D1758*D1775*(1-D1777)*D1781/((1+G1776)^H1778)</f>
        <v>4384.2808799999993</v>
      </c>
      <c r="I1787" s="33">
        <f>D1758*D1775*(1-D1777)*(1-D1778)^(I1778-1)*D1781/((1+G1776)^I1778)</f>
        <v>4364.5516160399993</v>
      </c>
      <c r="J1787" s="33">
        <f>D1758*D1775*(1-D1777)*(1-D1778)^(J1778-1)*D1781/((1+G1776)^J1778)</f>
        <v>4344.9111337678196</v>
      </c>
      <c r="K1787" s="33">
        <f>D1758*D1775*(1-D1777)*(1-D1778)^(K1778-1)*D1781/((1+G1776)^K1778)</f>
        <v>4325.3590336658654</v>
      </c>
      <c r="L1787" s="33">
        <f>D1758*D1775*(1-D1777)*(1-D1778)^(L1778-1)*D1781/((1+G1776)^L1778)</f>
        <v>4305.8949180143691</v>
      </c>
      <c r="M1787" s="33">
        <f>D1758*D1775*(1-D1777)*(1-D1778)^(M1778-1)*D1781/((1+G1776)^M1778)</f>
        <v>4286.5183908833051</v>
      </c>
      <c r="N1787" s="33">
        <f>D1758*D1775*(1-D1777)*(1-D1778)^(N1778-1)*D1781/((1+G1776)^N1778)</f>
        <v>4267.2290581243296</v>
      </c>
      <c r="O1787" s="33">
        <f>D1758*D1775*(1-D1777)*(1-D1778)^(O1778-1)*D1781/((1+G1776)^O1778)</f>
        <v>4248.0265273627701</v>
      </c>
      <c r="P1787" s="33">
        <f>D1758*D1775*(1-D1777)*(1-D1778)^(P1778-1)*D1781/((1+G1776)^P1778)</f>
        <v>4228.9104079896388</v>
      </c>
      <c r="Q1787" s="33">
        <f>D1758*D1775*(1-D1777)*(1-D1778)^(Q1778-1)*D1781/((1+G1776)^Q1778)</f>
        <v>4209.8803111536854</v>
      </c>
      <c r="R1787" s="33">
        <f>D1758*D1775*(1-D1777)*(1-D1778)^(R1778-1)*D1781/((1+G1776)^R1778)</f>
        <v>4190.935849753494</v>
      </c>
      <c r="S1787" s="33">
        <f>D1758*D1775*(1-D1777)*(1-D1778)^(S1778-1)*D1781/((1+G1776)^S1778)</f>
        <v>4172.0766384296039</v>
      </c>
      <c r="T1787" s="33">
        <f>D1758*D1775*(1-D1777)*(1-D1778)^(T1778-1)*D1781/((1+G1776)^T1778)</f>
        <v>4153.3022935566705</v>
      </c>
      <c r="U1787" s="33">
        <f>D1758*D1775*(1-D1777)*(1-D1778)^(U1778-1)*D1781/((1+G1776)^U1778)</f>
        <v>4134.6124332356658</v>
      </c>
      <c r="V1787" s="33">
        <f>D1758*D1775*(1-D1777)*(1-D1778)^(V1778-1)*D1781/((1+G1776)^V1778)</f>
        <v>4116.0066772861055</v>
      </c>
      <c r="W1787" s="33">
        <f>D1758*D1775*(1-D1777)*(1-D1778)^(W1778-1)*D1781/((1+G1776)^W1778)</f>
        <v>4097.4846472383188</v>
      </c>
      <c r="X1787" s="33">
        <f>D1758*D1775*(1-D1777)*(1-D1778)^(X1778-1)*D1781/((1+G1776)^X1778)</f>
        <v>4079.0459663257461</v>
      </c>
      <c r="Y1787" s="33">
        <f>D1758*D1775*(1-D1777)*(1-D1778)^(Y1778-1)*D1781/((1+G1776)^Y1778)</f>
        <v>4060.6902594772805</v>
      </c>
      <c r="Z1787" s="33">
        <f>D1758*D1775*(1-D1777)*(1-D1778)^(Z1778-1)*D1781/((1+G1776)^Z1778)</f>
        <v>4042.4171533096332</v>
      </c>
      <c r="AA1787" s="33">
        <f>D1758*D1775*(1-D1777)*(1-D1778)^(AA1778-1)*D1781/((1+G1776)^AA1778)</f>
        <v>4024.2262761197403</v>
      </c>
    </row>
    <row r="1788" spans="3:27" hidden="1" outlineLevel="1" x14ac:dyDescent="0.3">
      <c r="F1788" s="4" t="s">
        <v>66</v>
      </c>
      <c r="G1788" s="33">
        <f>SUM(H1789:AA1789)</f>
        <v>58.382300589326213</v>
      </c>
      <c r="H1788" s="33"/>
      <c r="I1788" s="33"/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  <c r="Z1788" s="33"/>
      <c r="AA1788" s="33"/>
    </row>
    <row r="1789" spans="3:27" hidden="1" outlineLevel="1" x14ac:dyDescent="0.3">
      <c r="F1789" s="7" t="s">
        <v>67</v>
      </c>
      <c r="G1789" s="33"/>
      <c r="H1789" s="33">
        <f>H1787*D1786/1000</f>
        <v>3.0458768414927997</v>
      </c>
      <c r="I1789" s="33">
        <f>I1787*D1786/1000</f>
        <v>3.0321703957060819</v>
      </c>
      <c r="J1789" s="33">
        <f>J1787*D1786/1000</f>
        <v>3.0185256289254045</v>
      </c>
      <c r="K1789" s="33">
        <f>K1787*D1786/1000</f>
        <v>3.004942263595241</v>
      </c>
      <c r="L1789" s="33">
        <f>L1787*D1786/1000</f>
        <v>2.991420023409062</v>
      </c>
      <c r="M1789" s="33">
        <f>M1787*D1786/1000</f>
        <v>2.977958633303722</v>
      </c>
      <c r="N1789" s="33">
        <f>N1787*D1786/1000</f>
        <v>2.9645578194538547</v>
      </c>
      <c r="O1789" s="33">
        <f>O1787*D1786/1000</f>
        <v>2.9512173092663123</v>
      </c>
      <c r="P1789" s="33">
        <f>P1787*D1786/1000</f>
        <v>2.937936831374615</v>
      </c>
      <c r="Q1789" s="33">
        <f>Q1787*D1786/1000</f>
        <v>2.9247161156334291</v>
      </c>
      <c r="R1789" s="33">
        <f>R1787*D1786/1000</f>
        <v>2.9115548931130788</v>
      </c>
      <c r="S1789" s="33">
        <f>S1787*D1786/1000</f>
        <v>2.8984528960940703</v>
      </c>
      <c r="T1789" s="33">
        <f>T1787*D1786/1000</f>
        <v>2.8854098580616467</v>
      </c>
      <c r="U1789" s="33">
        <f>U1787*D1786/1000</f>
        <v>2.8724255137003696</v>
      </c>
      <c r="V1789" s="33">
        <f>V1787*D1786/1000</f>
        <v>2.8594995988887182</v>
      </c>
      <c r="W1789" s="33">
        <f>W1787*D1786/1000</f>
        <v>2.8466318506937194</v>
      </c>
      <c r="X1789" s="33">
        <f>X1787*D1786/1000</f>
        <v>2.8338220073655975</v>
      </c>
      <c r="Y1789" s="33">
        <f>Y1787*D1786/1000</f>
        <v>2.8210698083324526</v>
      </c>
      <c r="Z1789" s="33">
        <f>Z1787*D1786/1000</f>
        <v>2.8083749941949567</v>
      </c>
      <c r="AA1789" s="33">
        <f>AA1787*D1786/1000</f>
        <v>2.7957373067210796</v>
      </c>
    </row>
    <row r="1790" spans="3:27" hidden="1" outlineLevel="1" x14ac:dyDescent="0.3">
      <c r="F1790" s="4" t="s">
        <v>20</v>
      </c>
      <c r="G1790" s="33">
        <f>SUM(H1791:AA1791)</f>
        <v>7.5502251473315543</v>
      </c>
      <c r="H1790" s="33"/>
      <c r="I1790" s="33"/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  <c r="Z1790" s="33"/>
      <c r="AA1790" s="33"/>
    </row>
    <row r="1791" spans="3:27" hidden="1" outlineLevel="1" x14ac:dyDescent="0.3">
      <c r="F1791" s="7" t="s">
        <v>21</v>
      </c>
      <c r="G1791" s="33"/>
      <c r="H1791" s="33">
        <f>(H1789-H1782-H1784)*G1777</f>
        <v>0.40920171037320002</v>
      </c>
      <c r="I1791" s="33">
        <f>(I1789-I1782-I1784)*G1777</f>
        <v>0.40577509892652058</v>
      </c>
      <c r="J1791" s="33">
        <f>(J1789-J1782-J1784)*G1777</f>
        <v>0.40236390723135124</v>
      </c>
      <c r="K1791" s="33">
        <f>(K1789-K1782-K1784)*G1777</f>
        <v>0.39896806589881034</v>
      </c>
      <c r="L1791" s="33">
        <f>(L1789-L1782-L1784)*G1777</f>
        <v>0.3955875058522656</v>
      </c>
      <c r="M1791" s="33">
        <f>(M1789-M1782-M1784)*G1777</f>
        <v>0.3922221583259306</v>
      </c>
      <c r="N1791" s="33">
        <f>(N1789-N1782-N1784)*G1777</f>
        <v>0.38887195486346376</v>
      </c>
      <c r="O1791" s="33">
        <f>(O1789-O1782-O1784)*G1777</f>
        <v>0.38553682731657818</v>
      </c>
      <c r="P1791" s="33">
        <f>(P1789-P1782-P1784)*G1777</f>
        <v>0.38221670784365386</v>
      </c>
      <c r="Q1791" s="33">
        <f>(Q1789-Q1782-Q1784)*G1777</f>
        <v>0.37891152890835739</v>
      </c>
      <c r="R1791" s="33">
        <f>(R1789-R1782-R1784)*G1777</f>
        <v>0.3756212232782698</v>
      </c>
      <c r="S1791" s="33">
        <f>(S1789-S1782-S1784)*G1777</f>
        <v>0.37234572402351768</v>
      </c>
      <c r="T1791" s="33">
        <f>(T1789-T1782-T1784)*G1777</f>
        <v>0.36908496451541178</v>
      </c>
      <c r="U1791" s="33">
        <f>(U1789-U1782-U1784)*G1777</f>
        <v>0.3658388784250925</v>
      </c>
      <c r="V1791" s="33">
        <f>(V1789-V1782-V1784)*G1777</f>
        <v>0.36260739972217965</v>
      </c>
      <c r="W1791" s="33">
        <f>(W1789-W1782-W1784)*G1777</f>
        <v>0.35939046267342994</v>
      </c>
      <c r="X1791" s="33">
        <f>(X1789-X1782-X1784)*G1777</f>
        <v>0.35618800184139948</v>
      </c>
      <c r="Y1791" s="33">
        <f>(Y1789-Y1782-Y1784)*G1777</f>
        <v>0.35299995208311324</v>
      </c>
      <c r="Z1791" s="33">
        <f>(Z1789-Z1782-Z1784)*G1777</f>
        <v>0.34982624854873928</v>
      </c>
      <c r="AA1791" s="33">
        <f>(AA1789-AA1782-AA1784)*G1777</f>
        <v>0.34666682668026999</v>
      </c>
    </row>
    <row r="1792" spans="3:27" hidden="1" outlineLevel="1" x14ac:dyDescent="0.3">
      <c r="F1792" s="10" t="s">
        <v>22</v>
      </c>
      <c r="G1792" s="33">
        <f>-G1780</f>
        <v>-24.611999999999995</v>
      </c>
      <c r="H1792" s="33">
        <f>H1789-H1791-H1784</f>
        <v>2.3966751311195997</v>
      </c>
      <c r="I1792" s="33">
        <f t="shared" ref="I1792" si="671">I1789-I1791-I1784</f>
        <v>2.3863952967795612</v>
      </c>
      <c r="J1792" s="33">
        <f t="shared" ref="J1792" si="672">J1789-J1791-J1784</f>
        <v>2.3761617216940536</v>
      </c>
      <c r="K1792" s="33">
        <f t="shared" ref="K1792" si="673">K1789-K1791-K1784</f>
        <v>2.3659741976964304</v>
      </c>
      <c r="L1792" s="33">
        <f t="shared" ref="L1792" si="674">L1789-L1791-L1784</f>
        <v>2.355832517556796</v>
      </c>
      <c r="M1792" s="33">
        <f t="shared" ref="M1792" si="675">M1789-M1791-M1784</f>
        <v>2.3457364749777918</v>
      </c>
      <c r="N1792" s="33">
        <f t="shared" ref="N1792" si="676">N1789-N1791-N1784</f>
        <v>2.3356858645903911</v>
      </c>
      <c r="O1792" s="33">
        <f t="shared" ref="O1792" si="677">O1789-O1791-O1784</f>
        <v>2.3256804819497345</v>
      </c>
      <c r="P1792" s="33">
        <f t="shared" ref="P1792" si="678">P1789-P1791-P1784</f>
        <v>2.3157201235309612</v>
      </c>
      <c r="Q1792" s="33">
        <f t="shared" ref="Q1792" si="679">Q1789-Q1791-Q1784</f>
        <v>2.3058045867250714</v>
      </c>
      <c r="R1792" s="33">
        <f t="shared" ref="R1792" si="680">R1789-R1791-R1784</f>
        <v>2.2959336698348087</v>
      </c>
      <c r="S1792" s="33">
        <f t="shared" ref="S1792" si="681">S1789-S1791-S1784</f>
        <v>2.2861071720705528</v>
      </c>
      <c r="T1792" s="33">
        <f t="shared" ref="T1792" si="682">T1789-T1791-T1784</f>
        <v>2.276324893546235</v>
      </c>
      <c r="U1792" s="33">
        <f t="shared" ref="U1792" si="683">U1789-U1791-U1784</f>
        <v>2.266586635275277</v>
      </c>
      <c r="V1792" s="33">
        <f t="shared" ref="V1792" si="684">V1789-V1791-V1784</f>
        <v>2.2568921991665389</v>
      </c>
      <c r="W1792" s="33">
        <f t="shared" ref="W1792" si="685">W1789-W1791-W1784</f>
        <v>2.2472413880202895</v>
      </c>
      <c r="X1792" s="33">
        <f t="shared" ref="X1792" si="686">X1789-X1791-X1784</f>
        <v>2.2376340055241979</v>
      </c>
      <c r="Y1792" s="33">
        <f t="shared" ref="Y1792" si="687">Y1789-Y1791-Y1784</f>
        <v>2.2280698562493395</v>
      </c>
      <c r="Z1792" s="33">
        <f t="shared" ref="Z1792" si="688">Z1789-Z1791-Z1784</f>
        <v>2.2185487456462178</v>
      </c>
      <c r="AA1792" s="33">
        <f t="shared" ref="AA1792" si="689">AA1789-AA1791-AA1784</f>
        <v>2.2090704800408094</v>
      </c>
    </row>
    <row r="1793" spans="2:27" ht="13.5" hidden="1" outlineLevel="1" thickBot="1" x14ac:dyDescent="0.35">
      <c r="F1793" s="3" t="s">
        <v>68</v>
      </c>
      <c r="G1793" s="40">
        <f>IRR(G1792:AA1792)</f>
        <v>7.0000414728162097E-2</v>
      </c>
      <c r="H1793" s="34"/>
      <c r="I1793" s="34"/>
      <c r="J1793" s="34"/>
      <c r="K1793" s="34"/>
      <c r="L1793" s="34"/>
      <c r="M1793" s="34"/>
      <c r="N1793" s="34"/>
      <c r="O1793" s="34"/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</row>
    <row r="1794" spans="2:27" ht="13.5" collapsed="1" thickTop="1" x14ac:dyDescent="0.3"/>
    <row r="1795" spans="2:27" x14ac:dyDescent="0.3">
      <c r="B1795" s="11" t="s">
        <v>181</v>
      </c>
      <c r="C1795" s="11" t="s">
        <v>52</v>
      </c>
    </row>
    <row r="1796" spans="2:27" x14ac:dyDescent="0.3">
      <c r="C1796" s="11" t="s">
        <v>141</v>
      </c>
      <c r="D1796" s="54">
        <f>D1827</f>
        <v>655</v>
      </c>
    </row>
    <row r="1797" spans="2:27" x14ac:dyDescent="0.3">
      <c r="C1797" s="16" t="s">
        <v>78</v>
      </c>
      <c r="D1797" s="37">
        <f>(G1826+G1829+G1836)/G1832*1000</f>
        <v>0.53201301669242429</v>
      </c>
    </row>
    <row r="1798" spans="2:27" x14ac:dyDescent="0.3">
      <c r="C1798" s="13" t="s">
        <v>77</v>
      </c>
      <c r="D1798" s="39">
        <f>(G1807+G1810+G1817)/G1813*1000</f>
        <v>0.85790572388715058</v>
      </c>
    </row>
    <row r="1799" spans="2:27" x14ac:dyDescent="0.3">
      <c r="C1799" s="13" t="s">
        <v>61</v>
      </c>
      <c r="D1799" s="36">
        <f>G1820</f>
        <v>-0.19238415782574075</v>
      </c>
    </row>
    <row r="1800" spans="2:27" x14ac:dyDescent="0.3">
      <c r="C1800" s="13" t="s">
        <v>73</v>
      </c>
      <c r="D1800" s="25">
        <f>SUM(G1819:AA1819)</f>
        <v>-4.7349588924071302</v>
      </c>
    </row>
    <row r="1801" spans="2:27" ht="13.5" thickBot="1" x14ac:dyDescent="0.35">
      <c r="C1801" s="23" t="s">
        <v>68</v>
      </c>
      <c r="D1801" s="26">
        <f>G1839</f>
        <v>4.3654948735116772E-2</v>
      </c>
    </row>
    <row r="1802" spans="2:27" ht="13.5" hidden="1" outlineLevel="1" thickTop="1" x14ac:dyDescent="0.3">
      <c r="E1802" s="20"/>
      <c r="F1802" s="38" t="s">
        <v>75</v>
      </c>
    </row>
    <row r="1803" spans="2:27" hidden="1" outlineLevel="1" x14ac:dyDescent="0.3">
      <c r="C1803" s="11" t="s">
        <v>71</v>
      </c>
      <c r="F1803" s="13" t="s">
        <v>25</v>
      </c>
      <c r="G1803" s="14">
        <v>7.0000000000000007E-2</v>
      </c>
    </row>
    <row r="1804" spans="2:27" hidden="1" outlineLevel="1" x14ac:dyDescent="0.3">
      <c r="C1804" s="18" t="s">
        <v>53</v>
      </c>
      <c r="D1804" s="19">
        <f>分布式光伏电站IRR汇总!$B$2</f>
        <v>6</v>
      </c>
      <c r="F1804" s="13" t="s">
        <v>26</v>
      </c>
      <c r="G1804" s="14">
        <v>0.25</v>
      </c>
    </row>
    <row r="1805" spans="2:27" hidden="1" outlineLevel="1" x14ac:dyDescent="0.3">
      <c r="C1805" s="18" t="s">
        <v>56</v>
      </c>
      <c r="D1805" s="19">
        <f>分布式光伏电站IRR汇总!$B$3</f>
        <v>120</v>
      </c>
      <c r="F1805" s="1" t="s">
        <v>44</v>
      </c>
      <c r="G1805" s="4"/>
      <c r="H1805" s="5">
        <v>1</v>
      </c>
      <c r="I1805" s="5">
        <v>2</v>
      </c>
      <c r="J1805" s="5">
        <v>3</v>
      </c>
      <c r="K1805" s="5">
        <v>4</v>
      </c>
      <c r="L1805" s="5">
        <v>5</v>
      </c>
      <c r="M1805" s="5">
        <v>6</v>
      </c>
      <c r="N1805" s="5">
        <v>7</v>
      </c>
      <c r="O1805" s="5">
        <v>8</v>
      </c>
      <c r="P1805" s="5">
        <v>9</v>
      </c>
      <c r="Q1805" s="5">
        <v>10</v>
      </c>
      <c r="R1805" s="5">
        <v>11</v>
      </c>
      <c r="S1805" s="5">
        <v>12</v>
      </c>
      <c r="T1805" s="5">
        <v>13</v>
      </c>
      <c r="U1805" s="5">
        <v>14</v>
      </c>
      <c r="V1805" s="5">
        <v>15</v>
      </c>
      <c r="W1805" s="5">
        <v>16</v>
      </c>
      <c r="X1805" s="5">
        <v>17</v>
      </c>
      <c r="Y1805" s="5">
        <v>18</v>
      </c>
      <c r="Z1805" s="5">
        <v>19</v>
      </c>
      <c r="AA1805" s="5">
        <v>20</v>
      </c>
    </row>
    <row r="1806" spans="2:27" hidden="1" outlineLevel="1" x14ac:dyDescent="0.3">
      <c r="C1806" s="18" t="s">
        <v>57</v>
      </c>
      <c r="D1806" s="19">
        <f>分布式光伏电站IRR汇总!$B$4</f>
        <v>3</v>
      </c>
      <c r="F1806" s="16"/>
      <c r="G1806" s="2" t="s">
        <v>0</v>
      </c>
      <c r="H1806" s="2" t="s">
        <v>1</v>
      </c>
      <c r="I1806" s="2" t="s">
        <v>2</v>
      </c>
      <c r="J1806" s="2" t="s">
        <v>3</v>
      </c>
      <c r="K1806" s="2" t="s">
        <v>4</v>
      </c>
      <c r="L1806" s="2" t="s">
        <v>5</v>
      </c>
      <c r="M1806" s="2" t="s">
        <v>6</v>
      </c>
      <c r="N1806" s="2" t="s">
        <v>7</v>
      </c>
      <c r="O1806" s="2" t="s">
        <v>8</v>
      </c>
      <c r="P1806" s="2" t="s">
        <v>9</v>
      </c>
      <c r="Q1806" s="2" t="s">
        <v>10</v>
      </c>
      <c r="R1806" s="2" t="s">
        <v>11</v>
      </c>
      <c r="S1806" s="2" t="s">
        <v>12</v>
      </c>
      <c r="T1806" s="2" t="s">
        <v>13</v>
      </c>
      <c r="U1806" s="2" t="s">
        <v>45</v>
      </c>
      <c r="V1806" s="2" t="s">
        <v>46</v>
      </c>
      <c r="W1806" s="2" t="s">
        <v>47</v>
      </c>
      <c r="X1806" s="2" t="s">
        <v>48</v>
      </c>
      <c r="Y1806" s="2" t="s">
        <v>49</v>
      </c>
      <c r="Z1806" s="2" t="s">
        <v>50</v>
      </c>
      <c r="AA1806" s="2" t="s">
        <v>127</v>
      </c>
    </row>
    <row r="1807" spans="2:27" hidden="1" outlineLevel="1" x14ac:dyDescent="0.3">
      <c r="C1807" s="18" t="s">
        <v>54</v>
      </c>
      <c r="D1807" s="19">
        <f>分布式光伏电站IRR汇总!$B$5</f>
        <v>5</v>
      </c>
      <c r="F1807" s="6" t="s">
        <v>14</v>
      </c>
      <c r="G1807" s="33">
        <f>D1828</f>
        <v>24.611999999999995</v>
      </c>
      <c r="H1807" s="33"/>
      <c r="I1807" s="33"/>
      <c r="J1807" s="33"/>
      <c r="K1807" s="33"/>
      <c r="L1807" s="33"/>
      <c r="M1807" s="33"/>
      <c r="N1807" s="33"/>
      <c r="O1807" s="33"/>
      <c r="P1807" s="33"/>
      <c r="Q1807" s="33"/>
      <c r="R1807" s="33"/>
      <c r="S1807" s="33"/>
      <c r="T1807" s="33"/>
      <c r="U1807" s="33"/>
      <c r="V1807" s="33"/>
      <c r="W1807" s="33"/>
      <c r="X1807" s="33"/>
      <c r="Y1807" s="33"/>
      <c r="Z1807" s="33"/>
      <c r="AA1807" s="33"/>
    </row>
    <row r="1808" spans="2:27" hidden="1" outlineLevel="1" x14ac:dyDescent="0.3">
      <c r="C1808" s="18" t="s">
        <v>55</v>
      </c>
      <c r="D1808" s="19">
        <f>分布式光伏电站IRR汇总!$B$6</f>
        <v>15</v>
      </c>
      <c r="F1808" s="6" t="s">
        <v>15</v>
      </c>
      <c r="G1808" s="33">
        <f>SUM(H1809:AA1809)</f>
        <v>12.385144234005573</v>
      </c>
      <c r="H1808" s="33"/>
      <c r="I1808" s="33"/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  <c r="T1808" s="33"/>
      <c r="U1808" s="33"/>
      <c r="V1808" s="33"/>
      <c r="W1808" s="33"/>
      <c r="X1808" s="33"/>
      <c r="Y1808" s="33"/>
      <c r="Z1808" s="33"/>
      <c r="AA1808" s="33"/>
    </row>
    <row r="1809" spans="3:27" hidden="1" outlineLevel="1" x14ac:dyDescent="0.3">
      <c r="C1809" s="18" t="s">
        <v>42</v>
      </c>
      <c r="D1809" s="19">
        <f>分布式光伏电站IRR汇总!$B$7</f>
        <v>4.1019999999999994</v>
      </c>
      <c r="F1809" s="7" t="s">
        <v>16</v>
      </c>
      <c r="G1809" s="33"/>
      <c r="H1809" s="33">
        <f>D1828*(1-D1826)/D1822/((1+G1803)^H1805)</f>
        <v>1.0925887850467286</v>
      </c>
      <c r="I1809" s="33">
        <f>D1828*(1-D1826)/D1822/((1+G1803)^I1805)</f>
        <v>1.0211110140623632</v>
      </c>
      <c r="J1809" s="33">
        <f>D1828*(1-D1826)/D1822/((1+G1803)^J1805)</f>
        <v>0.95430935893678792</v>
      </c>
      <c r="K1809" s="33">
        <f>D1828*(1-D1826)/D1822/((1+G1803)^K1805)</f>
        <v>0.89187790554839996</v>
      </c>
      <c r="L1809" s="33">
        <f>D1828*(1-D1826)/D1822/((1+G1803)^L1805)</f>
        <v>0.83353075284897193</v>
      </c>
      <c r="M1809" s="33">
        <f>D1828*(1-D1826)/D1822/((1+G1803)^M1805)</f>
        <v>0.77900070359717</v>
      </c>
      <c r="N1809" s="33">
        <f>D1828*(1-D1826)/D1822/((1+G1803)^N1805)</f>
        <v>0.72803804074501866</v>
      </c>
      <c r="O1809" s="33">
        <f>D1828*(1-D1826)/D1822/((1+G1803)^O1805)</f>
        <v>0.6804093838738493</v>
      </c>
      <c r="P1809" s="33">
        <f>D1828*(1-D1826)/D1822/((1+G1803)^P1805)</f>
        <v>0.63589662044284967</v>
      </c>
      <c r="Q1809" s="33">
        <f>D1828*(1-D1826)/D1822/((1+G1803)^Q1805)</f>
        <v>0.59429590695593437</v>
      </c>
      <c r="R1809" s="33">
        <f>D1828*(1-D1826)/D1822/((1+G1803)^R1805)</f>
        <v>0.55541673547283577</v>
      </c>
      <c r="S1809" s="33">
        <f>D1828*(1-D1826)/D1822/((1+G1803)^S1805)</f>
        <v>0.51908106118956621</v>
      </c>
      <c r="T1809" s="33">
        <f>D1828*(1-D1826)/D1822/((1+G1803)^T1805)</f>
        <v>0.4851224870930525</v>
      </c>
      <c r="U1809" s="33">
        <f>D1828*(1-D1826)/D1822/((1+G1803)^U1805)</f>
        <v>0.45338550195612387</v>
      </c>
      <c r="V1809" s="33">
        <f>D1828*(1-D1826)/D1822/((1+G1803)^V1805)</f>
        <v>0.4237247681832933</v>
      </c>
      <c r="W1809" s="33">
        <f>D1828*(1-D1826)/D1822/((1+G1803)^W1805)</f>
        <v>0.39600445624606856</v>
      </c>
      <c r="X1809" s="33">
        <f>D1828*(1-D1826)/D1822/((1+G1803)^X1805)</f>
        <v>0.37009762265987711</v>
      </c>
      <c r="Y1809" s="33">
        <f>D1828*(1-D1826)/D1822/((1+G1803)^Y1805)</f>
        <v>0.34588562865409078</v>
      </c>
      <c r="Z1809" s="33">
        <f>D1828*(1-D1826)/D1822/((1+G1803)^Z1805)</f>
        <v>0.323257596872982</v>
      </c>
      <c r="AA1809" s="33">
        <f>D1828*(1-D1826)/D1822/((1+G1803)^AA1805)</f>
        <v>0.30210990361960938</v>
      </c>
    </row>
    <row r="1810" spans="3:27" hidden="1" outlineLevel="1" x14ac:dyDescent="0.3">
      <c r="C1810" s="21" t="s">
        <v>32</v>
      </c>
      <c r="D1810" s="19">
        <f>分布式光伏电站IRR汇总!$B$8</f>
        <v>1.8870000000000002</v>
      </c>
      <c r="F1810" s="6" t="s">
        <v>17</v>
      </c>
      <c r="G1810" s="33">
        <f>SUM(H1811:AA1811)</f>
        <v>2.5425634189238777</v>
      </c>
      <c r="H1810" s="33"/>
      <c r="I1810" s="33"/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  <c r="T1810" s="33"/>
      <c r="U1810" s="33"/>
      <c r="V1810" s="33"/>
      <c r="W1810" s="33"/>
      <c r="X1810" s="33"/>
      <c r="Y1810" s="33"/>
      <c r="Z1810" s="33"/>
      <c r="AA1810" s="33"/>
    </row>
    <row r="1811" spans="3:27" hidden="1" outlineLevel="1" x14ac:dyDescent="0.3">
      <c r="C1811" s="21" t="s">
        <v>33</v>
      </c>
      <c r="D1811" s="19">
        <f>分布式光伏电站IRR汇总!$B$9</f>
        <v>0.18500000000000003</v>
      </c>
      <c r="F1811" s="7" t="s">
        <v>18</v>
      </c>
      <c r="G1811" s="33"/>
      <c r="H1811" s="33">
        <f>D1825*D1804/((1+G1803)^H1805)</f>
        <v>0.22429906542056072</v>
      </c>
      <c r="I1811" s="33">
        <f>D1825*D1804/((1+G1803)^I1805)</f>
        <v>0.20962529478557079</v>
      </c>
      <c r="J1811" s="33">
        <f>D1825*D1804/((1+G1803)^J1805)</f>
        <v>0.19591149045380446</v>
      </c>
      <c r="K1811" s="33">
        <f>D1825*D1804/((1+G1803)^K1805)</f>
        <v>0.18309485089140604</v>
      </c>
      <c r="L1811" s="33">
        <f>D1825*D1804/((1+G1803)^L1805)</f>
        <v>0.17111668307608041</v>
      </c>
      <c r="M1811" s="33">
        <f>D1825*D1804/((1+G1803)^M1805)</f>
        <v>0.15992213371596301</v>
      </c>
      <c r="N1811" s="33">
        <f>D1825*D1804/((1+G1803)^N1805)</f>
        <v>0.14945993805230187</v>
      </c>
      <c r="O1811" s="33">
        <f>D1825*D1804/((1+G1803)^O1805)</f>
        <v>0.13968218509560923</v>
      </c>
      <c r="P1811" s="33">
        <f>D1825*D1804/((1+G1803)^P1805)</f>
        <v>0.13054409822019553</v>
      </c>
      <c r="Q1811" s="33">
        <f>D1825*D1804/((1+G1803)^Q1805)</f>
        <v>0.12200383011233226</v>
      </c>
      <c r="R1811" s="33">
        <f>D1825*D1804/((1+G1803)^R1805)</f>
        <v>0.1140222711330208</v>
      </c>
      <c r="S1811" s="33">
        <f>D1825*D1804/((1+G1803)^S1805)</f>
        <v>0.10656287021777647</v>
      </c>
      <c r="T1811" s="33">
        <f>D1825*D1804/((1+G1803)^T1805)</f>
        <v>9.9591467493249028E-2</v>
      </c>
      <c r="U1811" s="33">
        <f>D1825*D1804/((1+G1803)^U1805)</f>
        <v>9.3076137844157969E-2</v>
      </c>
      <c r="V1811" s="33">
        <f>D1825*D1804/((1+G1803)^V1805)</f>
        <v>8.6987044714166323E-2</v>
      </c>
      <c r="W1811" s="33">
        <f>D1825*D1804/((1+G1803)^W1805)</f>
        <v>8.1296303471183481E-2</v>
      </c>
      <c r="X1811" s="33">
        <f>D1825*D1804/((1+G1803)^X1805)</f>
        <v>7.5977853711386434E-2</v>
      </c>
      <c r="Y1811" s="33">
        <f>D1825*D1804/((1+G1803)^Y1805)</f>
        <v>7.1007339917183582E-2</v>
      </c>
      <c r="Z1811" s="33">
        <f>D1825*D1804/((1+G1803)^Z1805)</f>
        <v>6.6361999922601472E-2</v>
      </c>
      <c r="AA1811" s="33">
        <f>D1825*D1804/((1+G1803)^AA1805)</f>
        <v>6.2020560675328483E-2</v>
      </c>
    </row>
    <row r="1812" spans="3:27" hidden="1" outlineLevel="1" x14ac:dyDescent="0.3">
      <c r="C1812" s="21" t="s">
        <v>34</v>
      </c>
      <c r="D1812" s="19">
        <f>分布式光伏电站IRR汇总!$B$10</f>
        <v>0.222</v>
      </c>
      <c r="F1812" s="6" t="s">
        <v>19</v>
      </c>
      <c r="G1812" s="33"/>
      <c r="H1812" s="33"/>
      <c r="I1812" s="33"/>
      <c r="J1812" s="33"/>
      <c r="K1812" s="33"/>
      <c r="L1812" s="33"/>
      <c r="M1812" s="33"/>
      <c r="N1812" s="33"/>
      <c r="O1812" s="33"/>
      <c r="P1812" s="33"/>
      <c r="Q1812" s="33"/>
      <c r="R1812" s="33"/>
      <c r="S1812" s="33"/>
      <c r="T1812" s="33"/>
      <c r="U1812" s="33"/>
      <c r="V1812" s="33"/>
      <c r="W1812" s="33"/>
      <c r="X1812" s="33"/>
      <c r="Y1812" s="33"/>
      <c r="Z1812" s="33"/>
      <c r="AA1812" s="33">
        <f>D1825*D1828/((1+G1803)^AA1805)</f>
        <v>0.2544083398901974</v>
      </c>
    </row>
    <row r="1813" spans="3:27" hidden="1" outlineLevel="1" x14ac:dyDescent="0.3">
      <c r="C1813" s="21" t="s">
        <v>35</v>
      </c>
      <c r="D1813" s="19">
        <f>分布式光伏电站IRR汇总!$B$11</f>
        <v>0.44400000000000001</v>
      </c>
      <c r="F1813" s="8" t="s">
        <v>64</v>
      </c>
      <c r="G1813" s="33">
        <f>SUM(H1814:AA1814)</f>
        <v>34197.955471737776</v>
      </c>
      <c r="H1813" s="33"/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  <c r="V1813" s="33"/>
      <c r="W1813" s="33"/>
      <c r="X1813" s="33"/>
      <c r="Y1813" s="33"/>
      <c r="Z1813" s="33"/>
      <c r="AA1813" s="33"/>
    </row>
    <row r="1814" spans="3:27" hidden="1" outlineLevel="1" x14ac:dyDescent="0.3">
      <c r="C1814" s="21" t="s">
        <v>36</v>
      </c>
      <c r="D1814" s="19">
        <f>分布式光伏电站IRR汇总!$B$12</f>
        <v>0.222</v>
      </c>
      <c r="F1814" s="9" t="s">
        <v>65</v>
      </c>
      <c r="G1814" s="33"/>
      <c r="H1814" s="33">
        <f>D1804*D1821*(1-D1823)*D1827/((1+G1803)^H1805)</f>
        <v>3117.1143925233637</v>
      </c>
      <c r="I1814" s="33">
        <f>D1804*D1821*(1-D1823)*(1-D1824)^(I1805-1)*D1827/((1+G1803)^I1805)</f>
        <v>2900.0816614551486</v>
      </c>
      <c r="J1814" s="33">
        <f>D1804*D1821*(1-D1823)*(1-D1824)^(J1805-1)*D1827/((1+G1803)^J1805)</f>
        <v>2698.1600878304675</v>
      </c>
      <c r="K1814" s="33">
        <f>D1804*D1821*(1-D1823)*(1-D1824)^(K1805-1)*D1827/((1+G1803)^K1805)</f>
        <v>2510.2975396590946</v>
      </c>
      <c r="L1814" s="33">
        <f>D1804*D1821*(1-D1823)*(1-D1824)^(L1805-1)*D1827/((1+G1803)^L1805)</f>
        <v>2335.5151408697461</v>
      </c>
      <c r="M1814" s="33">
        <f>D1804*D1821*(1-D1823)*(1-D1824)^(M1805-1)*D1827/((1+G1803)^M1805)</f>
        <v>2172.9021707811521</v>
      </c>
      <c r="N1814" s="33">
        <f>D1804*D1821*(1-D1823)*(1-D1824)^(N1805-1)*D1827/((1+G1803)^N1805)</f>
        <v>2021.6113187033989</v>
      </c>
      <c r="O1814" s="33">
        <f>D1804*D1821*(1-D1823)*(1-D1824)^(O1805-1)*D1827/((1+G1803)^O1805)</f>
        <v>1880.854268943209</v>
      </c>
      <c r="P1814" s="33">
        <f>D1804*D1821*(1-D1823)*(1-D1824)^(P1805-1)*D1827/((1+G1803)^P1805)</f>
        <v>1749.8975932083779</v>
      </c>
      <c r="Q1814" s="33">
        <f>D1804*D1821*(1-D1823)*(1-D1824)^(Q1805-1)*D1827/((1+G1803)^Q1805)</f>
        <v>1628.058929008356</v>
      </c>
      <c r="R1814" s="33">
        <f>D1804*D1821*(1-D1823)*(1-D1824)^(R1805-1)*D1827/((1+G1803)^R1805)</f>
        <v>1514.7034241381477</v>
      </c>
      <c r="S1814" s="33">
        <f>D1804*D1821*(1-D1823)*(1-D1824)^(S1805-1)*D1827/((1+G1803)^S1805)</f>
        <v>1409.2404287191835</v>
      </c>
      <c r="T1814" s="33">
        <f>D1804*D1821*(1-D1823)*(1-D1824)^(T1805-1)*D1827/((1+G1803)^T1805)</f>
        <v>1311.1204175606983</v>
      </c>
      <c r="U1814" s="33">
        <f>D1804*D1821*(1-D1823)*(1-D1824)^(U1805-1)*D1827/((1+G1803)^U1805)</f>
        <v>1219.8321268053039</v>
      </c>
      <c r="V1814" s="33">
        <f>D1804*D1821*(1-D1823)*(1-D1824)^(V1805-1)*D1827/((1+G1803)^V1805)</f>
        <v>1134.8998899389533</v>
      </c>
      <c r="W1814" s="33">
        <f>D1804*D1821*(1-D1823)*(1-D1824)^(W1805-1)*D1827/((1+G1803)^W1805)</f>
        <v>1055.8811592843256</v>
      </c>
      <c r="X1814" s="33">
        <f>D1804*D1821*(1-D1823)*(1-D1824)^(X1805-1)*D1827/((1+G1803)^X1805)</f>
        <v>982.36420006312721</v>
      </c>
      <c r="Y1814" s="33">
        <f>D1804*D1821*(1-D1823)*(1-D1824)^(Y1805-1)*D1827/((1+G1803)^Y1805)</f>
        <v>913.96594501200298</v>
      </c>
      <c r="Z1814" s="33">
        <f>D1804*D1821*(1-D1823)*(1-D1824)^(Z1805-1)*D1827/((1+G1803)^Z1805)</f>
        <v>850.32999837331681</v>
      </c>
      <c r="AA1814" s="33">
        <f>D1804*D1821*(1-D1823)*(1-D1824)^(AA1805-1)*D1827/((1+G1803)^AA1805)</f>
        <v>791.12477886040847</v>
      </c>
    </row>
    <row r="1815" spans="3:27" hidden="1" outlineLevel="1" x14ac:dyDescent="0.3">
      <c r="C1815" s="21" t="s">
        <v>37</v>
      </c>
      <c r="D1815" s="19">
        <f>分布式光伏电站IRR汇总!$B$13</f>
        <v>0.15</v>
      </c>
      <c r="F1815" s="4" t="s">
        <v>66</v>
      </c>
      <c r="G1815" s="33">
        <f>SUM(H1816:AA1816)</f>
        <v>24.916903484379169</v>
      </c>
      <c r="H1815" s="33"/>
      <c r="I1815" s="33"/>
      <c r="J1815" s="33"/>
      <c r="K1815" s="33"/>
      <c r="L1815" s="33"/>
      <c r="M1815" s="33"/>
      <c r="N1815" s="33"/>
      <c r="O1815" s="33"/>
      <c r="P1815" s="33"/>
      <c r="Q1815" s="33"/>
      <c r="R1815" s="33"/>
      <c r="S1815" s="33"/>
      <c r="T1815" s="33"/>
      <c r="U1815" s="33"/>
      <c r="V1815" s="33"/>
      <c r="W1815" s="33"/>
      <c r="X1815" s="33"/>
      <c r="Y1815" s="33"/>
      <c r="Z1815" s="33"/>
      <c r="AA1815" s="33"/>
    </row>
    <row r="1816" spans="3:27" hidden="1" outlineLevel="1" x14ac:dyDescent="0.3">
      <c r="C1816" s="21" t="s">
        <v>38</v>
      </c>
      <c r="D1816" s="19">
        <f>分布式光伏电站IRR汇总!$B$14</f>
        <v>3.7000000000000005E-2</v>
      </c>
      <c r="F1816" s="7" t="s">
        <v>67</v>
      </c>
      <c r="G1816" s="33"/>
      <c r="H1816" s="33">
        <f>H1814*D1832/1000</f>
        <v>2.2711544417461371</v>
      </c>
      <c r="I1816" s="33">
        <f>I1814*D1832/1000</f>
        <v>2.1130226605217568</v>
      </c>
      <c r="J1816" s="33">
        <f>J1814*D1832/1000</f>
        <v>1.9659009892985129</v>
      </c>
      <c r="K1816" s="33">
        <f>K1814*D1832/1000</f>
        <v>1.8290228363052994</v>
      </c>
      <c r="L1816" s="33">
        <f>L1814*D1832/1000</f>
        <v>1.7016749846186217</v>
      </c>
      <c r="M1816" s="33">
        <f>M1814*D1832/1000</f>
        <v>1.5831938758764843</v>
      </c>
      <c r="N1816" s="33">
        <f>N1814*D1832/1000</f>
        <v>1.4729621527430281</v>
      </c>
      <c r="O1816" s="33">
        <f>O1814*D1832/1000</f>
        <v>1.3704054421081164</v>
      </c>
      <c r="P1816" s="33">
        <f>P1814*D1832/1000</f>
        <v>1.2749893622604016</v>
      </c>
      <c r="Q1816" s="33">
        <f>Q1814*D1832/1000</f>
        <v>1.1862167384394677</v>
      </c>
      <c r="R1816" s="33">
        <f>R1814*D1832/1000</f>
        <v>1.1036250122584015</v>
      </c>
      <c r="S1816" s="33">
        <f>S1814*D1832/1000</f>
        <v>1.0267838314983542</v>
      </c>
      <c r="T1816" s="33">
        <f>T1814*D1832/1000</f>
        <v>0.95529280771645952</v>
      </c>
      <c r="U1816" s="33">
        <f>U1814*D1832/1000</f>
        <v>0.88877942998293036</v>
      </c>
      <c r="V1816" s="33">
        <f>V1814*D1832/1000</f>
        <v>0.82689712387664216</v>
      </c>
      <c r="W1816" s="33">
        <f>W1814*D1832/1000</f>
        <v>0.76932344562541821</v>
      </c>
      <c r="X1816" s="33">
        <f>X1814*D1832/1000</f>
        <v>0.71575840198140539</v>
      </c>
      <c r="Y1816" s="33">
        <f>Y1814*D1832/1000</f>
        <v>0.66592288707709268</v>
      </c>
      <c r="Z1816" s="33">
        <f>Z1814*D1832/1000</f>
        <v>0.61955722811705216</v>
      </c>
      <c r="AA1816" s="33">
        <f>AA1814*D1832/1000</f>
        <v>0.57641983232759397</v>
      </c>
    </row>
    <row r="1817" spans="3:27" hidden="1" outlineLevel="1" x14ac:dyDescent="0.3">
      <c r="C1817" s="21" t="s">
        <v>39</v>
      </c>
      <c r="D1817" s="19">
        <f>分布式光伏电站IRR汇总!$B$15</f>
        <v>0.25900000000000006</v>
      </c>
      <c r="F1817" s="4" t="s">
        <v>20</v>
      </c>
      <c r="G1817" s="33">
        <f>SUM(H1818:V1818)</f>
        <v>2.184058325517868</v>
      </c>
      <c r="H1817" s="33"/>
      <c r="I1817" s="33"/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  <c r="T1817" s="33"/>
      <c r="U1817" s="33"/>
      <c r="V1817" s="33"/>
      <c r="W1817" s="33"/>
      <c r="X1817" s="33"/>
      <c r="Y1817" s="33"/>
      <c r="Z1817" s="33"/>
      <c r="AA1817" s="33"/>
    </row>
    <row r="1818" spans="3:27" hidden="1" outlineLevel="1" x14ac:dyDescent="0.3">
      <c r="C1818" s="21" t="s">
        <v>40</v>
      </c>
      <c r="D1818" s="19">
        <f>分布式光伏电站IRR汇总!$B$16</f>
        <v>7.400000000000001E-2</v>
      </c>
      <c r="F1818" s="7" t="s">
        <v>21</v>
      </c>
      <c r="G1818" s="33"/>
      <c r="H1818" s="33">
        <f>(H1816-H1809-H1811)*G1804</f>
        <v>0.23856664781971193</v>
      </c>
      <c r="I1818" s="33">
        <f>(I1816-I1809-I1811)*G1804</f>
        <v>0.22057158791845571</v>
      </c>
      <c r="J1818" s="33">
        <f>(J1816-J1809-J1811)*G1804</f>
        <v>0.20392003497698014</v>
      </c>
      <c r="K1818" s="33">
        <f>(K1816-K1809-K1811)*G1804</f>
        <v>0.18851251996637336</v>
      </c>
      <c r="L1818" s="33">
        <f>(L1816-L1809-L1811)*G1804</f>
        <v>0.17425688717339233</v>
      </c>
      <c r="M1818" s="33">
        <f>(M1816-M1809-M1811)*G1804</f>
        <v>0.16106775964083783</v>
      </c>
      <c r="N1818" s="33">
        <f>(N1816-N1809-N1811)*G1804</f>
        <v>0.1488660434864269</v>
      </c>
      <c r="O1818" s="33">
        <f>(O1816-O1809-O1811)*G1804</f>
        <v>0.13757846828466447</v>
      </c>
      <c r="P1818" s="33">
        <f>(P1816-P1809-P1811)*G1804</f>
        <v>0.1271371608993391</v>
      </c>
      <c r="Q1818" s="33">
        <f>(Q1816-Q1809-Q1811)*G1804</f>
        <v>0.11747925034280027</v>
      </c>
      <c r="R1818" s="33">
        <f>(R1816-R1809-R1811)*G1804</f>
        <v>0.10854650141313624</v>
      </c>
      <c r="S1818" s="33">
        <f>(S1816-S1809-S1811)*G1804</f>
        <v>0.10028497502275288</v>
      </c>
      <c r="T1818" s="33">
        <f>(T1816-T1809-T1811)*G1804</f>
        <v>9.2644713282539495E-2</v>
      </c>
      <c r="U1818" s="33">
        <f>(U1816-U1809-U1811)*G1804</f>
        <v>8.557944754566213E-2</v>
      </c>
      <c r="V1818" s="33">
        <f>(V1816-V1809-V1811)*G1804</f>
        <v>7.9046327744795641E-2</v>
      </c>
      <c r="W1818" s="33">
        <f>(W1816-W1809-W1811)*G1804</f>
        <v>7.3005671477041539E-2</v>
      </c>
      <c r="X1818" s="33">
        <f>(X1816-X1809-X1811)*G1804</f>
        <v>6.7420731402535461E-2</v>
      </c>
      <c r="Y1818" s="33">
        <f>(Y1816-Y1809-Y1811)*G1804</f>
        <v>6.225747962645458E-2</v>
      </c>
      <c r="Z1818" s="33">
        <f>(Z1816-Z1809-Z1811)*G1804</f>
        <v>5.7484407830367172E-2</v>
      </c>
      <c r="AA1818" s="33">
        <f>(AA1816-AA1809-AA1811)*G1804</f>
        <v>5.3072342008164027E-2</v>
      </c>
    </row>
    <row r="1819" spans="3:27" hidden="1" outlineLevel="1" x14ac:dyDescent="0.3">
      <c r="C1819" s="21" t="s">
        <v>41</v>
      </c>
      <c r="D1819" s="19">
        <f>分布式光伏电站IRR汇总!$B$17</f>
        <v>0.222</v>
      </c>
      <c r="F1819" s="10" t="s">
        <v>22</v>
      </c>
      <c r="G1819" s="33">
        <f>-G1807</f>
        <v>-24.611999999999995</v>
      </c>
      <c r="H1819" s="33">
        <f t="shared" ref="H1819:AA1819" si="690">H1816-H1818-H1811</f>
        <v>1.8082887285058646</v>
      </c>
      <c r="I1819" s="33">
        <f t="shared" si="690"/>
        <v>1.6828257778177302</v>
      </c>
      <c r="J1819" s="33">
        <f t="shared" si="690"/>
        <v>1.5660694638677284</v>
      </c>
      <c r="K1819" s="33">
        <f t="shared" si="690"/>
        <v>1.45741546544752</v>
      </c>
      <c r="L1819" s="33">
        <f t="shared" si="690"/>
        <v>1.356301414369149</v>
      </c>
      <c r="M1819" s="33">
        <f t="shared" si="690"/>
        <v>1.2622039825196834</v>
      </c>
      <c r="N1819" s="33">
        <f t="shared" si="690"/>
        <v>1.1746361712042994</v>
      </c>
      <c r="O1819" s="33">
        <f t="shared" si="690"/>
        <v>1.0931447887278427</v>
      </c>
      <c r="P1819" s="33">
        <f t="shared" si="690"/>
        <v>1.0173081031408671</v>
      </c>
      <c r="Q1819" s="33">
        <f t="shared" si="690"/>
        <v>0.94673365798433529</v>
      </c>
      <c r="R1819" s="33">
        <f t="shared" si="690"/>
        <v>0.88105623971224445</v>
      </c>
      <c r="S1819" s="33">
        <f t="shared" si="690"/>
        <v>0.81993598625782482</v>
      </c>
      <c r="T1819" s="33">
        <f t="shared" si="690"/>
        <v>0.763056626940671</v>
      </c>
      <c r="U1819" s="33">
        <f t="shared" si="690"/>
        <v>0.71012384459311018</v>
      </c>
      <c r="V1819" s="33">
        <f t="shared" si="690"/>
        <v>0.66086375141768028</v>
      </c>
      <c r="W1819" s="33">
        <f t="shared" si="690"/>
        <v>0.61502147067719326</v>
      </c>
      <c r="X1819" s="33">
        <f t="shared" si="690"/>
        <v>0.5723598168674835</v>
      </c>
      <c r="Y1819" s="33">
        <f t="shared" si="690"/>
        <v>0.53265806753345457</v>
      </c>
      <c r="Z1819" s="33">
        <f t="shared" si="690"/>
        <v>0.49571082036408354</v>
      </c>
      <c r="AA1819" s="33">
        <f t="shared" si="690"/>
        <v>0.46132692964410149</v>
      </c>
    </row>
    <row r="1820" spans="3:27" ht="13.5" hidden="1" outlineLevel="1" thickBot="1" x14ac:dyDescent="0.35">
      <c r="C1820" s="21" t="s">
        <v>74</v>
      </c>
      <c r="D1820" s="19">
        <f>分布式光伏电站IRR汇总!$B$18</f>
        <v>0.4</v>
      </c>
      <c r="F1820" s="3" t="s">
        <v>61</v>
      </c>
      <c r="G1820" s="35">
        <f>SUM(G1819:AA1819)/G1807</f>
        <v>-0.19238415782574075</v>
      </c>
      <c r="H1820" s="34"/>
      <c r="I1820" s="34"/>
      <c r="J1820" s="34"/>
      <c r="K1820" s="34"/>
      <c r="L1820" s="34"/>
      <c r="M1820" s="34"/>
      <c r="N1820" s="34"/>
      <c r="O1820" s="34"/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</row>
    <row r="1821" spans="3:27" ht="13.5" hidden="1" outlineLevel="1" thickTop="1" x14ac:dyDescent="0.3">
      <c r="C1821" s="18" t="s">
        <v>58</v>
      </c>
      <c r="D1821" s="19">
        <f>分布式光伏电站IRR汇总!$B$19</f>
        <v>0.86599999999999999</v>
      </c>
    </row>
    <row r="1822" spans="3:27" hidden="1" outlineLevel="1" x14ac:dyDescent="0.3">
      <c r="C1822" s="18" t="s">
        <v>62</v>
      </c>
      <c r="D1822" s="19">
        <f>分布式光伏电站IRR汇总!$B$20</f>
        <v>20</v>
      </c>
      <c r="F1822" s="13" t="s">
        <v>25</v>
      </c>
      <c r="G1822" s="14">
        <v>0</v>
      </c>
    </row>
    <row r="1823" spans="3:27" hidden="1" outlineLevel="1" x14ac:dyDescent="0.3">
      <c r="C1823" s="18" t="s">
        <v>59</v>
      </c>
      <c r="D1823" s="52">
        <f>分布式光伏电站IRR汇总!$B$21</f>
        <v>0.02</v>
      </c>
      <c r="F1823" s="13" t="s">
        <v>26</v>
      </c>
      <c r="G1823" s="14">
        <v>0.25</v>
      </c>
      <c r="Q1823" s="15"/>
    </row>
    <row r="1824" spans="3:27" hidden="1" outlineLevel="1" x14ac:dyDescent="0.3">
      <c r="C1824" s="18" t="s">
        <v>60</v>
      </c>
      <c r="D1824" s="52">
        <f>分布式光伏电站IRR汇总!$B$22</f>
        <v>4.4999999999999997E-3</v>
      </c>
      <c r="F1824" s="1" t="s">
        <v>44</v>
      </c>
      <c r="G1824" s="4"/>
      <c r="H1824" s="5">
        <v>1</v>
      </c>
      <c r="I1824" s="5">
        <v>2</v>
      </c>
      <c r="J1824" s="5">
        <v>3</v>
      </c>
      <c r="K1824" s="5">
        <v>4</v>
      </c>
      <c r="L1824" s="5">
        <v>5</v>
      </c>
      <c r="M1824" s="5">
        <v>6</v>
      </c>
      <c r="N1824" s="5">
        <v>7</v>
      </c>
      <c r="O1824" s="5">
        <v>8</v>
      </c>
      <c r="P1824" s="5">
        <v>9</v>
      </c>
      <c r="Q1824" s="5">
        <v>10</v>
      </c>
      <c r="R1824" s="5">
        <v>11</v>
      </c>
      <c r="S1824" s="5">
        <v>12</v>
      </c>
      <c r="T1824" s="5">
        <v>13</v>
      </c>
      <c r="U1824" s="5">
        <v>14</v>
      </c>
      <c r="V1824" s="5">
        <v>15</v>
      </c>
      <c r="W1824" s="5">
        <v>16</v>
      </c>
      <c r="X1824" s="5">
        <v>17</v>
      </c>
      <c r="Y1824" s="5">
        <v>18</v>
      </c>
      <c r="Z1824" s="5">
        <v>19</v>
      </c>
      <c r="AA1824" s="5">
        <v>20</v>
      </c>
    </row>
    <row r="1825" spans="3:27" hidden="1" outlineLevel="1" x14ac:dyDescent="0.3">
      <c r="C1825" s="18" t="s">
        <v>28</v>
      </c>
      <c r="D1825" s="29">
        <f>分布式光伏电站IRR汇总!$B$23</f>
        <v>0.04</v>
      </c>
      <c r="F1825" s="16"/>
      <c r="G1825" s="2" t="s">
        <v>0</v>
      </c>
      <c r="H1825" s="2" t="s">
        <v>1</v>
      </c>
      <c r="I1825" s="2" t="s">
        <v>2</v>
      </c>
      <c r="J1825" s="2" t="s">
        <v>3</v>
      </c>
      <c r="K1825" s="2" t="s">
        <v>4</v>
      </c>
      <c r="L1825" s="2" t="s">
        <v>5</v>
      </c>
      <c r="M1825" s="2" t="s">
        <v>6</v>
      </c>
      <c r="N1825" s="2" t="s">
        <v>7</v>
      </c>
      <c r="O1825" s="2" t="s">
        <v>8</v>
      </c>
      <c r="P1825" s="2" t="s">
        <v>9</v>
      </c>
      <c r="Q1825" s="2" t="s">
        <v>10</v>
      </c>
      <c r="R1825" s="2" t="s">
        <v>11</v>
      </c>
      <c r="S1825" s="2" t="s">
        <v>12</v>
      </c>
      <c r="T1825" s="2" t="s">
        <v>13</v>
      </c>
      <c r="U1825" s="2" t="s">
        <v>45</v>
      </c>
      <c r="V1825" s="2" t="s">
        <v>46</v>
      </c>
      <c r="W1825" s="2" t="s">
        <v>47</v>
      </c>
      <c r="X1825" s="2" t="s">
        <v>48</v>
      </c>
      <c r="Y1825" s="2" t="s">
        <v>49</v>
      </c>
      <c r="Z1825" s="2" t="s">
        <v>50</v>
      </c>
      <c r="AA1825" s="2" t="s">
        <v>51</v>
      </c>
    </row>
    <row r="1826" spans="3:27" hidden="1" outlineLevel="1" x14ac:dyDescent="0.3">
      <c r="C1826" s="18" t="s">
        <v>43</v>
      </c>
      <c r="D1826" s="19">
        <f>分布式光伏电站IRR汇总!$B$24</f>
        <v>0.05</v>
      </c>
      <c r="F1826" s="6" t="s">
        <v>14</v>
      </c>
      <c r="G1826" s="33">
        <f>D1828</f>
        <v>24.611999999999995</v>
      </c>
      <c r="H1826" s="33"/>
      <c r="I1826" s="33"/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  <c r="Z1826" s="33"/>
      <c r="AA1826" s="33"/>
    </row>
    <row r="1827" spans="3:27" hidden="1" outlineLevel="1" x14ac:dyDescent="0.3">
      <c r="C1827" s="18" t="s">
        <v>126</v>
      </c>
      <c r="D1827" s="28">
        <f>Backup分地区光伏小时数及电价!E40</f>
        <v>655</v>
      </c>
      <c r="F1827" s="6" t="s">
        <v>15</v>
      </c>
      <c r="G1827" s="33">
        <f>SUM(H1828:AA1828)</f>
        <v>23.381399999999985</v>
      </c>
      <c r="H1827" s="33"/>
      <c r="I1827" s="33"/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/>
    </row>
    <row r="1828" spans="3:27" hidden="1" outlineLevel="1" x14ac:dyDescent="0.3">
      <c r="C1828" s="24" t="s">
        <v>14</v>
      </c>
      <c r="D1828" s="30">
        <f>D1804*D1809</f>
        <v>24.611999999999995</v>
      </c>
      <c r="F1828" s="7" t="s">
        <v>16</v>
      </c>
      <c r="G1828" s="33"/>
      <c r="H1828" s="33">
        <f>D1828*(1-D1826)/D1822/((1+G1822)^H1824)</f>
        <v>1.1690699999999996</v>
      </c>
      <c r="I1828" s="33">
        <f>D1828*(1-D1826)/D1822/((1+G1822)^I1824)</f>
        <v>1.1690699999999996</v>
      </c>
      <c r="J1828" s="33">
        <f>D1828*(1-D1826)/D1822/((1+G1822)^J1824)</f>
        <v>1.1690699999999996</v>
      </c>
      <c r="K1828" s="33">
        <f>D1828*(1-D1826)/D1822/((1+G1822)^K1824)</f>
        <v>1.1690699999999996</v>
      </c>
      <c r="L1828" s="33">
        <f>D1828*(1-D1826)/D1822/((1+G1822)^L1824)</f>
        <v>1.1690699999999996</v>
      </c>
      <c r="M1828" s="33">
        <f>D1828*(1-D1826)/D1822/((1+G1822)^M1824)</f>
        <v>1.1690699999999996</v>
      </c>
      <c r="N1828" s="33">
        <f>D1828*(1-D1826)/D1822/((1+G1822)^N1824)</f>
        <v>1.1690699999999996</v>
      </c>
      <c r="O1828" s="33">
        <f>D1828*(1-D1826)/D1822/((1+G1822)^O1824)</f>
        <v>1.1690699999999996</v>
      </c>
      <c r="P1828" s="33">
        <f>D1828*(1-D1826)/D1822/((1+G1822)^P1824)</f>
        <v>1.1690699999999996</v>
      </c>
      <c r="Q1828" s="33">
        <f>D1828*(1-D1826)/D1822/((1+G1822)^Q1824)</f>
        <v>1.1690699999999996</v>
      </c>
      <c r="R1828" s="33">
        <f>D1828*(1-D1826)/D1822/((1+G1822)^R1824)</f>
        <v>1.1690699999999996</v>
      </c>
      <c r="S1828" s="33">
        <f>D1828*(1-D1826)/D1822/((1+G1822)^S1824)</f>
        <v>1.1690699999999996</v>
      </c>
      <c r="T1828" s="33">
        <f>D1828*(1-D1826)/D1822/((1+G1822)^T1824)</f>
        <v>1.1690699999999996</v>
      </c>
      <c r="U1828" s="33">
        <f>D1828*(1-D1826)/D1822/((1+G1822)^U1824)</f>
        <v>1.1690699999999996</v>
      </c>
      <c r="V1828" s="33">
        <f>D1828*(1-D1826)/D1822/((1+G1822)^V1824)</f>
        <v>1.1690699999999996</v>
      </c>
      <c r="W1828" s="33">
        <f>D1828*(1-D1826)/D1822/((1+G1822)^W1824)</f>
        <v>1.1690699999999996</v>
      </c>
      <c r="X1828" s="33">
        <f>D1828*(1-D1826)/D1822/((1+G1822)^X1824)</f>
        <v>1.1690699999999996</v>
      </c>
      <c r="Y1828" s="33">
        <f>D1828*(1-D1826)/D1822/((1+G1822)^Y1824)</f>
        <v>1.1690699999999996</v>
      </c>
      <c r="Z1828" s="33">
        <f>D1828*(1-D1826)/D1822/((1+G1822)^Z1824)</f>
        <v>1.1690699999999996</v>
      </c>
      <c r="AA1828" s="33">
        <f>D1828*(1-D1826)/D1822/((1+G1822)^AA1824)</f>
        <v>1.1690699999999996</v>
      </c>
    </row>
    <row r="1829" spans="3:27" hidden="1" outlineLevel="1" x14ac:dyDescent="0.3">
      <c r="C1829" s="18" t="s">
        <v>29</v>
      </c>
      <c r="D1829" s="29">
        <v>0.35980000000000001</v>
      </c>
      <c r="F1829" s="6" t="s">
        <v>17</v>
      </c>
      <c r="G1829" s="33">
        <f>SUM(H1830:AA1830)</f>
        <v>4.8000000000000025</v>
      </c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  <c r="AA1829" s="33"/>
    </row>
    <row r="1830" spans="3:27" hidden="1" outlineLevel="1" x14ac:dyDescent="0.3">
      <c r="C1830" s="18" t="s">
        <v>30</v>
      </c>
      <c r="D1830" s="31">
        <f>Backup分地区光伏小时数及电价!I40</f>
        <v>0.72860798666666649</v>
      </c>
      <c r="F1830" s="7" t="s">
        <v>18</v>
      </c>
      <c r="G1830" s="33"/>
      <c r="H1830" s="33">
        <f>D1825*D1804/((1+G1822)^H1824)</f>
        <v>0.24</v>
      </c>
      <c r="I1830" s="33">
        <f>D1825*D1804/((1+G1822)^I1824)</f>
        <v>0.24</v>
      </c>
      <c r="J1830" s="33">
        <f>D1825*D1804/((1+G1822)^J1824)</f>
        <v>0.24</v>
      </c>
      <c r="K1830" s="33">
        <f>D1825*D1804/((1+G1822)^K1824)</f>
        <v>0.24</v>
      </c>
      <c r="L1830" s="33">
        <f>D1825*D1804/((1+G1822)^L1824)</f>
        <v>0.24</v>
      </c>
      <c r="M1830" s="33">
        <f>D1825*D1804/((1+G1822)^M1824)</f>
        <v>0.24</v>
      </c>
      <c r="N1830" s="33">
        <f>D1825*D1804/((1+G1822)^N1824)</f>
        <v>0.24</v>
      </c>
      <c r="O1830" s="33">
        <f>D1825*D1804/((1+G1822)^O1824)</f>
        <v>0.24</v>
      </c>
      <c r="P1830" s="33">
        <f>D1825*D1804/((1+G1822)^P1824)</f>
        <v>0.24</v>
      </c>
      <c r="Q1830" s="33">
        <f>D1825*D1804/((1+G1822)^Q1824)</f>
        <v>0.24</v>
      </c>
      <c r="R1830" s="33">
        <f>D1825*D1804/((1+G1822)^R1824)</f>
        <v>0.24</v>
      </c>
      <c r="S1830" s="33">
        <f>D1825*D1804/((1+G1822)^S1824)</f>
        <v>0.24</v>
      </c>
      <c r="T1830" s="33">
        <f>D1825*D1804/((1+G1822)^T1824)</f>
        <v>0.24</v>
      </c>
      <c r="U1830" s="33">
        <f>D1825*D1804/((1+G1822)^U1824)</f>
        <v>0.24</v>
      </c>
      <c r="V1830" s="33">
        <f>D1825*D1804/((1+G1822)^V1824)</f>
        <v>0.24</v>
      </c>
      <c r="W1830" s="33">
        <f>D1825*D1804/((1+G1822)^W1824)</f>
        <v>0.24</v>
      </c>
      <c r="X1830" s="33">
        <f>D1825*D1804/((1+G1822)^X1824)</f>
        <v>0.24</v>
      </c>
      <c r="Y1830" s="33">
        <f>D1825*D1804/((1+G1822)^Y1824)</f>
        <v>0.24</v>
      </c>
      <c r="Z1830" s="33">
        <f>D1825*D1804/((1+G1822)^Z1824)</f>
        <v>0.24</v>
      </c>
      <c r="AA1830" s="33">
        <f>D1825*D1804/((1+G1822)^AA1824)</f>
        <v>0.24</v>
      </c>
    </row>
    <row r="1831" spans="3:27" hidden="1" outlineLevel="1" x14ac:dyDescent="0.3">
      <c r="C1831" s="18" t="s">
        <v>70</v>
      </c>
      <c r="D1831" s="32">
        <f>分布式光伏电站IRR汇总!$B$27</f>
        <v>1</v>
      </c>
      <c r="F1831" s="6" t="s">
        <v>19</v>
      </c>
      <c r="G1831" s="33"/>
      <c r="H1831" s="33"/>
      <c r="I1831" s="33"/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  <c r="T1831" s="33"/>
      <c r="U1831" s="33"/>
      <c r="V1831" s="33"/>
      <c r="W1831" s="33"/>
      <c r="X1831" s="33"/>
      <c r="Y1831" s="33"/>
      <c r="Z1831" s="33"/>
      <c r="AA1831" s="33">
        <f>D1825*D1828/((1+G1822)^AA1824)</f>
        <v>0.9844799999999998</v>
      </c>
    </row>
    <row r="1832" spans="3:27" hidden="1" outlineLevel="1" x14ac:dyDescent="0.3">
      <c r="C1832" s="18" t="s">
        <v>69</v>
      </c>
      <c r="D1832" s="31">
        <f>D1831*D1830</f>
        <v>0.72860798666666649</v>
      </c>
      <c r="F1832" s="8" t="s">
        <v>64</v>
      </c>
      <c r="G1832" s="33">
        <f>SUM(H1833:AA1833)</f>
        <v>63930.100010436465</v>
      </c>
      <c r="H1832" s="33"/>
      <c r="I1832" s="33"/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3"/>
      <c r="W1832" s="33"/>
      <c r="X1832" s="33"/>
      <c r="Y1832" s="33"/>
      <c r="Z1832" s="33"/>
      <c r="AA1832" s="33"/>
    </row>
    <row r="1833" spans="3:27" hidden="1" outlineLevel="1" x14ac:dyDescent="0.3">
      <c r="C1833" s="18" t="s">
        <v>31</v>
      </c>
      <c r="D1833" s="27">
        <v>0</v>
      </c>
      <c r="F1833" s="9" t="s">
        <v>65</v>
      </c>
      <c r="G1833" s="33"/>
      <c r="H1833" s="33">
        <f>D1804*D1821*(1-D1823)*D1827/((1+G1822)^H1824)</f>
        <v>3335.3123999999993</v>
      </c>
      <c r="I1833" s="33">
        <f>D1804*D1821*(1-D1823)*(1-D1824)^(I1824-1)*D1827/((1+G1822)^I1824)</f>
        <v>3320.3034941999999</v>
      </c>
      <c r="J1833" s="33">
        <f>D1804*D1821*(1-D1823)*(1-D1824)^(J1824-1)*D1827/((1+G1822)^J1824)</f>
        <v>3305.3621284760998</v>
      </c>
      <c r="K1833" s="33">
        <f>D1804*D1821*(1-D1823)*(1-D1824)^(K1824-1)*D1827/((1+G1822)^K1824)</f>
        <v>3290.4879988979578</v>
      </c>
      <c r="L1833" s="33">
        <f>D1804*D1821*(1-D1823)*(1-D1824)^(L1824-1)*D1827/((1+G1822)^L1824)</f>
        <v>3275.6808029029171</v>
      </c>
      <c r="M1833" s="33">
        <f>D1804*D1821*(1-D1823)*(1-D1824)^(M1824-1)*D1827/((1+G1822)^M1824)</f>
        <v>3260.9402392898546</v>
      </c>
      <c r="N1833" s="33">
        <f>D1804*D1821*(1-D1823)*(1-D1824)^(N1824-1)*D1827/((1+G1822)^N1824)</f>
        <v>3246.2660082130501</v>
      </c>
      <c r="O1833" s="33">
        <f>D1804*D1821*(1-D1823)*(1-D1824)^(O1824-1)*D1827/((1+G1822)^O1824)</f>
        <v>3231.6578111760914</v>
      </c>
      <c r="P1833" s="33">
        <f>D1804*D1821*(1-D1823)*(1-D1824)^(P1824-1)*D1827/((1+G1822)^P1824)</f>
        <v>3217.1153510257991</v>
      </c>
      <c r="Q1833" s="33">
        <f>D1804*D1821*(1-D1823)*(1-D1824)^(Q1824-1)*D1827/((1+G1822)^Q1824)</f>
        <v>3202.6383319461838</v>
      </c>
      <c r="R1833" s="33">
        <f>D1804*D1821*(1-D1823)*(1-D1824)^(R1824-1)*D1827/((1+G1822)^R1824)</f>
        <v>3188.2264594524258</v>
      </c>
      <c r="S1833" s="33">
        <f>D1804*D1821*(1-D1823)*(1-D1824)^(S1824-1)*D1827/((1+G1822)^S1824)</f>
        <v>3173.8794403848901</v>
      </c>
      <c r="T1833" s="33">
        <f>D1804*D1821*(1-D1823)*(1-D1824)^(T1824-1)*D1827/((1+G1822)^T1824)</f>
        <v>3159.5969829031583</v>
      </c>
      <c r="U1833" s="33">
        <f>D1804*D1821*(1-D1823)*(1-D1824)^(U1824-1)*D1827/((1+G1822)^U1824)</f>
        <v>3145.378796480094</v>
      </c>
      <c r="V1833" s="33">
        <f>D1804*D1821*(1-D1823)*(1-D1824)^(V1824-1)*D1827/((1+G1822)^V1824)</f>
        <v>3131.2245918959338</v>
      </c>
      <c r="W1833" s="33">
        <f>D1804*D1821*(1-D1823)*(1-D1824)^(W1824-1)*D1827/((1+G1822)^W1824)</f>
        <v>3117.1340812324024</v>
      </c>
      <c r="X1833" s="33">
        <f>D1804*D1821*(1-D1823)*(1-D1824)^(X1824-1)*D1827/((1+G1822)^X1824)</f>
        <v>3103.1069778668571</v>
      </c>
      <c r="Y1833" s="33">
        <f>D1804*D1821*(1-D1823)*(1-D1824)^(Y1824-1)*D1827/((1+G1822)^Y1824)</f>
        <v>3089.1429964664562</v>
      </c>
      <c r="Z1833" s="33">
        <f>D1804*D1821*(1-D1823)*(1-D1824)^(Z1824-1)*D1827/((1+G1822)^Z1824)</f>
        <v>3075.2418529823576</v>
      </c>
      <c r="AA1833" s="33">
        <f>D1804*D1821*(1-D1823)*(1-D1824)^(AA1824-1)*D1827/((1+G1822)^AA1824)</f>
        <v>3061.4032646439373</v>
      </c>
    </row>
    <row r="1834" spans="3:27" hidden="1" outlineLevel="1" x14ac:dyDescent="0.3">
      <c r="F1834" s="4" t="s">
        <v>66</v>
      </c>
      <c r="G1834" s="33">
        <f>SUM(H1835:AA1835)</f>
        <v>46.579981456002741</v>
      </c>
      <c r="H1834" s="33"/>
      <c r="I1834" s="33"/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  <c r="Z1834" s="33"/>
      <c r="AA1834" s="33"/>
    </row>
    <row r="1835" spans="3:27" hidden="1" outlineLevel="1" x14ac:dyDescent="0.3">
      <c r="F1835" s="7" t="s">
        <v>67</v>
      </c>
      <c r="G1835" s="33"/>
      <c r="H1835" s="33">
        <f>H1833*D1832/1000</f>
        <v>2.4301352526683666</v>
      </c>
      <c r="I1835" s="33">
        <f>I1833*D1832/1000</f>
        <v>2.4191996440313597</v>
      </c>
      <c r="J1835" s="33">
        <f>J1833*D1832/1000</f>
        <v>2.4083132456332184</v>
      </c>
      <c r="K1835" s="33">
        <f>K1833*D1832/1000</f>
        <v>2.3974758360278692</v>
      </c>
      <c r="L1835" s="33">
        <f>L1833*D1832/1000</f>
        <v>2.3866871947657442</v>
      </c>
      <c r="M1835" s="33">
        <f>M1833*D1832/1000</f>
        <v>2.3759471023892988</v>
      </c>
      <c r="N1835" s="33">
        <f>N1833*D1832/1000</f>
        <v>2.3652553404285466</v>
      </c>
      <c r="O1835" s="33">
        <f>O1833*D1832/1000</f>
        <v>2.3546116913966184</v>
      </c>
      <c r="P1835" s="33">
        <f>P1833*D1832/1000</f>
        <v>2.3440159387853337</v>
      </c>
      <c r="Q1835" s="33">
        <f>Q1833*D1832/1000</f>
        <v>2.3334678670608002</v>
      </c>
      <c r="R1835" s="33">
        <f>R1833*D1832/1000</f>
        <v>2.3229672616590267</v>
      </c>
      <c r="S1835" s="33">
        <f>S1833*D1832/1000</f>
        <v>2.3125139089815607</v>
      </c>
      <c r="T1835" s="33">
        <f>T1833*D1832/1000</f>
        <v>2.3021075963911439</v>
      </c>
      <c r="U1835" s="33">
        <f>U1833*D1832/1000</f>
        <v>2.2917481122073835</v>
      </c>
      <c r="V1835" s="33">
        <f>V1833*D1832/1000</f>
        <v>2.2814352457024505</v>
      </c>
      <c r="W1835" s="33">
        <f>W1833*D1832/1000</f>
        <v>2.2711687870967898</v>
      </c>
      <c r="X1835" s="33">
        <f>X1833*D1832/1000</f>
        <v>2.2609485275548544</v>
      </c>
      <c r="Y1835" s="33">
        <f>Y1833*D1832/1000</f>
        <v>2.2507742591808579</v>
      </c>
      <c r="Z1835" s="33">
        <f>Z1833*D1832/1000</f>
        <v>2.2406457750145443</v>
      </c>
      <c r="AA1835" s="33">
        <f>AA1833*D1832/1000</f>
        <v>2.2305628690269792</v>
      </c>
    </row>
    <row r="1836" spans="3:27" hidden="1" outlineLevel="1" x14ac:dyDescent="0.3">
      <c r="F1836" s="4" t="s">
        <v>20</v>
      </c>
      <c r="G1836" s="33">
        <f>SUM(H1837:AA1837)</f>
        <v>4.5996453640006889</v>
      </c>
      <c r="H1836" s="33"/>
      <c r="I1836" s="33"/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  <c r="T1836" s="33"/>
      <c r="U1836" s="33"/>
      <c r="V1836" s="33"/>
      <c r="W1836" s="33"/>
      <c r="X1836" s="33"/>
      <c r="Y1836" s="33"/>
      <c r="Z1836" s="33"/>
      <c r="AA1836" s="33"/>
    </row>
    <row r="1837" spans="3:27" hidden="1" outlineLevel="1" x14ac:dyDescent="0.3">
      <c r="F1837" s="7" t="s">
        <v>21</v>
      </c>
      <c r="G1837" s="33"/>
      <c r="H1837" s="33">
        <f>(H1835-H1828-H1830)*G1823</f>
        <v>0.25526631316709175</v>
      </c>
      <c r="I1837" s="33">
        <f>(I1835-I1828-I1830)*G1823</f>
        <v>0.25253241100784002</v>
      </c>
      <c r="J1837" s="33">
        <f>(J1835-J1828-J1830)*G1823</f>
        <v>0.24981081140830469</v>
      </c>
      <c r="K1837" s="33">
        <f>(K1835-K1828-K1830)*G1823</f>
        <v>0.24710145900696739</v>
      </c>
      <c r="L1837" s="33">
        <f>(L1835-L1828-L1830)*G1823</f>
        <v>0.24440429869143615</v>
      </c>
      <c r="M1837" s="33">
        <f>(M1835-M1828-M1830)*G1823</f>
        <v>0.24171927559732481</v>
      </c>
      <c r="N1837" s="33">
        <f>(N1835-N1828-N1830)*G1823</f>
        <v>0.23904633510713674</v>
      </c>
      <c r="O1837" s="33">
        <f>(O1835-O1828-O1830)*G1823</f>
        <v>0.2363854228491547</v>
      </c>
      <c r="P1837" s="33">
        <f>(P1835-P1828-P1830)*G1823</f>
        <v>0.23373648469633351</v>
      </c>
      <c r="Q1837" s="33">
        <f>(Q1835-Q1828-Q1830)*G1823</f>
        <v>0.23109946676520016</v>
      </c>
      <c r="R1837" s="33">
        <f>(R1835-R1828-R1830)*G1823</f>
        <v>0.22847431541475677</v>
      </c>
      <c r="S1837" s="33">
        <f>(S1835-S1828-S1830)*G1823</f>
        <v>0.22586097724539028</v>
      </c>
      <c r="T1837" s="33">
        <f>(T1835-T1828-T1830)*G1823</f>
        <v>0.22325939909778608</v>
      </c>
      <c r="U1837" s="33">
        <f>(U1835-U1828-U1830)*G1823</f>
        <v>0.22066952805184598</v>
      </c>
      <c r="V1837" s="33">
        <f>(V1835-V1828-V1830)*G1823</f>
        <v>0.21809131142561272</v>
      </c>
      <c r="W1837" s="33">
        <f>(W1835-W1828-W1830)*G1823</f>
        <v>0.21552469677419756</v>
      </c>
      <c r="X1837" s="33">
        <f>(X1835-X1828-X1830)*G1823</f>
        <v>0.21296963188871371</v>
      </c>
      <c r="Y1837" s="33">
        <f>(Y1835-Y1828-Y1830)*G1823</f>
        <v>0.21042606479521458</v>
      </c>
      <c r="Z1837" s="33">
        <f>(Z1835-Z1828-Z1830)*G1823</f>
        <v>0.20789394375363618</v>
      </c>
      <c r="AA1837" s="33">
        <f>(AA1835-AA1828-AA1830)*G1823</f>
        <v>0.2053732172567449</v>
      </c>
    </row>
    <row r="1838" spans="3:27" hidden="1" outlineLevel="1" x14ac:dyDescent="0.3">
      <c r="F1838" s="10" t="s">
        <v>22</v>
      </c>
      <c r="G1838" s="33">
        <f>-G1826</f>
        <v>-24.611999999999995</v>
      </c>
      <c r="H1838" s="33">
        <f>H1835-H1837-H1830</f>
        <v>1.934868939501275</v>
      </c>
      <c r="I1838" s="33">
        <f t="shared" ref="I1838" si="691">I1835-I1837-I1830</f>
        <v>1.9266672330235195</v>
      </c>
      <c r="J1838" s="33">
        <f t="shared" ref="J1838" si="692">J1835-J1837-J1830</f>
        <v>1.9185024342249137</v>
      </c>
      <c r="K1838" s="33">
        <f t="shared" ref="K1838" si="693">K1835-K1837-K1830</f>
        <v>1.9103743770209018</v>
      </c>
      <c r="L1838" s="33">
        <f t="shared" ref="L1838" si="694">L1835-L1837-L1830</f>
        <v>1.9022828960743079</v>
      </c>
      <c r="M1838" s="33">
        <f t="shared" ref="M1838" si="695">M1835-M1837-M1830</f>
        <v>1.8942278267919741</v>
      </c>
      <c r="N1838" s="33">
        <f t="shared" ref="N1838" si="696">N1835-N1837-N1830</f>
        <v>1.8862090053214098</v>
      </c>
      <c r="O1838" s="33">
        <f t="shared" ref="O1838" si="697">O1835-O1837-O1830</f>
        <v>1.8782262685474638</v>
      </c>
      <c r="P1838" s="33">
        <f t="shared" ref="P1838" si="698">P1835-P1837-P1830</f>
        <v>1.870279454089</v>
      </c>
      <c r="Q1838" s="33">
        <f t="shared" ref="Q1838" si="699">Q1835-Q1837-Q1830</f>
        <v>1.8623684002956</v>
      </c>
      <c r="R1838" s="33">
        <f t="shared" ref="R1838" si="700">R1835-R1837-R1830</f>
        <v>1.8544929462442699</v>
      </c>
      <c r="S1838" s="33">
        <f t="shared" ref="S1838" si="701">S1835-S1837-S1830</f>
        <v>1.8466529317361704</v>
      </c>
      <c r="T1838" s="33">
        <f t="shared" ref="T1838" si="702">T1835-T1837-T1830</f>
        <v>1.8388481972933579</v>
      </c>
      <c r="U1838" s="33">
        <f t="shared" ref="U1838" si="703">U1835-U1837-U1830</f>
        <v>1.8310785841555377</v>
      </c>
      <c r="V1838" s="33">
        <f t="shared" ref="V1838" si="704">V1835-V1837-V1830</f>
        <v>1.8233439342768378</v>
      </c>
      <c r="W1838" s="33">
        <f t="shared" ref="W1838" si="705">W1835-W1837-W1830</f>
        <v>1.8156440903225921</v>
      </c>
      <c r="X1838" s="33">
        <f t="shared" ref="X1838" si="706">X1835-X1837-X1830</f>
        <v>1.8079788956661409</v>
      </c>
      <c r="Y1838" s="33">
        <f t="shared" ref="Y1838" si="707">Y1835-Y1837-Y1830</f>
        <v>1.8003481943856434</v>
      </c>
      <c r="Z1838" s="33">
        <f t="shared" ref="Z1838" si="708">Z1835-Z1837-Z1830</f>
        <v>1.7927518312609083</v>
      </c>
      <c r="AA1838" s="33">
        <f t="shared" ref="AA1838" si="709">AA1835-AA1837-AA1830</f>
        <v>1.7851896517702344</v>
      </c>
    </row>
    <row r="1839" spans="3:27" ht="13.5" hidden="1" outlineLevel="1" thickBot="1" x14ac:dyDescent="0.35">
      <c r="F1839" s="3" t="s">
        <v>68</v>
      </c>
      <c r="G1839" s="40">
        <f>IRR(G1838:AA1838)</f>
        <v>4.3654948735116772E-2</v>
      </c>
      <c r="H1839" s="34"/>
      <c r="I1839" s="34"/>
      <c r="J1839" s="34"/>
      <c r="K1839" s="34"/>
      <c r="L1839" s="34"/>
      <c r="M1839" s="34"/>
      <c r="N1839" s="34"/>
      <c r="O1839" s="34"/>
      <c r="P1839" s="34"/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</row>
    <row r="1840" spans="3:27" ht="13.5" collapsed="1" thickTop="1" x14ac:dyDescent="0.3"/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分布式光伏电站IRR汇总</vt:lpstr>
      <vt:lpstr>自发自用比例=70%</vt:lpstr>
      <vt:lpstr>自发自用比例=100%（结合储能-自投）</vt:lpstr>
      <vt:lpstr>自发自用比例=100%（结合储能-合同能源管理收益）</vt:lpstr>
      <vt:lpstr>储能经济模型</vt:lpstr>
      <vt:lpstr>Backup分地区光伏小时数及电价</vt:lpstr>
      <vt:lpstr>分布式光伏经济性模型-分地区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</dc:creator>
  <cp:lastModifiedBy>min</cp:lastModifiedBy>
  <dcterms:created xsi:type="dcterms:W3CDTF">2015-06-05T18:19:34Z</dcterms:created>
  <dcterms:modified xsi:type="dcterms:W3CDTF">2022-06-07T08:35:29Z</dcterms:modified>
</cp:coreProperties>
</file>